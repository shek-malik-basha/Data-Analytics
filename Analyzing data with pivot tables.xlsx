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MITS\Documents\"/>
    </mc:Choice>
  </mc:AlternateContent>
  <xr:revisionPtr revIDLastSave="0" documentId="13_ncr:1_{9B0B4C99-7443-489C-9104-A4D2FE5360CC}" xr6:coauthVersionLast="47" xr6:coauthVersionMax="47" xr10:uidLastSave="{00000000-0000-0000-0000-000000000000}"/>
  <bookViews>
    <workbookView xWindow="-120" yWindow="-120" windowWidth="29040" windowHeight="15720" activeTab="2" xr2:uid="{804E99C8-6FE6-402A-A8B2-9AE2F8A1ED37}"/>
  </bookViews>
  <sheets>
    <sheet name="Sheet2" sheetId="2" r:id="rId1"/>
    <sheet name="Sheet3" sheetId="3" r:id="rId2"/>
    <sheet name="Sheet1" sheetId="1" r:id="rId3"/>
  </sheets>
  <definedNames>
    <definedName name="_xlcn.WorksheetConnection_Book1Table21" hidden="1">Table2[]</definedName>
    <definedName name="_xlcn.WorksheetConnection_Sheet1AH1" hidden="1">Sheet1!$A:$H</definedName>
    <definedName name="Slicer_Holiday_Flag">#N/A</definedName>
    <definedName name="Slicer_Store">#N/A</definedName>
  </definedNames>
  <calcPr calcId="191029"/>
  <pivotCaches>
    <pivotCache cacheId="25" r:id="rId4"/>
    <pivotCache cacheId="30" r:id="rId5"/>
    <pivotCache cacheId="3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H"/>
          <x15:modelTable id="Table2" name="Table2" connection="WorksheetConnection_Book1!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39BF37-6F30-4B40-84C0-92AB356893D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3C71230-DE84-42B0-9F6D-01580F6E4396}" name="WorksheetConnection_Book1!Table2" type="102" refreshedVersion="8" minRefreshableVersion="5">
    <extLst>
      <ext xmlns:x15="http://schemas.microsoft.com/office/spreadsheetml/2010/11/main" uri="{DE250136-89BD-433C-8126-D09CA5730AF9}">
        <x15:connection id="Table2">
          <x15:rangePr sourceName="_xlcn.WorksheetConnection_Book1Table21"/>
        </x15:connection>
      </ext>
    </extLst>
  </connection>
  <connection id="3" xr16:uid="{188D9245-FC1E-4D19-A531-E6DED98971D3}" name="WorksheetConnection_Sheet1!$A:$H" type="102" refreshedVersion="8" minRefreshableVersion="5">
    <extLst>
      <ext xmlns:x15="http://schemas.microsoft.com/office/spreadsheetml/2010/11/main" uri="{DE250136-89BD-433C-8126-D09CA5730AF9}">
        <x15:connection id="Range" autoDelete="1">
          <x15:rangePr sourceName="_xlcn.WorksheetConnection_Sheet1AH1"/>
        </x15:connection>
      </ext>
    </extLst>
  </connection>
</connections>
</file>

<file path=xl/sharedStrings.xml><?xml version="1.0" encoding="utf-8"?>
<sst xmlns="http://schemas.openxmlformats.org/spreadsheetml/2006/main" count="19" uniqueCount="15">
  <si>
    <t>Holiday_Flag</t>
  </si>
  <si>
    <t>Temperature</t>
  </si>
  <si>
    <t>Fuel_Price</t>
  </si>
  <si>
    <t>CPI</t>
  </si>
  <si>
    <t>Unemployment</t>
  </si>
  <si>
    <t>Row Labels</t>
  </si>
  <si>
    <t>(blank)</t>
  </si>
  <si>
    <t>Grand Total</t>
  </si>
  <si>
    <t>Store</t>
  </si>
  <si>
    <t>Date</t>
  </si>
  <si>
    <t>Weekly_Sales</t>
  </si>
  <si>
    <t>Sum of Weekly_Sales</t>
  </si>
  <si>
    <t>Average of Weekly_Sales</t>
  </si>
  <si>
    <t>Column Labels</t>
  </si>
  <si>
    <t>ANALYZING DATA WITH 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</si>
</sst>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6"/>
      <color theme="4"/>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4" fontId="0" fillId="0" borderId="0" xfId="0" applyNumberFormat="1"/>
    <xf numFmtId="0" fontId="0" fillId="0" borderId="0" xfId="0" applyNumberFormat="1"/>
    <xf numFmtId="0" fontId="0" fillId="0" borderId="0" xfId="0" applyAlignment="1">
      <alignment horizontal="left" indent="1"/>
    </xf>
    <xf numFmtId="0" fontId="1" fillId="0" borderId="0" xfId="0" applyFon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data with pivot tables.xlsx]Sheet1!PivotTable7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Sheet1!$K$5:$K$6</c:f>
              <c:strCache>
                <c:ptCount val="1"/>
                <c:pt idx="0">
                  <c:v>0</c:v>
                </c:pt>
              </c:strCache>
            </c:strRef>
          </c:tx>
          <c:spPr>
            <a:solidFill>
              <a:schemeClr val="accent1"/>
            </a:solidFill>
            <a:ln>
              <a:noFill/>
            </a:ln>
            <a:effectLst/>
          </c:spPr>
          <c:invertIfNegative val="0"/>
          <c:cat>
            <c:strRef>
              <c:f>Sheet1!$J$7:$J$15</c:f>
              <c:strCache>
                <c:ptCount val="8"/>
                <c:pt idx="0">
                  <c:v>1</c:v>
                </c:pt>
                <c:pt idx="1">
                  <c:v>2</c:v>
                </c:pt>
                <c:pt idx="2">
                  <c:v>3</c:v>
                </c:pt>
                <c:pt idx="3">
                  <c:v>4</c:v>
                </c:pt>
                <c:pt idx="4">
                  <c:v>5</c:v>
                </c:pt>
                <c:pt idx="5">
                  <c:v>6</c:v>
                </c:pt>
                <c:pt idx="6">
                  <c:v>7</c:v>
                </c:pt>
                <c:pt idx="7">
                  <c:v>8</c:v>
                </c:pt>
              </c:strCache>
            </c:strRef>
          </c:cat>
          <c:val>
            <c:numRef>
              <c:f>Sheet1!$K$7:$K$15</c:f>
              <c:numCache>
                <c:formatCode>General</c:formatCode>
                <c:ptCount val="8"/>
                <c:pt idx="0">
                  <c:v>1515684.9106666665</c:v>
                </c:pt>
                <c:pt idx="1">
                  <c:v>1480566.7255555557</c:v>
                </c:pt>
                <c:pt idx="2">
                  <c:v>1487627.5388888889</c:v>
                </c:pt>
                <c:pt idx="3">
                  <c:v>1452111.5714285714</c:v>
                </c:pt>
                <c:pt idx="4">
                  <c:v>1469844.2755555555</c:v>
                </c:pt>
                <c:pt idx="5">
                  <c:v>1759469.1260000002</c:v>
                </c:pt>
                <c:pt idx="6">
                  <c:v>1520106.3087500001</c:v>
                </c:pt>
                <c:pt idx="7">
                  <c:v>1523284.4807692305</c:v>
                </c:pt>
              </c:numCache>
            </c:numRef>
          </c:val>
          <c:extLst>
            <c:ext xmlns:c16="http://schemas.microsoft.com/office/drawing/2014/chart" uri="{C3380CC4-5D6E-409C-BE32-E72D297353CC}">
              <c16:uniqueId val="{00000000-162E-43BE-8C08-C670B5F0EEEF}"/>
            </c:ext>
          </c:extLst>
        </c:ser>
        <c:ser>
          <c:idx val="1"/>
          <c:order val="1"/>
          <c:tx>
            <c:strRef>
              <c:f>Sheet1!$L$5:$L$6</c:f>
              <c:strCache>
                <c:ptCount val="1"/>
                <c:pt idx="0">
                  <c:v>1</c:v>
                </c:pt>
              </c:strCache>
            </c:strRef>
          </c:tx>
          <c:spPr>
            <a:solidFill>
              <a:schemeClr val="accent2"/>
            </a:solidFill>
            <a:ln>
              <a:noFill/>
            </a:ln>
            <a:effectLst/>
          </c:spPr>
          <c:invertIfNegative val="0"/>
          <c:cat>
            <c:strRef>
              <c:f>Sheet1!$J$7:$J$15</c:f>
              <c:strCache>
                <c:ptCount val="8"/>
                <c:pt idx="0">
                  <c:v>1</c:v>
                </c:pt>
                <c:pt idx="1">
                  <c:v>2</c:v>
                </c:pt>
                <c:pt idx="2">
                  <c:v>3</c:v>
                </c:pt>
                <c:pt idx="3">
                  <c:v>4</c:v>
                </c:pt>
                <c:pt idx="4">
                  <c:v>5</c:v>
                </c:pt>
                <c:pt idx="5">
                  <c:v>6</c:v>
                </c:pt>
                <c:pt idx="6">
                  <c:v>7</c:v>
                </c:pt>
                <c:pt idx="7">
                  <c:v>8</c:v>
                </c:pt>
              </c:strCache>
            </c:strRef>
          </c:cat>
          <c:val>
            <c:numRef>
              <c:f>Sheet1!$L$7:$L$15</c:f>
              <c:numCache>
                <c:formatCode>General</c:formatCode>
                <c:ptCount val="8"/>
                <c:pt idx="0">
                  <c:v>1641957.44</c:v>
                </c:pt>
                <c:pt idx="3">
                  <c:v>1507460.69</c:v>
                </c:pt>
                <c:pt idx="4">
                  <c:v>1955624.11</c:v>
                </c:pt>
                <c:pt idx="5">
                  <c:v>1367320.01</c:v>
                </c:pt>
                <c:pt idx="6">
                  <c:v>1649614.93</c:v>
                </c:pt>
              </c:numCache>
            </c:numRef>
          </c:val>
          <c:extLst>
            <c:ext xmlns:c16="http://schemas.microsoft.com/office/drawing/2014/chart" uri="{C3380CC4-5D6E-409C-BE32-E72D297353CC}">
              <c16:uniqueId val="{00000001-162E-43BE-8C08-C670B5F0EEEF}"/>
            </c:ext>
          </c:extLst>
        </c:ser>
        <c:dLbls>
          <c:showLegendKey val="0"/>
          <c:showVal val="0"/>
          <c:showCatName val="0"/>
          <c:showSerName val="0"/>
          <c:showPercent val="0"/>
          <c:showBubbleSize val="0"/>
        </c:dLbls>
        <c:gapWidth val="219"/>
        <c:overlap val="-27"/>
        <c:axId val="392992144"/>
        <c:axId val="392995024"/>
      </c:barChart>
      <c:catAx>
        <c:axId val="39299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995024"/>
        <c:crosses val="autoZero"/>
        <c:auto val="1"/>
        <c:lblAlgn val="ctr"/>
        <c:lblOffset val="100"/>
        <c:noMultiLvlLbl val="0"/>
      </c:catAx>
      <c:valAx>
        <c:axId val="39299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99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19050</xdr:colOff>
      <xdr:row>15</xdr:row>
      <xdr:rowOff>19050</xdr:rowOff>
    </xdr:from>
    <xdr:to>
      <xdr:col>10</xdr:col>
      <xdr:colOff>257175</xdr:colOff>
      <xdr:row>28</xdr:row>
      <xdr:rowOff>66675</xdr:rowOff>
    </xdr:to>
    <mc:AlternateContent xmlns:mc="http://schemas.openxmlformats.org/markup-compatibility/2006">
      <mc:Choice xmlns:a14="http://schemas.microsoft.com/office/drawing/2010/main" Requires="a14">
        <xdr:graphicFrame macro="">
          <xdr:nvGraphicFramePr>
            <xdr:cNvPr id="2" name="Store">
              <a:extLst>
                <a:ext uri="{FF2B5EF4-FFF2-40B4-BE49-F238E27FC236}">
                  <a16:creationId xmlns:a16="http://schemas.microsoft.com/office/drawing/2014/main" id="{8064B464-E051-2DCC-4908-12B323ACF884}"/>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dr:sp macro="" textlink="">
          <xdr:nvSpPr>
            <xdr:cNvPr id="0" name=""/>
            <xdr:cNvSpPr>
              <a:spLocks noTextEdit="1"/>
            </xdr:cNvSpPr>
          </xdr:nvSpPr>
          <xdr:spPr>
            <a:xfrm>
              <a:off x="8401050" y="2952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847725</xdr:colOff>
      <xdr:row>15</xdr:row>
      <xdr:rowOff>9525</xdr:rowOff>
    </xdr:from>
    <xdr:to>
      <xdr:col>12</xdr:col>
      <xdr:colOff>790575</xdr:colOff>
      <xdr:row>28</xdr:row>
      <xdr:rowOff>57150</xdr:rowOff>
    </xdr:to>
    <mc:AlternateContent xmlns:mc="http://schemas.openxmlformats.org/markup-compatibility/2006">
      <mc:Choice xmlns:a14="http://schemas.microsoft.com/office/drawing/2010/main" Requires="a14">
        <xdr:graphicFrame macro="">
          <xdr:nvGraphicFramePr>
            <xdr:cNvPr id="3" name="Holiday_Flag">
              <a:extLst>
                <a:ext uri="{FF2B5EF4-FFF2-40B4-BE49-F238E27FC236}">
                  <a16:creationId xmlns:a16="http://schemas.microsoft.com/office/drawing/2014/main" id="{C50C01D5-5860-95CA-A79D-6B228F33E911}"/>
                </a:ext>
              </a:extLst>
            </xdr:cNvPr>
            <xdr:cNvGraphicFramePr/>
          </xdr:nvGraphicFramePr>
          <xdr:xfrm>
            <a:off x="0" y="0"/>
            <a:ext cx="0" cy="0"/>
          </xdr:xfrm>
          <a:graphic>
            <a:graphicData uri="http://schemas.microsoft.com/office/drawing/2010/slicer">
              <sle:slicer xmlns:sle="http://schemas.microsoft.com/office/drawing/2010/slicer" name="Holiday_Flag"/>
            </a:graphicData>
          </a:graphic>
        </xdr:graphicFrame>
      </mc:Choice>
      <mc:Fallback>
        <xdr:sp macro="" textlink="">
          <xdr:nvSpPr>
            <xdr:cNvPr id="0" name=""/>
            <xdr:cNvSpPr>
              <a:spLocks noTextEdit="1"/>
            </xdr:cNvSpPr>
          </xdr:nvSpPr>
          <xdr:spPr>
            <a:xfrm>
              <a:off x="10820400" y="2943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19051</xdr:colOff>
      <xdr:row>28</xdr:row>
      <xdr:rowOff>76199</xdr:rowOff>
    </xdr:from>
    <xdr:to>
      <xdr:col>12</xdr:col>
      <xdr:colOff>771526</xdr:colOff>
      <xdr:row>41</xdr:row>
      <xdr:rowOff>166686</xdr:rowOff>
    </xdr:to>
    <xdr:graphicFrame macro="">
      <xdr:nvGraphicFramePr>
        <xdr:cNvPr id="6" name="Chart 5">
          <a:extLst>
            <a:ext uri="{FF2B5EF4-FFF2-40B4-BE49-F238E27FC236}">
              <a16:creationId xmlns:a16="http://schemas.microsoft.com/office/drawing/2014/main" id="{F439C3AB-FBD9-9A1C-05AA-55AA4296A1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524650810185" backgroundQuery="1" createdVersion="8" refreshedVersion="8" minRefreshableVersion="3" recordCount="0" supportSubquery="1" supportAdvancedDrill="1" xr:uid="{BC94D972-5BB4-456E-B3B4-D8D40029B341}">
  <cacheSource type="external" connectionId="1"/>
  <cacheFields count="4">
    <cacheField name="[Measures].[Sum of Weekly_Sales]" caption="Sum of Weekly_Sales" numFmtId="0" hierarchy="19" level="32767"/>
    <cacheField name="[Range].[Store].[Store]" caption="Store" numFmtId="0" level="1">
      <sharedItems containsString="0" containsBlank="1" containsNumber="1" containsInteger="1" minValue="1" maxValue="1" count="2">
        <m/>
        <n v="1"/>
      </sharedItems>
      <extLst>
        <ext xmlns:x15="http://schemas.microsoft.com/office/spreadsheetml/2010/11/main" uri="{4F2E5C28-24EA-4eb8-9CBF-B6C8F9C3D259}">
          <x15:cachedUniqueNames>
            <x15:cachedUniqueName index="1" name="[Range].[Store].&amp;[1]"/>
          </x15:cachedUniqueNames>
        </ext>
      </extLst>
    </cacheField>
    <cacheField name="[Table2].[Holiday_Flag].[Holiday_Flag]" caption="Holiday_Flag" numFmtId="0" hierarchy="11"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2].[Holiday_Flag].&amp;[0]"/>
            <x15:cachedUniqueName index="1" name="[Table2].[Holiday_Flag].&amp;[1]"/>
          </x15:cachedUniqueNames>
        </ext>
      </extLst>
    </cacheField>
    <cacheField name="[Measures].[Sum of Weekly_Sales 2]" caption="Sum of Weekly_Sales 2" numFmtId="0" hierarchy="20" level="32767"/>
  </cacheFields>
  <cacheHierarchies count="21">
    <cacheHierarchy uniqueName="[Range].[Store]" caption="Store" attribute="1" defaultMemberUniqueName="[Range].[Store].[All]" allUniqueName="[Range].[Store].[All]" dimensionUniqueName="[Range]" displayFolder="" count="2" memberValueDatatype="20" unbalanced="0">
      <fieldsUsage count="2">
        <fieldUsage x="-1"/>
        <fieldUsage x="1"/>
      </fieldsUsage>
    </cacheHierarchy>
    <cacheHierarchy uniqueName="[Range].[Date]" caption="Date" attribute="1" time="1" defaultMemberUniqueName="[Range].[Date].[All]" allUniqueName="[Range].[Date].[All]" dimensionUniqueName="[Range]" displayFolder="" count="0" memberValueDatatype="7" unbalanced="0"/>
    <cacheHierarchy uniqueName="[Range].[Weekly_Sales]" caption="Weekly_Sales" attribute="1" defaultMemberUniqueName="[Range].[Weekly_Sales].[All]" allUniqueName="[Range].[Weekly_Sales].[All]" dimensionUniqueName="[Range]" displayFolder="" count="0" memberValueDatatype="5" unbalanced="0"/>
    <cacheHierarchy uniqueName="[Range].[Holiday_Flag]" caption="Holiday_Flag" attribute="1" defaultMemberUniqueName="[Range].[Holiday_Flag].[All]" allUniqueName="[Range].[Holiday_Flag].[All]" dimensionUniqueName="[Range]" displayFolder="" count="0" memberValueDatatype="20" unbalanced="0"/>
    <cacheHierarchy uniqueName="[Range].[Temperature]" caption="Temperature" attribute="1" defaultMemberUniqueName="[Range].[Temperature].[All]" allUniqueName="[Range].[Temperature].[All]" dimensionUniqueName="[Range]" displayFolder="" count="0" memberValueDatatype="5" unbalanced="0"/>
    <cacheHierarchy uniqueName="[Range].[Fuel_Price]" caption="Fuel_Price" attribute="1" defaultMemberUniqueName="[Range].[Fuel_Price].[All]" allUniqueName="[Range].[Fuel_Price].[All]" dimensionUniqueName="[Range]" displayFolder="" count="0" memberValueDatatype="5" unbalanced="0"/>
    <cacheHierarchy uniqueName="[Range].[CPI]" caption="CPI" attribute="1" defaultMemberUniqueName="[Range].[CPI].[All]" allUniqueName="[Range].[CPI].[All]" dimensionUniqueName="[Range]" displayFolder="" count="0" memberValueDatatype="5" unbalanced="0"/>
    <cacheHierarchy uniqueName="[Range].[Unemployment]" caption="Unemployment" attribute="1" defaultMemberUniqueName="[Range].[Unemployment].[All]" allUniqueName="[Range].[Unemployment].[All]" dimensionUniqueName="[Range]" displayFolder="" count="0" memberValueDatatype="5" unbalanced="0"/>
    <cacheHierarchy uniqueName="[Table2].[Store]" caption="Store" attribute="1" defaultMemberUniqueName="[Table2].[Store].[All]" allUniqueName="[Table2].[Store].[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Weekly_Sales]" caption="Weekly_Sales" attribute="1" defaultMemberUniqueName="[Table2].[Weekly_Sales].[All]" allUniqueName="[Table2].[Weekly_Sales].[All]" dimensionUniqueName="[Table2]" displayFolder="" count="0" memberValueDatatype="5" unbalanced="0"/>
    <cacheHierarchy uniqueName="[Table2].[Holiday_Flag]" caption="Holiday_Flag" attribute="1" defaultMemberUniqueName="[Table2].[Holiday_Flag].[All]" allUniqueName="[Table2].[Holiday_Flag].[All]" dimensionUniqueName="[Table2]" displayFolder="" count="2" memberValueDatatype="20" unbalanced="0">
      <fieldsUsage count="2">
        <fieldUsage x="-1"/>
        <fieldUsage x="2"/>
      </fieldsUsage>
    </cacheHierarchy>
    <cacheHierarchy uniqueName="[Table2].[Temperature]" caption="Temperature" attribute="1" defaultMemberUniqueName="[Table2].[Temperature].[All]" allUniqueName="[Table2].[Temperature].[All]" dimensionUniqueName="[Table2]" displayFolder="" count="0" memberValueDatatype="5" unbalanced="0"/>
    <cacheHierarchy uniqueName="[Table2].[Fuel_Price]" caption="Fuel_Price" attribute="1" defaultMemberUniqueName="[Table2].[Fuel_Price].[All]" allUniqueName="[Table2].[Fuel_Price].[All]" dimensionUniqueName="[Table2]" displayFolder="" count="0" memberValueDatatype="5" unbalanced="0"/>
    <cacheHierarchy uniqueName="[Table2].[CPI]" caption="CPI" attribute="1" defaultMemberUniqueName="[Table2].[CPI].[All]" allUniqueName="[Table2].[CPI].[All]" dimensionUniqueName="[Table2]" displayFolder="" count="0" memberValueDatatype="5" unbalanced="0"/>
    <cacheHierarchy uniqueName="[Table2].[Unemployment]" caption="Unemployment" attribute="1" defaultMemberUniqueName="[Table2].[Unemployment].[All]" allUniqueName="[Table2].[Unemployment].[All]" dimensionUniqueName="[Table2]" displayFolder="" count="0" memberValueDatatype="5"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Weekly_Sales]" caption="Sum of Weekly_Sales"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Weekly_Sales 2]" caption="Sum of Weekly_Sales 2" measure="1" displayFolder="" measureGroup="Table2" count="0" oneField="1" hidden="1">
      <fieldsUsage count="1">
        <fieldUsage x="3"/>
      </fieldsUsage>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2589409722" createdVersion="8" refreshedVersion="8" minRefreshableVersion="3" recordCount="3" xr:uid="{B1145F9A-0323-4BAA-A4E8-1C00D23082B6}">
  <cacheSource type="worksheet">
    <worksheetSource ref="M6:O9" sheet="Sheet1"/>
  </cacheSource>
  <cacheFields count="2">
    <cacheField name="Row Labels" numFmtId="0">
      <sharedItems containsMixedTypes="1" containsNumber="1" containsInteger="1" minValue="1" maxValue="1"/>
    </cacheField>
    <cacheField name="Sum of Weekly_Sales" numFmtId="0">
      <sharedItems containsString="0" containsBlank="1" containsNumber="1" minValue="152703288.10999998" maxValue="152703288.1099999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28637152776" createdVersion="8" refreshedVersion="8" minRefreshableVersion="3" recordCount="101" xr:uid="{05DF83BB-2DD5-4EC5-AAB6-94C160CC19D8}">
  <cacheSource type="worksheet">
    <worksheetSource ref="A1:H1048576" sheet="Sheet1"/>
  </cacheSource>
  <cacheFields count="8">
    <cacheField name="Store" numFmtId="0">
      <sharedItems containsString="0" containsBlank="1" containsNumber="1" containsInteger="1" minValue="1" maxValue="10" count="11">
        <n v="1"/>
        <n v="2"/>
        <n v="3"/>
        <n v="4"/>
        <n v="5"/>
        <n v="6"/>
        <n v="7"/>
        <n v="8"/>
        <n v="9"/>
        <n v="10"/>
        <m/>
      </sharedItems>
    </cacheField>
    <cacheField name="Date" numFmtId="0">
      <sharedItems containsNonDate="0" containsDate="1" containsString="0" containsBlank="1" minDate="2010-02-05T00:00:00" maxDate="2011-12-24T00:00:00"/>
    </cacheField>
    <cacheField name="Weekly_Sales" numFmtId="0">
      <sharedItems containsString="0" containsBlank="1" containsNumber="1" minValue="1316899.31" maxValue="2387950.2000000002"/>
    </cacheField>
    <cacheField name="Holiday_Flag" numFmtId="0">
      <sharedItems containsString="0" containsBlank="1" containsNumber="1" containsInteger="1" minValue="0" maxValue="1" count="3">
        <n v="0"/>
        <n v="1"/>
        <m/>
      </sharedItems>
    </cacheField>
    <cacheField name="Temperature" numFmtId="0">
      <sharedItems containsString="0" containsBlank="1" containsNumber="1" minValue="35.4" maxValue="91.65"/>
    </cacheField>
    <cacheField name="Fuel_Price" numFmtId="0">
      <sharedItems containsString="0" containsBlank="1" containsNumber="1" minValue="2.5139999999999998" maxValue="3.907"/>
    </cacheField>
    <cacheField name="CPI" numFmtId="0">
      <sharedItems containsString="0" containsBlank="1" containsNumber="1" minValue="210.33742609999999" maxValue="219.35772159999999"/>
    </cacheField>
    <cacheField name="Unemployment" numFmtId="0">
      <sharedItems containsString="0" containsBlank="1" containsNumber="1" minValue="7.6820000000000004" maxValue="8.1059999999999999"/>
    </cacheField>
  </cacheFields>
  <extLst>
    <ext xmlns:x14="http://schemas.microsoft.com/office/spreadsheetml/2009/9/main" uri="{725AE2AE-9491-48be-B2B4-4EB974FC3084}">
      <x14:pivotCacheDefinition pivotCacheId="17451267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n v="1"/>
    <n v="152703288.10999998"/>
  </r>
  <r>
    <s v="(blank)"/>
    <m/>
  </r>
  <r>
    <s v="Grand Total"/>
    <n v="152703288.10999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d v="2010-02-05T00:00:00"/>
    <n v="1643690.9"/>
    <x v="0"/>
    <n v="42.31"/>
    <n v="2.5720000000000001"/>
    <n v="211.0963582"/>
    <n v="8.1059999999999999"/>
  </r>
  <r>
    <x v="0"/>
    <d v="2010-02-12T00:00:00"/>
    <n v="1641957.44"/>
    <x v="1"/>
    <n v="38.51"/>
    <n v="2.548"/>
    <n v="211.2421698"/>
    <n v="8.1059999999999999"/>
  </r>
  <r>
    <x v="0"/>
    <d v="2010-02-19T00:00:00"/>
    <n v="1611968.17"/>
    <x v="0"/>
    <n v="39.93"/>
    <n v="2.5139999999999998"/>
    <n v="211.2891429"/>
    <n v="8.1059999999999999"/>
  </r>
  <r>
    <x v="0"/>
    <d v="2010-02-26T00:00:00"/>
    <n v="1409727.59"/>
    <x v="0"/>
    <n v="46.63"/>
    <n v="2.5609999999999999"/>
    <n v="211.31964289999999"/>
    <n v="8.1059999999999999"/>
  </r>
  <r>
    <x v="0"/>
    <d v="2010-03-05T00:00:00"/>
    <n v="1554806.68"/>
    <x v="0"/>
    <n v="46.5"/>
    <n v="2.625"/>
    <n v="211.35014290000001"/>
    <n v="8.1059999999999999"/>
  </r>
  <r>
    <x v="0"/>
    <d v="2010-03-12T00:00:00"/>
    <n v="1439541.59"/>
    <x v="0"/>
    <n v="57.79"/>
    <n v="2.6669999999999998"/>
    <n v="211.3806429"/>
    <n v="8.1059999999999999"/>
  </r>
  <r>
    <x v="0"/>
    <d v="2010-03-19T00:00:00"/>
    <n v="1472515.79"/>
    <x v="0"/>
    <n v="54.58"/>
    <n v="2.72"/>
    <n v="211.21563499999999"/>
    <n v="8.1059999999999999"/>
  </r>
  <r>
    <x v="1"/>
    <d v="2010-03-26T00:00:00"/>
    <n v="1404429.92"/>
    <x v="0"/>
    <n v="51.45"/>
    <n v="2.7320000000000002"/>
    <n v="211.01804240000001"/>
    <n v="8.1059999999999999"/>
  </r>
  <r>
    <x v="1"/>
    <d v="2010-04-02T00:00:00"/>
    <n v="1594968.28"/>
    <x v="0"/>
    <n v="62.27"/>
    <n v="2.7189999999999999"/>
    <n v="210.8204499"/>
    <n v="7.8079999999999998"/>
  </r>
  <r>
    <x v="1"/>
    <d v="2010-04-09T00:00:00"/>
    <n v="1545418.53"/>
    <x v="0"/>
    <n v="65.86"/>
    <n v="2.77"/>
    <n v="210.62285739999999"/>
    <n v="7.8079999999999998"/>
  </r>
  <r>
    <x v="1"/>
    <d v="2010-04-16T00:00:00"/>
    <n v="1466058.28"/>
    <x v="0"/>
    <n v="66.319999999999993"/>
    <n v="2.8079999999999998"/>
    <n v="210.48869999999999"/>
    <n v="7.8079999999999998"/>
  </r>
  <r>
    <x v="1"/>
    <d v="2010-04-23T00:00:00"/>
    <n v="1391256.12"/>
    <x v="0"/>
    <n v="64.84"/>
    <n v="2.7949999999999999"/>
    <n v="210.43912280000001"/>
    <n v="7.8079999999999998"/>
  </r>
  <r>
    <x v="1"/>
    <d v="2010-04-30T00:00:00"/>
    <n v="1425100.71"/>
    <x v="0"/>
    <n v="67.41"/>
    <n v="2.78"/>
    <n v="210.38954559999999"/>
    <n v="7.8079999999999998"/>
  </r>
  <r>
    <x v="1"/>
    <d v="2010-05-07T00:00:00"/>
    <n v="1603955.12"/>
    <x v="0"/>
    <n v="72.55"/>
    <n v="2.835"/>
    <n v="210.3399684"/>
    <n v="7.8079999999999998"/>
  </r>
  <r>
    <x v="1"/>
    <d v="2010-05-14T00:00:00"/>
    <n v="1494251.5"/>
    <x v="0"/>
    <n v="74.78"/>
    <n v="2.8540000000000001"/>
    <n v="210.33742609999999"/>
    <n v="7.8079999999999998"/>
  </r>
  <r>
    <x v="1"/>
    <d v="2010-05-21T00:00:00"/>
    <n v="1399662.07"/>
    <x v="0"/>
    <n v="76.44"/>
    <n v="2.8260000000000001"/>
    <n v="210.61709339999999"/>
    <n v="7.8079999999999998"/>
  </r>
  <r>
    <x v="2"/>
    <d v="2010-05-28T00:00:00"/>
    <n v="1432069.95"/>
    <x v="0"/>
    <n v="80.44"/>
    <n v="2.7589999999999999"/>
    <n v="210.89676059999999"/>
    <n v="7.8079999999999998"/>
  </r>
  <r>
    <x v="2"/>
    <d v="2010-06-04T00:00:00"/>
    <n v="1615524.71"/>
    <x v="0"/>
    <n v="80.69"/>
    <n v="2.7050000000000001"/>
    <n v="211.1764278"/>
    <n v="7.8079999999999998"/>
  </r>
  <r>
    <x v="2"/>
    <d v="2010-06-11T00:00:00"/>
    <n v="1542561.09"/>
    <x v="0"/>
    <n v="80.430000000000007"/>
    <n v="2.6680000000000001"/>
    <n v="211.4560951"/>
    <n v="7.8079999999999998"/>
  </r>
  <r>
    <x v="2"/>
    <d v="2010-06-18T00:00:00"/>
    <n v="1503284.06"/>
    <x v="0"/>
    <n v="84.11"/>
    <n v="2.637"/>
    <n v="211.45377189999999"/>
    <n v="7.8079999999999998"/>
  </r>
  <r>
    <x v="2"/>
    <d v="2010-06-25T00:00:00"/>
    <n v="1422711.6"/>
    <x v="0"/>
    <n v="84.34"/>
    <n v="2.653"/>
    <n v="211.33865259999999"/>
    <n v="7.8079999999999998"/>
  </r>
  <r>
    <x v="2"/>
    <d v="2010-07-02T00:00:00"/>
    <n v="1492418.14"/>
    <x v="0"/>
    <n v="80.91"/>
    <n v="2.669"/>
    <n v="211.22353330000001"/>
    <n v="7.7869999999999999"/>
  </r>
  <r>
    <x v="2"/>
    <d v="2010-07-09T00:00:00"/>
    <n v="1546074.18"/>
    <x v="0"/>
    <n v="80.48"/>
    <n v="2.6419999999999999"/>
    <n v="211.10841400000001"/>
    <n v="7.7869999999999999"/>
  </r>
  <r>
    <x v="2"/>
    <d v="2010-07-16T00:00:00"/>
    <n v="1448938.92"/>
    <x v="0"/>
    <n v="83.15"/>
    <n v="2.6230000000000002"/>
    <n v="211.10038539999999"/>
    <n v="7.7869999999999999"/>
  </r>
  <r>
    <x v="2"/>
    <d v="2010-07-23T00:00:00"/>
    <n v="1385065.2"/>
    <x v="0"/>
    <n v="83.36"/>
    <n v="2.6080000000000001"/>
    <n v="211.2351443"/>
    <n v="7.7869999999999999"/>
  </r>
  <r>
    <x v="3"/>
    <d v="2010-07-30T00:00:00"/>
    <n v="1371986.6"/>
    <x v="0"/>
    <n v="81.84"/>
    <n v="2.64"/>
    <n v="211.36990320000001"/>
    <n v="7.7869999999999999"/>
  </r>
  <r>
    <x v="0"/>
    <d v="2010-08-06T00:00:00"/>
    <n v="1605491.78"/>
    <x v="0"/>
    <n v="87.16"/>
    <n v="2.6269999999999998"/>
    <n v="211.50466209999999"/>
    <n v="7.7869999999999999"/>
  </r>
  <r>
    <x v="3"/>
    <d v="2010-08-13T00:00:00"/>
    <n v="1508237.76"/>
    <x v="0"/>
    <n v="87"/>
    <n v="2.6920000000000002"/>
    <n v="211.63942109999999"/>
    <n v="7.7869999999999999"/>
  </r>
  <r>
    <x v="3"/>
    <d v="2010-08-20T00:00:00"/>
    <n v="1513080.49"/>
    <x v="0"/>
    <n v="86.65"/>
    <n v="2.6640000000000001"/>
    <n v="211.60336330000001"/>
    <n v="7.7869999999999999"/>
  </r>
  <r>
    <x v="3"/>
    <d v="2010-08-27T00:00:00"/>
    <n v="1449142.92"/>
    <x v="0"/>
    <n v="85.22"/>
    <n v="2.6190000000000002"/>
    <n v="211.5673056"/>
    <n v="7.7869999999999999"/>
  </r>
  <r>
    <x v="3"/>
    <d v="2010-09-03T00:00:00"/>
    <n v="1540163.53"/>
    <x v="0"/>
    <n v="81.209999999999994"/>
    <n v="2.577"/>
    <n v="211.53124790000001"/>
    <n v="7.7869999999999999"/>
  </r>
  <r>
    <x v="3"/>
    <d v="2010-09-10T00:00:00"/>
    <n v="1507460.69"/>
    <x v="1"/>
    <n v="78.69"/>
    <n v="2.5649999999999999"/>
    <n v="211.4951902"/>
    <n v="7.7869999999999999"/>
  </r>
  <r>
    <x v="3"/>
    <d v="2010-09-17T00:00:00"/>
    <n v="1430378.67"/>
    <x v="0"/>
    <n v="82.11"/>
    <n v="2.5819999999999999"/>
    <n v="211.52245959999999"/>
    <n v="7.7869999999999999"/>
  </r>
  <r>
    <x v="3"/>
    <d v="2010-09-24T00:00:00"/>
    <n v="1351791.03"/>
    <x v="0"/>
    <n v="80.94"/>
    <n v="2.6240000000000001"/>
    <n v="211.5972246"/>
    <n v="7.7869999999999999"/>
  </r>
  <r>
    <x v="4"/>
    <d v="2010-10-01T00:00:00"/>
    <n v="1453329.5"/>
    <x v="0"/>
    <n v="71.89"/>
    <n v="2.6030000000000002"/>
    <n v="211.6719895"/>
    <n v="7.8380000000000001"/>
  </r>
  <r>
    <x v="4"/>
    <d v="2010-10-08T00:00:00"/>
    <n v="1508239.93"/>
    <x v="0"/>
    <n v="63.93"/>
    <n v="2.633"/>
    <n v="211.74675439999999"/>
    <n v="7.8380000000000001"/>
  </r>
  <r>
    <x v="4"/>
    <d v="2010-10-15T00:00:00"/>
    <n v="1459409.1"/>
    <x v="0"/>
    <n v="67.180000000000007"/>
    <n v="2.72"/>
    <n v="211.81374360000001"/>
    <n v="7.8380000000000001"/>
  </r>
  <r>
    <x v="4"/>
    <d v="2010-10-22T00:00:00"/>
    <n v="1345454"/>
    <x v="0"/>
    <n v="69.86"/>
    <n v="2.7250000000000001"/>
    <n v="211.8612937"/>
    <n v="7.8380000000000001"/>
  </r>
  <r>
    <x v="4"/>
    <d v="2010-10-29T00:00:00"/>
    <n v="1384209.22"/>
    <x v="0"/>
    <n v="69.64"/>
    <n v="2.7160000000000002"/>
    <n v="211.9088438"/>
    <n v="7.8380000000000001"/>
  </r>
  <r>
    <x v="4"/>
    <d v="2010-11-05T00:00:00"/>
    <n v="1551659.28"/>
    <x v="0"/>
    <n v="58.74"/>
    <n v="2.6890000000000001"/>
    <n v="211.95639389999999"/>
    <n v="7.8380000000000001"/>
  </r>
  <r>
    <x v="4"/>
    <d v="2010-11-12T00:00:00"/>
    <n v="1494479.49"/>
    <x v="0"/>
    <n v="59.61"/>
    <n v="2.7280000000000002"/>
    <n v="212.00394399999999"/>
    <n v="7.8380000000000001"/>
  </r>
  <r>
    <x v="4"/>
    <d v="2010-11-19T00:00:00"/>
    <n v="1483784.18"/>
    <x v="0"/>
    <n v="51.41"/>
    <n v="2.7709999999999999"/>
    <n v="211.8896737"/>
    <n v="7.8380000000000001"/>
  </r>
  <r>
    <x v="4"/>
    <d v="2010-11-26T00:00:00"/>
    <n v="1955624.11"/>
    <x v="1"/>
    <n v="64.52"/>
    <n v="2.7349999999999999"/>
    <n v="211.74843329999999"/>
    <n v="7.8380000000000001"/>
  </r>
  <r>
    <x v="4"/>
    <d v="2010-12-03T00:00:00"/>
    <n v="1548033.78"/>
    <x v="0"/>
    <n v="49.27"/>
    <n v="2.7080000000000002"/>
    <n v="211.607193"/>
    <n v="7.8380000000000001"/>
  </r>
  <r>
    <x v="5"/>
    <d v="2010-12-10T00:00:00"/>
    <n v="1682614.26"/>
    <x v="0"/>
    <n v="46.33"/>
    <n v="2.843"/>
    <n v="211.46595260000001"/>
    <n v="7.8380000000000001"/>
  </r>
  <r>
    <x v="5"/>
    <d v="2010-12-17T00:00:00"/>
    <n v="1891034.93"/>
    <x v="0"/>
    <n v="49.84"/>
    <n v="2.8690000000000002"/>
    <n v="211.40531240000001"/>
    <n v="7.8380000000000001"/>
  </r>
  <r>
    <x v="5"/>
    <d v="2010-12-24T00:00:00"/>
    <n v="2387950.2000000002"/>
    <x v="0"/>
    <n v="52.33"/>
    <n v="2.8860000000000001"/>
    <n v="211.40512219999999"/>
    <n v="7.8380000000000001"/>
  </r>
  <r>
    <x v="5"/>
    <d v="2010-12-31T00:00:00"/>
    <n v="1367320.01"/>
    <x v="1"/>
    <n v="48.43"/>
    <n v="2.9430000000000001"/>
    <n v="211.4049321"/>
    <n v="7.8380000000000001"/>
  </r>
  <r>
    <x v="5"/>
    <d v="2011-01-07T00:00:00"/>
    <n v="1444732.28"/>
    <x v="0"/>
    <n v="48.27"/>
    <n v="2.976"/>
    <n v="211.4047419"/>
    <n v="7.742"/>
  </r>
  <r>
    <x v="5"/>
    <d v="2011-01-14T00:00:00"/>
    <n v="1391013.96"/>
    <x v="0"/>
    <n v="35.4"/>
    <n v="2.9830000000000001"/>
    <n v="211.45741090000001"/>
    <n v="7.742"/>
  </r>
  <r>
    <x v="6"/>
    <d v="2011-01-21T00:00:00"/>
    <n v="1327405.42"/>
    <x v="0"/>
    <n v="44.04"/>
    <n v="3.016"/>
    <n v="211.82723429999999"/>
    <n v="7.742"/>
  </r>
  <r>
    <x v="6"/>
    <d v="2011-01-28T00:00:00"/>
    <n v="1316899.31"/>
    <x v="0"/>
    <n v="43.83"/>
    <n v="3.01"/>
    <n v="212.19705769999999"/>
    <n v="7.742"/>
  </r>
  <r>
    <x v="6"/>
    <d v="2011-02-04T00:00:00"/>
    <n v="1606629.58"/>
    <x v="0"/>
    <n v="42.27"/>
    <n v="2.9889999999999999"/>
    <n v="212.56688120000001"/>
    <n v="7.742"/>
  </r>
  <r>
    <x v="6"/>
    <d v="2011-02-11T00:00:00"/>
    <n v="1649614.93"/>
    <x v="1"/>
    <n v="36.39"/>
    <n v="3.0219999999999998"/>
    <n v="212.93670460000001"/>
    <n v="7.742"/>
  </r>
  <r>
    <x v="6"/>
    <d v="2011-02-18T00:00:00"/>
    <n v="1686842.78"/>
    <x v="0"/>
    <n v="57.36"/>
    <n v="3.0449999999999999"/>
    <n v="213.24788530000001"/>
    <n v="7.742"/>
  </r>
  <r>
    <x v="6"/>
    <d v="2011-02-25T00:00:00"/>
    <n v="1456800.28"/>
    <x v="0"/>
    <n v="62.9"/>
    <n v="3.0649999999999999"/>
    <n v="213.53560899999999"/>
    <n v="7.742"/>
  </r>
  <r>
    <x v="6"/>
    <d v="2011-03-04T00:00:00"/>
    <n v="1636263.41"/>
    <x v="0"/>
    <n v="59.58"/>
    <n v="3.2879999999999998"/>
    <n v="213.82333270000001"/>
    <n v="7.742"/>
  </r>
  <r>
    <x v="6"/>
    <d v="2011-03-11T00:00:00"/>
    <n v="1553191.63"/>
    <x v="0"/>
    <n v="53.56"/>
    <n v="3.4590000000000001"/>
    <n v="214.1110564"/>
    <n v="7.742"/>
  </r>
  <r>
    <x v="6"/>
    <d v="2011-03-18T00:00:00"/>
    <n v="1576818.06"/>
    <x v="0"/>
    <n v="62.76"/>
    <n v="3.488"/>
    <n v="214.36271139999999"/>
    <n v="7.742"/>
  </r>
  <r>
    <x v="0"/>
    <d v="2011-03-25T00:00:00"/>
    <n v="1541102.38"/>
    <x v="0"/>
    <n v="69.97"/>
    <n v="3.4729999999999999"/>
    <n v="214.59993890000001"/>
    <n v="7.742"/>
  </r>
  <r>
    <x v="7"/>
    <d v="2011-04-01T00:00:00"/>
    <n v="1495064.75"/>
    <x v="0"/>
    <n v="59.17"/>
    <n v="3.524"/>
    <n v="214.8371664"/>
    <n v="7.6820000000000004"/>
  </r>
  <r>
    <x v="7"/>
    <d v="2011-04-08T00:00:00"/>
    <n v="1614259.35"/>
    <x v="0"/>
    <n v="67.84"/>
    <n v="3.6219999999999999"/>
    <n v="215.07439389999999"/>
    <n v="7.6820000000000004"/>
  </r>
  <r>
    <x v="7"/>
    <d v="2011-04-15T00:00:00"/>
    <n v="1559889"/>
    <x v="0"/>
    <n v="71.27"/>
    <n v="3.7429999999999999"/>
    <n v="215.29185609999999"/>
    <n v="7.6820000000000004"/>
  </r>
  <r>
    <x v="7"/>
    <d v="2011-04-22T00:00:00"/>
    <n v="1564819.81"/>
    <x v="0"/>
    <n v="72.989999999999995"/>
    <n v="3.8069999999999999"/>
    <n v="215.4599053"/>
    <n v="7.6820000000000004"/>
  </r>
  <r>
    <x v="7"/>
    <d v="2011-04-29T00:00:00"/>
    <n v="1455090.69"/>
    <x v="0"/>
    <n v="72.03"/>
    <n v="3.81"/>
    <n v="215.62795439999999"/>
    <n v="7.6820000000000004"/>
  </r>
  <r>
    <x v="7"/>
    <d v="2011-05-06T00:00:00"/>
    <n v="1629391.28"/>
    <x v="0"/>
    <n v="64.61"/>
    <n v="3.9060000000000001"/>
    <n v="215.79600350000001"/>
    <n v="7.6820000000000004"/>
  </r>
  <r>
    <x v="7"/>
    <d v="2011-05-13T00:00:00"/>
    <n v="1604775.58"/>
    <x v="0"/>
    <n v="75.64"/>
    <n v="3.899"/>
    <n v="215.9640526"/>
    <n v="7.6820000000000004"/>
  </r>
  <r>
    <x v="7"/>
    <d v="2011-05-20T00:00:00"/>
    <n v="1428218.27"/>
    <x v="0"/>
    <n v="67.63"/>
    <n v="3.907"/>
    <n v="215.7339202"/>
    <n v="7.6820000000000004"/>
  </r>
  <r>
    <x v="0"/>
    <d v="2011-05-27T00:00:00"/>
    <n v="1466046.67"/>
    <x v="0"/>
    <n v="77.72"/>
    <n v="3.786"/>
    <n v="215.5037878"/>
    <n v="7.6820000000000004"/>
  </r>
  <r>
    <x v="7"/>
    <d v="2011-06-03T00:00:00"/>
    <n v="1635078.41"/>
    <x v="0"/>
    <n v="83"/>
    <n v="3.6989999999999998"/>
    <n v="215.2736553"/>
    <n v="7.6820000000000004"/>
  </r>
  <r>
    <x v="0"/>
    <d v="2011-06-10T00:00:00"/>
    <n v="1588948.32"/>
    <x v="0"/>
    <n v="83.13"/>
    <n v="3.6480000000000001"/>
    <n v="215.0435229"/>
    <n v="7.6820000000000004"/>
  </r>
  <r>
    <x v="7"/>
    <d v="2011-06-17T00:00:00"/>
    <n v="1532114.86"/>
    <x v="0"/>
    <n v="86.41"/>
    <n v="3.637"/>
    <n v="214.9980596"/>
    <n v="7.6820000000000004"/>
  </r>
  <r>
    <x v="0"/>
    <d v="2011-06-24T00:00:00"/>
    <n v="1438830.15"/>
    <x v="0"/>
    <n v="83.58"/>
    <n v="3.5939999999999999"/>
    <n v="215.0910982"/>
    <n v="7.6820000000000004"/>
  </r>
  <r>
    <x v="0"/>
    <d v="2011-07-01T00:00:00"/>
    <n v="1488538.09"/>
    <x v="0"/>
    <n v="85.55"/>
    <n v="3.524"/>
    <n v="215.1841368"/>
    <n v="7.9619999999999997"/>
  </r>
  <r>
    <x v="7"/>
    <d v="2011-07-08T00:00:00"/>
    <n v="1534849.64"/>
    <x v="0"/>
    <n v="85.83"/>
    <n v="3.48"/>
    <n v="215.2771754"/>
    <n v="7.9619999999999997"/>
  </r>
  <r>
    <x v="0"/>
    <d v="2011-07-15T00:00:00"/>
    <n v="1455119.97"/>
    <x v="0"/>
    <n v="88.54"/>
    <n v="3.5750000000000002"/>
    <n v="215.36110869999999"/>
    <n v="7.9619999999999997"/>
  </r>
  <r>
    <x v="7"/>
    <d v="2011-07-22T00:00:00"/>
    <n v="1396926.82"/>
    <x v="0"/>
    <n v="85.77"/>
    <n v="3.6509999999999998"/>
    <n v="215.42227840000001"/>
    <n v="7.9619999999999997"/>
  </r>
  <r>
    <x v="7"/>
    <d v="2011-07-29T00:00:00"/>
    <n v="1352219.79"/>
    <x v="0"/>
    <n v="86.83"/>
    <n v="3.6819999999999999"/>
    <n v="215.4834482"/>
    <n v="7.9619999999999997"/>
  </r>
  <r>
    <x v="0"/>
    <d v="2011-08-05T00:00:00"/>
    <n v="1624383.75"/>
    <x v="0"/>
    <n v="91.65"/>
    <n v="3.6840000000000002"/>
    <n v="215.54461800000001"/>
    <n v="7.9619999999999997"/>
  </r>
  <r>
    <x v="8"/>
    <d v="2011-08-12T00:00:00"/>
    <n v="1525147.09"/>
    <x v="0"/>
    <n v="90.76"/>
    <n v="3.6379999999999999"/>
    <n v="215.6057878"/>
    <n v="7.9619999999999997"/>
  </r>
  <r>
    <x v="8"/>
    <d v="2011-08-19T00:00:00"/>
    <n v="1530761.43"/>
    <x v="0"/>
    <n v="89.94"/>
    <n v="3.5539999999999998"/>
    <n v="215.66931070000001"/>
    <n v="7.9619999999999997"/>
  </r>
  <r>
    <x v="8"/>
    <d v="2011-08-26T00:00:00"/>
    <n v="1464693.46"/>
    <x v="0"/>
    <n v="87.96"/>
    <n v="3.5230000000000001"/>
    <n v="215.73322580000001"/>
    <n v="7.9619999999999997"/>
  </r>
  <r>
    <x v="8"/>
    <d v="2011-09-02T00:00:00"/>
    <n v="1550229.22"/>
    <x v="0"/>
    <n v="87.83"/>
    <n v="3.5329999999999999"/>
    <n v="215.79714089999999"/>
    <n v="7.9619999999999997"/>
  </r>
  <r>
    <x v="8"/>
    <d v="2011-09-09T00:00:00"/>
    <n v="1540471.24"/>
    <x v="1"/>
    <n v="76"/>
    <n v="3.5459999999999998"/>
    <n v="215.86105599999999"/>
    <n v="7.9619999999999997"/>
  </r>
  <r>
    <x v="8"/>
    <d v="2011-09-16T00:00:00"/>
    <n v="1514259.78"/>
    <x v="0"/>
    <n v="79.94"/>
    <n v="3.5259999999999998"/>
    <n v="216.0410526"/>
    <n v="7.9619999999999997"/>
  </r>
  <r>
    <x v="8"/>
    <d v="2011-09-23T00:00:00"/>
    <n v="1380020.27"/>
    <x v="0"/>
    <n v="75.8"/>
    <n v="3.4670000000000001"/>
    <n v="216.37582459999999"/>
    <n v="7.9619999999999997"/>
  </r>
  <r>
    <x v="0"/>
    <d v="2011-09-30T00:00:00"/>
    <n v="1394561.83"/>
    <x v="0"/>
    <n v="79.69"/>
    <n v="3.355"/>
    <n v="216.71059650000001"/>
    <n v="7.9619999999999997"/>
  </r>
  <r>
    <x v="8"/>
    <d v="2011-10-07T00:00:00"/>
    <n v="1630989.95"/>
    <x v="0"/>
    <n v="69.31"/>
    <n v="3.2850000000000001"/>
    <n v="217.0453684"/>
    <n v="7.8659999999999997"/>
  </r>
  <r>
    <x v="8"/>
    <d v="2011-10-14T00:00:00"/>
    <n v="1493525.93"/>
    <x v="0"/>
    <n v="71.739999999999995"/>
    <n v="3.274"/>
    <n v="217.35527329999999"/>
    <n v="7.8659999999999997"/>
  </r>
  <r>
    <x v="8"/>
    <d v="2011-10-21T00:00:00"/>
    <n v="1502562.78"/>
    <x v="0"/>
    <n v="63.71"/>
    <n v="3.3530000000000002"/>
    <n v="217.51597620000001"/>
    <n v="7.8659999999999997"/>
  </r>
  <r>
    <x v="8"/>
    <d v="2011-10-28T00:00:00"/>
    <n v="1445249.09"/>
    <x v="0"/>
    <n v="66.569999999999993"/>
    <n v="3.3719999999999999"/>
    <n v="217.6766791"/>
    <n v="7.8659999999999997"/>
  </r>
  <r>
    <x v="8"/>
    <d v="2011-11-04T00:00:00"/>
    <n v="1697229.58"/>
    <x v="0"/>
    <n v="54.98"/>
    <n v="3.3319999999999999"/>
    <n v="217.83738199999999"/>
    <n v="7.8659999999999997"/>
  </r>
  <r>
    <x v="8"/>
    <d v="2011-11-11T00:00:00"/>
    <n v="1594938.89"/>
    <x v="0"/>
    <n v="59.11"/>
    <n v="3.2970000000000002"/>
    <n v="217.99808490000001"/>
    <n v="7.8659999999999997"/>
  </r>
  <r>
    <x v="8"/>
    <d v="2011-11-18T00:00:00"/>
    <n v="1539483.7"/>
    <x v="0"/>
    <n v="62.25"/>
    <n v="3.3079999999999998"/>
    <n v="218.2205088"/>
    <n v="7.8659999999999997"/>
  </r>
  <r>
    <x v="8"/>
    <d v="2011-11-25T00:00:00"/>
    <n v="2033320.66"/>
    <x v="1"/>
    <n v="60.14"/>
    <n v="3.2360000000000002"/>
    <n v="218.4676211"/>
    <n v="7.8659999999999997"/>
  </r>
  <r>
    <x v="8"/>
    <d v="2011-12-02T00:00:00"/>
    <n v="1584083.95"/>
    <x v="0"/>
    <n v="48.91"/>
    <n v="3.1720000000000002"/>
    <n v="218.71473330000001"/>
    <n v="7.8659999999999997"/>
  </r>
  <r>
    <x v="9"/>
    <d v="2011-12-09T00:00:00"/>
    <n v="1799682.38"/>
    <x v="0"/>
    <n v="43.93"/>
    <n v="3.1579999999999999"/>
    <n v="218.9618456"/>
    <n v="7.8659999999999997"/>
  </r>
  <r>
    <x v="9"/>
    <d v="2011-12-16T00:00:00"/>
    <n v="1881176.67"/>
    <x v="0"/>
    <n v="51.63"/>
    <n v="3.1589999999999998"/>
    <n v="219.17945330000001"/>
    <n v="7.8659999999999997"/>
  </r>
  <r>
    <x v="9"/>
    <d v="2011-12-23T00:00:00"/>
    <n v="2270188.9900000002"/>
    <x v="0"/>
    <n v="47.96"/>
    <n v="3.1120000000000001"/>
    <n v="219.35772159999999"/>
    <n v="7.8659999999999997"/>
  </r>
  <r>
    <x v="10"/>
    <m/>
    <m/>
    <x v="2"/>
    <m/>
    <m/>
    <m/>
    <m/>
  </r>
  <r>
    <x v="10"/>
    <m/>
    <m/>
    <x v="2"/>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A776DB-C2C1-4438-BEE7-E5419958D90F}"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4">
    <pivotField dataField="1" subtotalTop="0" showAll="0" defaultSubtotal="0"/>
    <pivotField axis="axisRow" allDrilled="1" showAll="0" dataSourceSort="1" defaultAttributeDrillState="1">
      <items count="3">
        <item x="0"/>
        <item x="1"/>
        <item t="default"/>
      </items>
    </pivotField>
    <pivotField axis="axisRow" allDrilled="1" subtotalTop="0" showAll="0" dataSourceSort="1" defaultSubtotal="0" defaultAttributeDrillState="1">
      <items count="2">
        <item x="0"/>
        <item x="1"/>
      </items>
    </pivotField>
    <pivotField dataField="1" subtotalTop="0" showAll="0" defaultSubtotal="0"/>
  </pivotFields>
  <rowFields count="2">
    <field x="1"/>
    <field x="2"/>
  </rowFields>
  <rowItems count="7">
    <i>
      <x/>
    </i>
    <i r="1">
      <x/>
    </i>
    <i r="1">
      <x v="1"/>
    </i>
    <i>
      <x v="1"/>
    </i>
    <i r="1">
      <x/>
    </i>
    <i r="1">
      <x v="1"/>
    </i>
    <i t="grand">
      <x/>
    </i>
  </rowItems>
  <colFields count="1">
    <field x="-2"/>
  </colFields>
  <colItems count="2">
    <i>
      <x/>
    </i>
    <i i="1">
      <x v="1"/>
    </i>
  </colItems>
  <dataFields count="2">
    <dataField name="Sum of Weekly_Sales" fld="0" baseField="0" baseItem="0"/>
    <dataField name="Sum of Weekly_Sales" fld="3" baseField="0" baseItem="0"/>
  </dataField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780B86-D15B-4360-BC11-0923841A2801}"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620C5C-6F1B-4977-B07B-79151A56DCF2}" name="PivotTable7"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5:M15" firstHeaderRow="1" firstDataRow="2" firstDataCol="1"/>
  <pivotFields count="8">
    <pivotField axis="axisRow" showAll="0">
      <items count="12">
        <item x="0"/>
        <item x="1"/>
        <item x="2"/>
        <item x="3"/>
        <item x="4"/>
        <item x="5"/>
        <item x="6"/>
        <item x="7"/>
        <item h="1" x="8"/>
        <item h="1" x="9"/>
        <item h="1" x="10"/>
        <item t="default"/>
      </items>
    </pivotField>
    <pivotField showAll="0"/>
    <pivotField dataField="1" showAll="0"/>
    <pivotField axis="axisCol" showAll="0">
      <items count="4">
        <item x="0"/>
        <item x="1"/>
        <item h="1" x="2"/>
        <item t="default"/>
      </items>
    </pivotField>
    <pivotField showAll="0"/>
    <pivotField showAll="0"/>
    <pivotField showAll="0"/>
    <pivotField showAll="0"/>
  </pivotFields>
  <rowFields count="1">
    <field x="0"/>
  </rowFields>
  <rowItems count="9">
    <i>
      <x/>
    </i>
    <i>
      <x v="1"/>
    </i>
    <i>
      <x v="2"/>
    </i>
    <i>
      <x v="3"/>
    </i>
    <i>
      <x v="4"/>
    </i>
    <i>
      <x v="5"/>
    </i>
    <i>
      <x v="6"/>
    </i>
    <i>
      <x v="7"/>
    </i>
    <i t="grand">
      <x/>
    </i>
  </rowItems>
  <colFields count="1">
    <field x="3"/>
  </colFields>
  <colItems count="3">
    <i>
      <x/>
    </i>
    <i>
      <x v="1"/>
    </i>
    <i t="grand">
      <x/>
    </i>
  </colItems>
  <dataFields count="1">
    <dataField name="Average of Weekly_Sales" fld="2" subtotal="average" baseField="0" baseItem="1"/>
  </dataFields>
  <chartFormats count="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C966A4E8-11CE-424E-9E0C-3A16E223AFBD}" sourceName="Store">
  <pivotTables>
    <pivotTable tabId="1" name="PivotTable7"/>
  </pivotTables>
  <data>
    <tabular pivotCacheId="1745126780">
      <items count="11">
        <i x="0" s="1"/>
        <i x="1" s="1"/>
        <i x="2" s="1"/>
        <i x="3" s="1"/>
        <i x="4" s="1"/>
        <i x="5" s="1"/>
        <i x="6" s="1"/>
        <i x="7" s="1"/>
        <i x="8"/>
        <i x="9"/>
        <i x="1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_Flag" xr10:uid="{D78A9662-3117-4437-91F2-20445C737529}" sourceName="Holiday_Flag">
  <pivotTables>
    <pivotTable tabId="1" name="PivotTable7"/>
  </pivotTables>
  <data>
    <tabular pivotCacheId="1745126780">
      <items count="3">
        <i x="0" s="1"/>
        <i x="1"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945583B2-C694-42B0-83F9-D22C54FF17AD}" cache="Slicer_Store" caption="Store" rowHeight="241300"/>
  <slicer name="Holiday_Flag" xr10:uid="{7E8C5A09-7E19-46BB-9071-100E5D4B11E7}" cache="Slicer_Holiday_Flag" caption="Holiday_Flag"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EF0B07-C838-4473-8C0D-63C10C4CF758}" name="Table2" displayName="Table2" ref="A1:H101" totalsRowShown="0">
  <autoFilter ref="A1:H101" xr:uid="{53EF0B07-C838-4473-8C0D-63C10C4CF758}">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D6DAFCC1-BD32-4DD5-BE9C-674CB0BE5CF9}" name="Store"/>
    <tableColumn id="2" xr3:uid="{511DA07F-A890-41D1-9900-26E9F81A7278}" name="Date" dataDxfId="0"/>
    <tableColumn id="3" xr3:uid="{9D166FA0-9904-4036-BBDB-1CC273F01635}" name="Weekly_Sales"/>
    <tableColumn id="4" xr3:uid="{F5E90D21-19A5-44CC-ADFC-0C74595C55AA}" name="Holiday_Flag"/>
    <tableColumn id="5" xr3:uid="{BCA8B3A5-0855-426B-9E9B-7B6DDFC2BD6C}" name="Temperature"/>
    <tableColumn id="6" xr3:uid="{653DF46D-AABE-4A60-9714-B2F2E54A1498}" name="Fuel_Price"/>
    <tableColumn id="7" xr3:uid="{C8BE29E8-BE64-43B0-A71E-B63DCD92A327}" name="CPI"/>
    <tableColumn id="8" xr3:uid="{D6007B0C-F932-4F64-BF97-72FC0D979052}" name="Unemploy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3.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79E57-1A32-4D89-AE22-CF4F33416958}">
  <dimension ref="A3:C10"/>
  <sheetViews>
    <sheetView workbookViewId="0">
      <selection activeCell="A3" sqref="A3"/>
    </sheetView>
  </sheetViews>
  <sheetFormatPr defaultRowHeight="15" x14ac:dyDescent="0.25"/>
  <cols>
    <col min="1" max="1" width="13.140625" bestFit="1" customWidth="1"/>
    <col min="2" max="3" width="20.28515625" bestFit="1" customWidth="1"/>
  </cols>
  <sheetData>
    <row r="3" spans="1:3" x14ac:dyDescent="0.25">
      <c r="A3" s="10" t="s">
        <v>5</v>
      </c>
      <c r="B3" t="s">
        <v>11</v>
      </c>
      <c r="C3" t="s">
        <v>11</v>
      </c>
    </row>
    <row r="4" spans="1:3" x14ac:dyDescent="0.25">
      <c r="A4" s="11" t="s">
        <v>6</v>
      </c>
      <c r="B4" s="13"/>
      <c r="C4" s="13">
        <v>152703288.11000001</v>
      </c>
    </row>
    <row r="5" spans="1:3" x14ac:dyDescent="0.25">
      <c r="A5" s="14">
        <v>0</v>
      </c>
      <c r="B5" s="13"/>
      <c r="C5" s="13">
        <v>141007519.03</v>
      </c>
    </row>
    <row r="6" spans="1:3" x14ac:dyDescent="0.25">
      <c r="A6" s="14">
        <v>1</v>
      </c>
      <c r="B6" s="13"/>
      <c r="C6" s="13">
        <v>11695769.08</v>
      </c>
    </row>
    <row r="7" spans="1:3" x14ac:dyDescent="0.25">
      <c r="A7" s="11">
        <v>1</v>
      </c>
      <c r="B7" s="13">
        <v>152703288.10999998</v>
      </c>
      <c r="C7" s="13">
        <v>152703288.11000001</v>
      </c>
    </row>
    <row r="8" spans="1:3" x14ac:dyDescent="0.25">
      <c r="A8" s="14">
        <v>0</v>
      </c>
      <c r="B8" s="13">
        <v>152703288.10999998</v>
      </c>
      <c r="C8" s="13">
        <v>141007519.03</v>
      </c>
    </row>
    <row r="9" spans="1:3" x14ac:dyDescent="0.25">
      <c r="A9" s="14">
        <v>1</v>
      </c>
      <c r="B9" s="13">
        <v>152703288.10999998</v>
      </c>
      <c r="C9" s="13">
        <v>11695769.08</v>
      </c>
    </row>
    <row r="10" spans="1:3" x14ac:dyDescent="0.25">
      <c r="A10" s="11" t="s">
        <v>7</v>
      </c>
      <c r="B10" s="13">
        <v>152703288.10999998</v>
      </c>
      <c r="C10" s="13">
        <v>152703288.11000001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1848D-3E88-4E96-82B6-B67EF8EDC4F6}">
  <dimension ref="A3:C20"/>
  <sheetViews>
    <sheetView workbookViewId="0">
      <selection activeCell="G22" sqref="G22"/>
    </sheetView>
  </sheetViews>
  <sheetFormatPr defaultRowHeight="15" x14ac:dyDescent="0.25"/>
  <sheetData>
    <row r="3" spans="1:3" x14ac:dyDescent="0.25">
      <c r="A3" s="1"/>
      <c r="B3" s="2"/>
      <c r="C3" s="3"/>
    </row>
    <row r="4" spans="1:3" x14ac:dyDescent="0.25">
      <c r="A4" s="4"/>
      <c r="B4" s="5"/>
      <c r="C4" s="6"/>
    </row>
    <row r="5" spans="1:3" x14ac:dyDescent="0.25">
      <c r="A5" s="4"/>
      <c r="B5" s="5"/>
      <c r="C5" s="6"/>
    </row>
    <row r="6" spans="1:3" x14ac:dyDescent="0.25">
      <c r="A6" s="4"/>
      <c r="B6" s="5"/>
      <c r="C6" s="6"/>
    </row>
    <row r="7" spans="1:3" x14ac:dyDescent="0.25">
      <c r="A7" s="4"/>
      <c r="B7" s="5"/>
      <c r="C7" s="6"/>
    </row>
    <row r="8" spans="1:3" x14ac:dyDescent="0.25">
      <c r="A8" s="4"/>
      <c r="B8" s="5"/>
      <c r="C8" s="6"/>
    </row>
    <row r="9" spans="1:3" x14ac:dyDescent="0.25">
      <c r="A9" s="4"/>
      <c r="B9" s="5"/>
      <c r="C9" s="6"/>
    </row>
    <row r="10" spans="1:3" x14ac:dyDescent="0.25">
      <c r="A10" s="4"/>
      <c r="B10" s="5"/>
      <c r="C10" s="6"/>
    </row>
    <row r="11" spans="1:3" x14ac:dyDescent="0.25">
      <c r="A11" s="4"/>
      <c r="B11" s="5"/>
      <c r="C11" s="6"/>
    </row>
    <row r="12" spans="1:3" x14ac:dyDescent="0.25">
      <c r="A12" s="4"/>
      <c r="B12" s="5"/>
      <c r="C12" s="6"/>
    </row>
    <row r="13" spans="1:3" x14ac:dyDescent="0.25">
      <c r="A13" s="4"/>
      <c r="B13" s="5"/>
      <c r="C13" s="6"/>
    </row>
    <row r="14" spans="1:3" x14ac:dyDescent="0.25">
      <c r="A14" s="4"/>
      <c r="B14" s="5"/>
      <c r="C14" s="6"/>
    </row>
    <row r="15" spans="1:3" x14ac:dyDescent="0.25">
      <c r="A15" s="4"/>
      <c r="B15" s="5"/>
      <c r="C15" s="6"/>
    </row>
    <row r="16" spans="1:3" x14ac:dyDescent="0.25">
      <c r="A16" s="4"/>
      <c r="B16" s="5"/>
      <c r="C16" s="6"/>
    </row>
    <row r="17" spans="1:3" x14ac:dyDescent="0.25">
      <c r="A17" s="4"/>
      <c r="B17" s="5"/>
      <c r="C17" s="6"/>
    </row>
    <row r="18" spans="1:3" x14ac:dyDescent="0.25">
      <c r="A18" s="4"/>
      <c r="B18" s="5"/>
      <c r="C18" s="6"/>
    </row>
    <row r="19" spans="1:3" x14ac:dyDescent="0.25">
      <c r="A19" s="4"/>
      <c r="B19" s="5"/>
      <c r="C19" s="6"/>
    </row>
    <row r="20" spans="1:3" x14ac:dyDescent="0.25">
      <c r="A20" s="7"/>
      <c r="B20" s="8"/>
      <c r="C2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18F24-346A-4FF7-834E-28129ABAAC06}">
  <dimension ref="A1:M101"/>
  <sheetViews>
    <sheetView tabSelected="1" topLeftCell="B1" workbookViewId="0">
      <selection activeCell="P22" sqref="P22"/>
    </sheetView>
  </sheetViews>
  <sheetFormatPr defaultRowHeight="15" x14ac:dyDescent="0.25"/>
  <cols>
    <col min="1" max="1" width="14.42578125" customWidth="1"/>
    <col min="2" max="2" width="14.7109375" customWidth="1"/>
    <col min="3" max="3" width="15.5703125" customWidth="1"/>
    <col min="4" max="4" width="14.42578125" customWidth="1"/>
    <col min="5" max="5" width="14.7109375" customWidth="1"/>
    <col min="6" max="6" width="12.42578125" customWidth="1"/>
    <col min="8" max="8" width="17.140625" customWidth="1"/>
    <col min="9" max="9" width="13.140625" bestFit="1" customWidth="1"/>
    <col min="10" max="10" width="23.85546875" bestFit="1" customWidth="1"/>
    <col min="11" max="11" width="16.28515625" bestFit="1" customWidth="1"/>
    <col min="12" max="13" width="12" bestFit="1" customWidth="1"/>
    <col min="14" max="14" width="12.7109375" customWidth="1"/>
    <col min="15" max="15" width="13.140625" bestFit="1" customWidth="1"/>
    <col min="16" max="16" width="20.28515625" bestFit="1" customWidth="1"/>
  </cols>
  <sheetData>
    <row r="1" spans="1:13" x14ac:dyDescent="0.25">
      <c r="A1" t="s">
        <v>8</v>
      </c>
      <c r="B1" t="s">
        <v>9</v>
      </c>
      <c r="C1" t="s">
        <v>10</v>
      </c>
      <c r="D1" t="s">
        <v>0</v>
      </c>
      <c r="E1" t="s">
        <v>1</v>
      </c>
      <c r="F1" t="s">
        <v>2</v>
      </c>
      <c r="G1" t="s">
        <v>3</v>
      </c>
      <c r="H1" t="s">
        <v>4</v>
      </c>
    </row>
    <row r="2" spans="1:13" ht="21" x14ac:dyDescent="0.35">
      <c r="A2">
        <v>1</v>
      </c>
      <c r="B2" s="12">
        <v>40214</v>
      </c>
      <c r="C2">
        <v>1643690.9</v>
      </c>
      <c r="D2">
        <v>0</v>
      </c>
      <c r="E2">
        <v>42.31</v>
      </c>
      <c r="F2">
        <v>2.5720000000000001</v>
      </c>
      <c r="G2">
        <v>211.0963582</v>
      </c>
      <c r="H2">
        <v>8.1059999999999999</v>
      </c>
      <c r="L2" s="15" t="s">
        <v>14</v>
      </c>
    </row>
    <row r="3" spans="1:13" x14ac:dyDescent="0.25">
      <c r="A3">
        <v>1</v>
      </c>
      <c r="B3" s="12">
        <v>40221</v>
      </c>
      <c r="C3">
        <v>1641957.44</v>
      </c>
      <c r="D3">
        <v>1</v>
      </c>
      <c r="E3">
        <v>38.51</v>
      </c>
      <c r="F3">
        <v>2.548</v>
      </c>
      <c r="G3">
        <v>211.2421698</v>
      </c>
      <c r="H3">
        <v>8.1059999999999999</v>
      </c>
    </row>
    <row r="4" spans="1:13" x14ac:dyDescent="0.25">
      <c r="A4">
        <v>1</v>
      </c>
      <c r="B4" s="12">
        <v>40228</v>
      </c>
      <c r="C4">
        <v>1611968.17</v>
      </c>
      <c r="D4">
        <v>0</v>
      </c>
      <c r="E4">
        <v>39.93</v>
      </c>
      <c r="F4">
        <v>2.5139999999999998</v>
      </c>
      <c r="G4">
        <v>211.2891429</v>
      </c>
      <c r="H4">
        <v>8.1059999999999999</v>
      </c>
    </row>
    <row r="5" spans="1:13" x14ac:dyDescent="0.25">
      <c r="A5">
        <v>1</v>
      </c>
      <c r="B5" s="12">
        <v>40235</v>
      </c>
      <c r="C5">
        <v>1409727.59</v>
      </c>
      <c r="D5">
        <v>0</v>
      </c>
      <c r="E5">
        <v>46.63</v>
      </c>
      <c r="F5">
        <v>2.5609999999999999</v>
      </c>
      <c r="G5">
        <v>211.31964289999999</v>
      </c>
      <c r="H5">
        <v>8.1059999999999999</v>
      </c>
      <c r="J5" s="10" t="s">
        <v>12</v>
      </c>
      <c r="K5" s="10" t="s">
        <v>13</v>
      </c>
    </row>
    <row r="6" spans="1:13" x14ac:dyDescent="0.25">
      <c r="A6">
        <v>1</v>
      </c>
      <c r="B6" s="12">
        <v>40242</v>
      </c>
      <c r="C6">
        <v>1554806.68</v>
      </c>
      <c r="D6">
        <v>0</v>
      </c>
      <c r="E6">
        <v>46.5</v>
      </c>
      <c r="F6">
        <v>2.625</v>
      </c>
      <c r="G6">
        <v>211.35014290000001</v>
      </c>
      <c r="H6">
        <v>8.1059999999999999</v>
      </c>
      <c r="J6" s="10" t="s">
        <v>5</v>
      </c>
      <c r="K6">
        <v>0</v>
      </c>
      <c r="L6">
        <v>1</v>
      </c>
      <c r="M6" t="s">
        <v>7</v>
      </c>
    </row>
    <row r="7" spans="1:13" x14ac:dyDescent="0.25">
      <c r="A7">
        <v>1</v>
      </c>
      <c r="B7" s="12">
        <v>40249</v>
      </c>
      <c r="C7">
        <v>1439541.59</v>
      </c>
      <c r="D7">
        <v>0</v>
      </c>
      <c r="E7">
        <v>57.79</v>
      </c>
      <c r="F7">
        <v>2.6669999999999998</v>
      </c>
      <c r="G7">
        <v>211.3806429</v>
      </c>
      <c r="H7">
        <v>8.1059999999999999</v>
      </c>
      <c r="J7" s="11">
        <v>1</v>
      </c>
      <c r="K7" s="13">
        <v>1515684.9106666665</v>
      </c>
      <c r="L7" s="13">
        <v>1641957.44</v>
      </c>
      <c r="M7" s="13">
        <v>1523576.9437499999</v>
      </c>
    </row>
    <row r="8" spans="1:13" x14ac:dyDescent="0.25">
      <c r="A8">
        <v>1</v>
      </c>
      <c r="B8" s="12">
        <v>40256</v>
      </c>
      <c r="C8">
        <v>1472515.79</v>
      </c>
      <c r="D8">
        <v>0</v>
      </c>
      <c r="E8">
        <v>54.58</v>
      </c>
      <c r="F8">
        <v>2.72</v>
      </c>
      <c r="G8">
        <v>211.21563499999999</v>
      </c>
      <c r="H8">
        <v>8.1059999999999999</v>
      </c>
      <c r="J8" s="11">
        <v>2</v>
      </c>
      <c r="K8" s="13">
        <v>1480566.7255555557</v>
      </c>
      <c r="L8" s="13"/>
      <c r="M8" s="13">
        <v>1480566.7255555557</v>
      </c>
    </row>
    <row r="9" spans="1:13" x14ac:dyDescent="0.25">
      <c r="A9">
        <v>2</v>
      </c>
      <c r="B9" s="12">
        <v>40263</v>
      </c>
      <c r="C9">
        <v>1404429.92</v>
      </c>
      <c r="D9">
        <v>0</v>
      </c>
      <c r="E9">
        <v>51.45</v>
      </c>
      <c r="F9">
        <v>2.7320000000000002</v>
      </c>
      <c r="G9">
        <v>211.01804240000001</v>
      </c>
      <c r="H9">
        <v>8.1059999999999999</v>
      </c>
      <c r="J9" s="11">
        <v>3</v>
      </c>
      <c r="K9" s="13">
        <v>1487627.5388888889</v>
      </c>
      <c r="L9" s="13"/>
      <c r="M9" s="13">
        <v>1487627.5388888889</v>
      </c>
    </row>
    <row r="10" spans="1:13" x14ac:dyDescent="0.25">
      <c r="A10">
        <v>2</v>
      </c>
      <c r="B10" s="12">
        <v>40270</v>
      </c>
      <c r="C10">
        <v>1594968.28</v>
      </c>
      <c r="D10">
        <v>0</v>
      </c>
      <c r="E10">
        <v>62.27</v>
      </c>
      <c r="F10">
        <v>2.7189999999999999</v>
      </c>
      <c r="G10">
        <v>210.8204499</v>
      </c>
      <c r="H10">
        <v>7.8079999999999998</v>
      </c>
      <c r="J10" s="11">
        <v>4</v>
      </c>
      <c r="K10" s="13">
        <v>1452111.5714285714</v>
      </c>
      <c r="L10" s="13">
        <v>1507460.69</v>
      </c>
      <c r="M10" s="13">
        <v>1459030.2112499999</v>
      </c>
    </row>
    <row r="11" spans="1:13" x14ac:dyDescent="0.25">
      <c r="A11">
        <v>2</v>
      </c>
      <c r="B11" s="12">
        <v>40277</v>
      </c>
      <c r="C11">
        <v>1545418.53</v>
      </c>
      <c r="D11">
        <v>0</v>
      </c>
      <c r="E11">
        <v>65.86</v>
      </c>
      <c r="F11">
        <v>2.77</v>
      </c>
      <c r="G11">
        <v>210.62285739999999</v>
      </c>
      <c r="H11">
        <v>7.8079999999999998</v>
      </c>
      <c r="J11" s="11">
        <v>5</v>
      </c>
      <c r="K11" s="13">
        <v>1469844.2755555555</v>
      </c>
      <c r="L11" s="13">
        <v>1955624.11</v>
      </c>
      <c r="M11" s="13">
        <v>1518422.2589999998</v>
      </c>
    </row>
    <row r="12" spans="1:13" x14ac:dyDescent="0.25">
      <c r="A12">
        <v>2</v>
      </c>
      <c r="B12" s="12">
        <v>40284</v>
      </c>
      <c r="C12">
        <v>1466058.28</v>
      </c>
      <c r="D12">
        <v>0</v>
      </c>
      <c r="E12">
        <v>66.319999999999993</v>
      </c>
      <c r="F12">
        <v>2.8079999999999998</v>
      </c>
      <c r="G12">
        <v>210.48869999999999</v>
      </c>
      <c r="H12">
        <v>7.8079999999999998</v>
      </c>
      <c r="J12" s="11">
        <v>6</v>
      </c>
      <c r="K12" s="13">
        <v>1759469.1260000002</v>
      </c>
      <c r="L12" s="13">
        <v>1367320.01</v>
      </c>
      <c r="M12" s="13">
        <v>1694110.9400000002</v>
      </c>
    </row>
    <row r="13" spans="1:13" x14ac:dyDescent="0.25">
      <c r="A13">
        <v>2</v>
      </c>
      <c r="B13" s="12">
        <v>40291</v>
      </c>
      <c r="C13">
        <v>1391256.12</v>
      </c>
      <c r="D13">
        <v>0</v>
      </c>
      <c r="E13">
        <v>64.84</v>
      </c>
      <c r="F13">
        <v>2.7949999999999999</v>
      </c>
      <c r="G13">
        <v>210.43912280000001</v>
      </c>
      <c r="H13">
        <v>7.8079999999999998</v>
      </c>
      <c r="J13" s="11">
        <v>7</v>
      </c>
      <c r="K13" s="13">
        <v>1520106.3087500001</v>
      </c>
      <c r="L13" s="13">
        <v>1649614.93</v>
      </c>
      <c r="M13" s="13">
        <v>1534496.1555555556</v>
      </c>
    </row>
    <row r="14" spans="1:13" x14ac:dyDescent="0.25">
      <c r="A14">
        <v>2</v>
      </c>
      <c r="B14" s="12">
        <v>40298</v>
      </c>
      <c r="C14">
        <v>1425100.71</v>
      </c>
      <c r="D14">
        <v>0</v>
      </c>
      <c r="E14">
        <v>67.41</v>
      </c>
      <c r="F14">
        <v>2.78</v>
      </c>
      <c r="G14">
        <v>210.38954559999999</v>
      </c>
      <c r="H14">
        <v>7.8079999999999998</v>
      </c>
      <c r="J14" s="11">
        <v>8</v>
      </c>
      <c r="K14" s="13">
        <v>1523284.4807692305</v>
      </c>
      <c r="L14" s="13"/>
      <c r="M14" s="13">
        <v>1523284.4807692305</v>
      </c>
    </row>
    <row r="15" spans="1:13" x14ac:dyDescent="0.25">
      <c r="A15">
        <v>2</v>
      </c>
      <c r="B15" s="12">
        <v>40305</v>
      </c>
      <c r="C15">
        <v>1603955.12</v>
      </c>
      <c r="D15">
        <v>0</v>
      </c>
      <c r="E15">
        <v>72.55</v>
      </c>
      <c r="F15">
        <v>2.835</v>
      </c>
      <c r="G15">
        <v>210.3399684</v>
      </c>
      <c r="H15">
        <v>7.8079999999999998</v>
      </c>
      <c r="J15" s="11" t="s">
        <v>7</v>
      </c>
      <c r="K15" s="13">
        <v>1514710.6116000002</v>
      </c>
      <c r="L15" s="13">
        <v>1624395.436</v>
      </c>
      <c r="M15" s="13">
        <v>1521565.913125</v>
      </c>
    </row>
    <row r="16" spans="1:13" x14ac:dyDescent="0.25">
      <c r="A16">
        <v>2</v>
      </c>
      <c r="B16" s="12">
        <v>40312</v>
      </c>
      <c r="C16">
        <v>1494251.5</v>
      </c>
      <c r="D16">
        <v>0</v>
      </c>
      <c r="E16">
        <v>74.78</v>
      </c>
      <c r="F16">
        <v>2.8540000000000001</v>
      </c>
      <c r="G16">
        <v>210.33742609999999</v>
      </c>
      <c r="H16">
        <v>7.8079999999999998</v>
      </c>
    </row>
    <row r="17" spans="1:8" x14ac:dyDescent="0.25">
      <c r="A17">
        <v>2</v>
      </c>
      <c r="B17" s="12">
        <v>40319</v>
      </c>
      <c r="C17">
        <v>1399662.07</v>
      </c>
      <c r="D17">
        <v>0</v>
      </c>
      <c r="E17">
        <v>76.44</v>
      </c>
      <c r="F17">
        <v>2.8260000000000001</v>
      </c>
      <c r="G17">
        <v>210.61709339999999</v>
      </c>
      <c r="H17">
        <v>7.8079999999999998</v>
      </c>
    </row>
    <row r="18" spans="1:8" x14ac:dyDescent="0.25">
      <c r="A18">
        <v>3</v>
      </c>
      <c r="B18" s="12">
        <v>40326</v>
      </c>
      <c r="C18">
        <v>1432069.95</v>
      </c>
      <c r="D18">
        <v>0</v>
      </c>
      <c r="E18">
        <v>80.44</v>
      </c>
      <c r="F18">
        <v>2.7589999999999999</v>
      </c>
      <c r="G18">
        <v>210.89676059999999</v>
      </c>
      <c r="H18">
        <v>7.8079999999999998</v>
      </c>
    </row>
    <row r="19" spans="1:8" x14ac:dyDescent="0.25">
      <c r="A19">
        <v>3</v>
      </c>
      <c r="B19" s="12">
        <v>40333</v>
      </c>
      <c r="C19">
        <v>1615524.71</v>
      </c>
      <c r="D19">
        <v>0</v>
      </c>
      <c r="E19">
        <v>80.69</v>
      </c>
      <c r="F19">
        <v>2.7050000000000001</v>
      </c>
      <c r="G19">
        <v>211.1764278</v>
      </c>
      <c r="H19">
        <v>7.8079999999999998</v>
      </c>
    </row>
    <row r="20" spans="1:8" x14ac:dyDescent="0.25">
      <c r="A20">
        <v>3</v>
      </c>
      <c r="B20" s="12">
        <v>40340</v>
      </c>
      <c r="C20">
        <v>1542561.09</v>
      </c>
      <c r="D20">
        <v>0</v>
      </c>
      <c r="E20">
        <v>80.430000000000007</v>
      </c>
      <c r="F20">
        <v>2.6680000000000001</v>
      </c>
      <c r="G20">
        <v>211.4560951</v>
      </c>
      <c r="H20">
        <v>7.8079999999999998</v>
      </c>
    </row>
    <row r="21" spans="1:8" x14ac:dyDescent="0.25">
      <c r="A21">
        <v>3</v>
      </c>
      <c r="B21" s="12">
        <v>40347</v>
      </c>
      <c r="C21">
        <v>1503284.06</v>
      </c>
      <c r="D21">
        <v>0</v>
      </c>
      <c r="E21">
        <v>84.11</v>
      </c>
      <c r="F21">
        <v>2.637</v>
      </c>
      <c r="G21">
        <v>211.45377189999999</v>
      </c>
      <c r="H21">
        <v>7.8079999999999998</v>
      </c>
    </row>
    <row r="22" spans="1:8" x14ac:dyDescent="0.25">
      <c r="A22">
        <v>3</v>
      </c>
      <c r="B22" s="12">
        <v>40354</v>
      </c>
      <c r="C22">
        <v>1422711.6</v>
      </c>
      <c r="D22">
        <v>0</v>
      </c>
      <c r="E22">
        <v>84.34</v>
      </c>
      <c r="F22">
        <v>2.653</v>
      </c>
      <c r="G22">
        <v>211.33865259999999</v>
      </c>
      <c r="H22">
        <v>7.8079999999999998</v>
      </c>
    </row>
    <row r="23" spans="1:8" x14ac:dyDescent="0.25">
      <c r="A23">
        <v>3</v>
      </c>
      <c r="B23" s="12">
        <v>40361</v>
      </c>
      <c r="C23">
        <v>1492418.14</v>
      </c>
      <c r="D23">
        <v>0</v>
      </c>
      <c r="E23">
        <v>80.91</v>
      </c>
      <c r="F23">
        <v>2.669</v>
      </c>
      <c r="G23">
        <v>211.22353330000001</v>
      </c>
      <c r="H23">
        <v>7.7869999999999999</v>
      </c>
    </row>
    <row r="24" spans="1:8" x14ac:dyDescent="0.25">
      <c r="A24">
        <v>3</v>
      </c>
      <c r="B24" s="12">
        <v>40368</v>
      </c>
      <c r="C24">
        <v>1546074.18</v>
      </c>
      <c r="D24">
        <v>0</v>
      </c>
      <c r="E24">
        <v>80.48</v>
      </c>
      <c r="F24">
        <v>2.6419999999999999</v>
      </c>
      <c r="G24">
        <v>211.10841400000001</v>
      </c>
      <c r="H24">
        <v>7.7869999999999999</v>
      </c>
    </row>
    <row r="25" spans="1:8" x14ac:dyDescent="0.25">
      <c r="A25">
        <v>3</v>
      </c>
      <c r="B25" s="12">
        <v>40375</v>
      </c>
      <c r="C25">
        <v>1448938.92</v>
      </c>
      <c r="D25">
        <v>0</v>
      </c>
      <c r="E25">
        <v>83.15</v>
      </c>
      <c r="F25">
        <v>2.6230000000000002</v>
      </c>
      <c r="G25">
        <v>211.10038539999999</v>
      </c>
      <c r="H25">
        <v>7.7869999999999999</v>
      </c>
    </row>
    <row r="26" spans="1:8" x14ac:dyDescent="0.25">
      <c r="A26">
        <v>3</v>
      </c>
      <c r="B26" s="12">
        <v>40382</v>
      </c>
      <c r="C26">
        <v>1385065.2</v>
      </c>
      <c r="D26">
        <v>0</v>
      </c>
      <c r="E26">
        <v>83.36</v>
      </c>
      <c r="F26">
        <v>2.6080000000000001</v>
      </c>
      <c r="G26">
        <v>211.2351443</v>
      </c>
      <c r="H26">
        <v>7.7869999999999999</v>
      </c>
    </row>
    <row r="27" spans="1:8" x14ac:dyDescent="0.25">
      <c r="A27">
        <v>4</v>
      </c>
      <c r="B27" s="12">
        <v>40389</v>
      </c>
      <c r="C27">
        <v>1371986.6</v>
      </c>
      <c r="D27">
        <v>0</v>
      </c>
      <c r="E27">
        <v>81.84</v>
      </c>
      <c r="F27">
        <v>2.64</v>
      </c>
      <c r="G27">
        <v>211.36990320000001</v>
      </c>
      <c r="H27">
        <v>7.7869999999999999</v>
      </c>
    </row>
    <row r="28" spans="1:8" x14ac:dyDescent="0.25">
      <c r="A28">
        <v>1</v>
      </c>
      <c r="B28" s="12">
        <v>40396</v>
      </c>
      <c r="C28">
        <v>1605491.78</v>
      </c>
      <c r="D28">
        <v>0</v>
      </c>
      <c r="E28">
        <v>87.16</v>
      </c>
      <c r="F28">
        <v>2.6269999999999998</v>
      </c>
      <c r="G28">
        <v>211.50466209999999</v>
      </c>
      <c r="H28">
        <v>7.7869999999999999</v>
      </c>
    </row>
    <row r="29" spans="1:8" x14ac:dyDescent="0.25">
      <c r="A29">
        <v>4</v>
      </c>
      <c r="B29" s="12">
        <v>40403</v>
      </c>
      <c r="C29">
        <v>1508237.76</v>
      </c>
      <c r="D29">
        <v>0</v>
      </c>
      <c r="E29">
        <v>87</v>
      </c>
      <c r="F29">
        <v>2.6920000000000002</v>
      </c>
      <c r="G29">
        <v>211.63942109999999</v>
      </c>
      <c r="H29">
        <v>7.7869999999999999</v>
      </c>
    </row>
    <row r="30" spans="1:8" x14ac:dyDescent="0.25">
      <c r="A30">
        <v>4</v>
      </c>
      <c r="B30" s="12">
        <v>40410</v>
      </c>
      <c r="C30">
        <v>1513080.49</v>
      </c>
      <c r="D30">
        <v>0</v>
      </c>
      <c r="E30">
        <v>86.65</v>
      </c>
      <c r="F30">
        <v>2.6640000000000001</v>
      </c>
      <c r="G30">
        <v>211.60336330000001</v>
      </c>
      <c r="H30">
        <v>7.7869999999999999</v>
      </c>
    </row>
    <row r="31" spans="1:8" x14ac:dyDescent="0.25">
      <c r="A31">
        <v>4</v>
      </c>
      <c r="B31" s="12">
        <v>40417</v>
      </c>
      <c r="C31">
        <v>1449142.92</v>
      </c>
      <c r="D31">
        <v>0</v>
      </c>
      <c r="E31">
        <v>85.22</v>
      </c>
      <c r="F31">
        <v>2.6190000000000002</v>
      </c>
      <c r="G31">
        <v>211.5673056</v>
      </c>
      <c r="H31">
        <v>7.7869999999999999</v>
      </c>
    </row>
    <row r="32" spans="1:8" x14ac:dyDescent="0.25">
      <c r="A32">
        <v>4</v>
      </c>
      <c r="B32" s="12">
        <v>40424</v>
      </c>
      <c r="C32">
        <v>1540163.53</v>
      </c>
      <c r="D32">
        <v>0</v>
      </c>
      <c r="E32">
        <v>81.209999999999994</v>
      </c>
      <c r="F32">
        <v>2.577</v>
      </c>
      <c r="G32">
        <v>211.53124790000001</v>
      </c>
      <c r="H32">
        <v>7.7869999999999999</v>
      </c>
    </row>
    <row r="33" spans="1:8" x14ac:dyDescent="0.25">
      <c r="A33">
        <v>4</v>
      </c>
      <c r="B33" s="12">
        <v>40431</v>
      </c>
      <c r="C33">
        <v>1507460.69</v>
      </c>
      <c r="D33">
        <v>1</v>
      </c>
      <c r="E33">
        <v>78.69</v>
      </c>
      <c r="F33">
        <v>2.5649999999999999</v>
      </c>
      <c r="G33">
        <v>211.4951902</v>
      </c>
      <c r="H33">
        <v>7.7869999999999999</v>
      </c>
    </row>
    <row r="34" spans="1:8" x14ac:dyDescent="0.25">
      <c r="A34">
        <v>4</v>
      </c>
      <c r="B34" s="12">
        <v>40438</v>
      </c>
      <c r="C34">
        <v>1430378.67</v>
      </c>
      <c r="D34">
        <v>0</v>
      </c>
      <c r="E34">
        <v>82.11</v>
      </c>
      <c r="F34">
        <v>2.5819999999999999</v>
      </c>
      <c r="G34">
        <v>211.52245959999999</v>
      </c>
      <c r="H34">
        <v>7.7869999999999999</v>
      </c>
    </row>
    <row r="35" spans="1:8" x14ac:dyDescent="0.25">
      <c r="A35">
        <v>4</v>
      </c>
      <c r="B35" s="12">
        <v>40445</v>
      </c>
      <c r="C35">
        <v>1351791.03</v>
      </c>
      <c r="D35">
        <v>0</v>
      </c>
      <c r="E35">
        <v>80.94</v>
      </c>
      <c r="F35">
        <v>2.6240000000000001</v>
      </c>
      <c r="G35">
        <v>211.5972246</v>
      </c>
      <c r="H35">
        <v>7.7869999999999999</v>
      </c>
    </row>
    <row r="36" spans="1:8" x14ac:dyDescent="0.25">
      <c r="A36">
        <v>5</v>
      </c>
      <c r="B36" s="12">
        <v>40452</v>
      </c>
      <c r="C36">
        <v>1453329.5</v>
      </c>
      <c r="D36">
        <v>0</v>
      </c>
      <c r="E36">
        <v>71.89</v>
      </c>
      <c r="F36">
        <v>2.6030000000000002</v>
      </c>
      <c r="G36">
        <v>211.6719895</v>
      </c>
      <c r="H36">
        <v>7.8380000000000001</v>
      </c>
    </row>
    <row r="37" spans="1:8" x14ac:dyDescent="0.25">
      <c r="A37">
        <v>5</v>
      </c>
      <c r="B37" s="12">
        <v>40459</v>
      </c>
      <c r="C37">
        <v>1508239.93</v>
      </c>
      <c r="D37">
        <v>0</v>
      </c>
      <c r="E37">
        <v>63.93</v>
      </c>
      <c r="F37">
        <v>2.633</v>
      </c>
      <c r="G37">
        <v>211.74675439999999</v>
      </c>
      <c r="H37">
        <v>7.8380000000000001</v>
      </c>
    </row>
    <row r="38" spans="1:8" x14ac:dyDescent="0.25">
      <c r="A38">
        <v>5</v>
      </c>
      <c r="B38" s="12">
        <v>40466</v>
      </c>
      <c r="C38">
        <v>1459409.1</v>
      </c>
      <c r="D38">
        <v>0</v>
      </c>
      <c r="E38">
        <v>67.180000000000007</v>
      </c>
      <c r="F38">
        <v>2.72</v>
      </c>
      <c r="G38">
        <v>211.81374360000001</v>
      </c>
      <c r="H38">
        <v>7.8380000000000001</v>
      </c>
    </row>
    <row r="39" spans="1:8" x14ac:dyDescent="0.25">
      <c r="A39">
        <v>5</v>
      </c>
      <c r="B39" s="12">
        <v>40473</v>
      </c>
      <c r="C39">
        <v>1345454</v>
      </c>
      <c r="D39">
        <v>0</v>
      </c>
      <c r="E39">
        <v>69.86</v>
      </c>
      <c r="F39">
        <v>2.7250000000000001</v>
      </c>
      <c r="G39">
        <v>211.8612937</v>
      </c>
      <c r="H39">
        <v>7.8380000000000001</v>
      </c>
    </row>
    <row r="40" spans="1:8" x14ac:dyDescent="0.25">
      <c r="A40">
        <v>5</v>
      </c>
      <c r="B40" s="12">
        <v>40480</v>
      </c>
      <c r="C40">
        <v>1384209.22</v>
      </c>
      <c r="D40">
        <v>0</v>
      </c>
      <c r="E40">
        <v>69.64</v>
      </c>
      <c r="F40">
        <v>2.7160000000000002</v>
      </c>
      <c r="G40">
        <v>211.9088438</v>
      </c>
      <c r="H40">
        <v>7.8380000000000001</v>
      </c>
    </row>
    <row r="41" spans="1:8" x14ac:dyDescent="0.25">
      <c r="A41">
        <v>5</v>
      </c>
      <c r="B41" s="12">
        <v>40487</v>
      </c>
      <c r="C41">
        <v>1551659.28</v>
      </c>
      <c r="D41">
        <v>0</v>
      </c>
      <c r="E41">
        <v>58.74</v>
      </c>
      <c r="F41">
        <v>2.6890000000000001</v>
      </c>
      <c r="G41">
        <v>211.95639389999999</v>
      </c>
      <c r="H41">
        <v>7.8380000000000001</v>
      </c>
    </row>
    <row r="42" spans="1:8" x14ac:dyDescent="0.25">
      <c r="A42">
        <v>5</v>
      </c>
      <c r="B42" s="12">
        <v>40494</v>
      </c>
      <c r="C42">
        <v>1494479.49</v>
      </c>
      <c r="D42">
        <v>0</v>
      </c>
      <c r="E42">
        <v>59.61</v>
      </c>
      <c r="F42">
        <v>2.7280000000000002</v>
      </c>
      <c r="G42">
        <v>212.00394399999999</v>
      </c>
      <c r="H42">
        <v>7.8380000000000001</v>
      </c>
    </row>
    <row r="43" spans="1:8" x14ac:dyDescent="0.25">
      <c r="A43">
        <v>5</v>
      </c>
      <c r="B43" s="12">
        <v>40501</v>
      </c>
      <c r="C43">
        <v>1483784.18</v>
      </c>
      <c r="D43">
        <v>0</v>
      </c>
      <c r="E43">
        <v>51.41</v>
      </c>
      <c r="F43">
        <v>2.7709999999999999</v>
      </c>
      <c r="G43">
        <v>211.8896737</v>
      </c>
      <c r="H43">
        <v>7.8380000000000001</v>
      </c>
    </row>
    <row r="44" spans="1:8" x14ac:dyDescent="0.25">
      <c r="A44">
        <v>5</v>
      </c>
      <c r="B44" s="12">
        <v>40508</v>
      </c>
      <c r="C44">
        <v>1955624.11</v>
      </c>
      <c r="D44">
        <v>1</v>
      </c>
      <c r="E44">
        <v>64.52</v>
      </c>
      <c r="F44">
        <v>2.7349999999999999</v>
      </c>
      <c r="G44">
        <v>211.74843329999999</v>
      </c>
      <c r="H44">
        <v>7.8380000000000001</v>
      </c>
    </row>
    <row r="45" spans="1:8" x14ac:dyDescent="0.25">
      <c r="A45">
        <v>5</v>
      </c>
      <c r="B45" s="12">
        <v>40515</v>
      </c>
      <c r="C45">
        <v>1548033.78</v>
      </c>
      <c r="D45">
        <v>0</v>
      </c>
      <c r="E45">
        <v>49.27</v>
      </c>
      <c r="F45">
        <v>2.7080000000000002</v>
      </c>
      <c r="G45">
        <v>211.607193</v>
      </c>
      <c r="H45">
        <v>7.8380000000000001</v>
      </c>
    </row>
    <row r="46" spans="1:8" x14ac:dyDescent="0.25">
      <c r="A46">
        <v>6</v>
      </c>
      <c r="B46" s="12">
        <v>40522</v>
      </c>
      <c r="C46">
        <v>1682614.26</v>
      </c>
      <c r="D46">
        <v>0</v>
      </c>
      <c r="E46">
        <v>46.33</v>
      </c>
      <c r="F46">
        <v>2.843</v>
      </c>
      <c r="G46">
        <v>211.46595260000001</v>
      </c>
      <c r="H46">
        <v>7.8380000000000001</v>
      </c>
    </row>
    <row r="47" spans="1:8" x14ac:dyDescent="0.25">
      <c r="A47">
        <v>6</v>
      </c>
      <c r="B47" s="12">
        <v>40529</v>
      </c>
      <c r="C47">
        <v>1891034.93</v>
      </c>
      <c r="D47">
        <v>0</v>
      </c>
      <c r="E47">
        <v>49.84</v>
      </c>
      <c r="F47">
        <v>2.8690000000000002</v>
      </c>
      <c r="G47">
        <v>211.40531240000001</v>
      </c>
      <c r="H47">
        <v>7.8380000000000001</v>
      </c>
    </row>
    <row r="48" spans="1:8" x14ac:dyDescent="0.25">
      <c r="A48">
        <v>6</v>
      </c>
      <c r="B48" s="12">
        <v>40536</v>
      </c>
      <c r="C48">
        <v>2387950.2000000002</v>
      </c>
      <c r="D48">
        <v>0</v>
      </c>
      <c r="E48">
        <v>52.33</v>
      </c>
      <c r="F48">
        <v>2.8860000000000001</v>
      </c>
      <c r="G48">
        <v>211.40512219999999</v>
      </c>
      <c r="H48">
        <v>7.8380000000000001</v>
      </c>
    </row>
    <row r="49" spans="1:8" x14ac:dyDescent="0.25">
      <c r="A49">
        <v>6</v>
      </c>
      <c r="B49" s="12">
        <v>40543</v>
      </c>
      <c r="C49">
        <v>1367320.01</v>
      </c>
      <c r="D49">
        <v>1</v>
      </c>
      <c r="E49">
        <v>48.43</v>
      </c>
      <c r="F49">
        <v>2.9430000000000001</v>
      </c>
      <c r="G49">
        <v>211.4049321</v>
      </c>
      <c r="H49">
        <v>7.8380000000000001</v>
      </c>
    </row>
    <row r="50" spans="1:8" x14ac:dyDescent="0.25">
      <c r="A50">
        <v>6</v>
      </c>
      <c r="B50" s="12">
        <v>40550</v>
      </c>
      <c r="C50">
        <v>1444732.28</v>
      </c>
      <c r="D50">
        <v>0</v>
      </c>
      <c r="E50">
        <v>48.27</v>
      </c>
      <c r="F50">
        <v>2.976</v>
      </c>
      <c r="G50">
        <v>211.4047419</v>
      </c>
      <c r="H50">
        <v>7.742</v>
      </c>
    </row>
    <row r="51" spans="1:8" x14ac:dyDescent="0.25">
      <c r="A51">
        <v>6</v>
      </c>
      <c r="B51" s="12">
        <v>40557</v>
      </c>
      <c r="C51">
        <v>1391013.96</v>
      </c>
      <c r="D51">
        <v>0</v>
      </c>
      <c r="E51">
        <v>35.4</v>
      </c>
      <c r="F51">
        <v>2.9830000000000001</v>
      </c>
      <c r="G51">
        <v>211.45741090000001</v>
      </c>
      <c r="H51">
        <v>7.742</v>
      </c>
    </row>
    <row r="52" spans="1:8" x14ac:dyDescent="0.25">
      <c r="A52">
        <v>7</v>
      </c>
      <c r="B52" s="12">
        <v>40564</v>
      </c>
      <c r="C52">
        <v>1327405.42</v>
      </c>
      <c r="D52">
        <v>0</v>
      </c>
      <c r="E52">
        <v>44.04</v>
      </c>
      <c r="F52">
        <v>3.016</v>
      </c>
      <c r="G52">
        <v>211.82723429999999</v>
      </c>
      <c r="H52">
        <v>7.742</v>
      </c>
    </row>
    <row r="53" spans="1:8" x14ac:dyDescent="0.25">
      <c r="A53">
        <v>7</v>
      </c>
      <c r="B53" s="12">
        <v>40571</v>
      </c>
      <c r="C53">
        <v>1316899.31</v>
      </c>
      <c r="D53">
        <v>0</v>
      </c>
      <c r="E53">
        <v>43.83</v>
      </c>
      <c r="F53">
        <v>3.01</v>
      </c>
      <c r="G53">
        <v>212.19705769999999</v>
      </c>
      <c r="H53">
        <v>7.742</v>
      </c>
    </row>
    <row r="54" spans="1:8" x14ac:dyDescent="0.25">
      <c r="A54">
        <v>7</v>
      </c>
      <c r="B54" s="12">
        <v>40578</v>
      </c>
      <c r="C54">
        <v>1606629.58</v>
      </c>
      <c r="D54">
        <v>0</v>
      </c>
      <c r="E54">
        <v>42.27</v>
      </c>
      <c r="F54">
        <v>2.9889999999999999</v>
      </c>
      <c r="G54">
        <v>212.56688120000001</v>
      </c>
      <c r="H54">
        <v>7.742</v>
      </c>
    </row>
    <row r="55" spans="1:8" x14ac:dyDescent="0.25">
      <c r="A55">
        <v>7</v>
      </c>
      <c r="B55" s="12">
        <v>40585</v>
      </c>
      <c r="C55">
        <v>1649614.93</v>
      </c>
      <c r="D55">
        <v>1</v>
      </c>
      <c r="E55">
        <v>36.39</v>
      </c>
      <c r="F55">
        <v>3.0219999999999998</v>
      </c>
      <c r="G55">
        <v>212.93670460000001</v>
      </c>
      <c r="H55">
        <v>7.742</v>
      </c>
    </row>
    <row r="56" spans="1:8" x14ac:dyDescent="0.25">
      <c r="A56">
        <v>7</v>
      </c>
      <c r="B56" s="12">
        <v>40592</v>
      </c>
      <c r="C56">
        <v>1686842.78</v>
      </c>
      <c r="D56">
        <v>0</v>
      </c>
      <c r="E56">
        <v>57.36</v>
      </c>
      <c r="F56">
        <v>3.0449999999999999</v>
      </c>
      <c r="G56">
        <v>213.24788530000001</v>
      </c>
      <c r="H56">
        <v>7.742</v>
      </c>
    </row>
    <row r="57" spans="1:8" x14ac:dyDescent="0.25">
      <c r="A57">
        <v>7</v>
      </c>
      <c r="B57" s="12">
        <v>40599</v>
      </c>
      <c r="C57">
        <v>1456800.28</v>
      </c>
      <c r="D57">
        <v>0</v>
      </c>
      <c r="E57">
        <v>62.9</v>
      </c>
      <c r="F57">
        <v>3.0649999999999999</v>
      </c>
      <c r="G57">
        <v>213.53560899999999</v>
      </c>
      <c r="H57">
        <v>7.742</v>
      </c>
    </row>
    <row r="58" spans="1:8" x14ac:dyDescent="0.25">
      <c r="A58">
        <v>7</v>
      </c>
      <c r="B58" s="12">
        <v>40606</v>
      </c>
      <c r="C58">
        <v>1636263.41</v>
      </c>
      <c r="D58">
        <v>0</v>
      </c>
      <c r="E58">
        <v>59.58</v>
      </c>
      <c r="F58">
        <v>3.2879999999999998</v>
      </c>
      <c r="G58">
        <v>213.82333270000001</v>
      </c>
      <c r="H58">
        <v>7.742</v>
      </c>
    </row>
    <row r="59" spans="1:8" x14ac:dyDescent="0.25">
      <c r="A59">
        <v>7</v>
      </c>
      <c r="B59" s="12">
        <v>40613</v>
      </c>
      <c r="C59">
        <v>1553191.63</v>
      </c>
      <c r="D59">
        <v>0</v>
      </c>
      <c r="E59">
        <v>53.56</v>
      </c>
      <c r="F59">
        <v>3.4590000000000001</v>
      </c>
      <c r="G59">
        <v>214.1110564</v>
      </c>
      <c r="H59">
        <v>7.742</v>
      </c>
    </row>
    <row r="60" spans="1:8" x14ac:dyDescent="0.25">
      <c r="A60">
        <v>7</v>
      </c>
      <c r="B60" s="12">
        <v>40620</v>
      </c>
      <c r="C60">
        <v>1576818.06</v>
      </c>
      <c r="D60">
        <v>0</v>
      </c>
      <c r="E60">
        <v>62.76</v>
      </c>
      <c r="F60">
        <v>3.488</v>
      </c>
      <c r="G60">
        <v>214.36271139999999</v>
      </c>
      <c r="H60">
        <v>7.742</v>
      </c>
    </row>
    <row r="61" spans="1:8" x14ac:dyDescent="0.25">
      <c r="A61">
        <v>1</v>
      </c>
      <c r="B61" s="12">
        <v>40627</v>
      </c>
      <c r="C61">
        <v>1541102.38</v>
      </c>
      <c r="D61">
        <v>0</v>
      </c>
      <c r="E61">
        <v>69.97</v>
      </c>
      <c r="F61">
        <v>3.4729999999999999</v>
      </c>
      <c r="G61">
        <v>214.59993890000001</v>
      </c>
      <c r="H61">
        <v>7.742</v>
      </c>
    </row>
    <row r="62" spans="1:8" x14ac:dyDescent="0.25">
      <c r="A62">
        <v>8</v>
      </c>
      <c r="B62" s="12">
        <v>40634</v>
      </c>
      <c r="C62">
        <v>1495064.75</v>
      </c>
      <c r="D62">
        <v>0</v>
      </c>
      <c r="E62">
        <v>59.17</v>
      </c>
      <c r="F62">
        <v>3.524</v>
      </c>
      <c r="G62">
        <v>214.8371664</v>
      </c>
      <c r="H62">
        <v>7.6820000000000004</v>
      </c>
    </row>
    <row r="63" spans="1:8" x14ac:dyDescent="0.25">
      <c r="A63">
        <v>8</v>
      </c>
      <c r="B63" s="12">
        <v>40641</v>
      </c>
      <c r="C63">
        <v>1614259.35</v>
      </c>
      <c r="D63">
        <v>0</v>
      </c>
      <c r="E63">
        <v>67.84</v>
      </c>
      <c r="F63">
        <v>3.6219999999999999</v>
      </c>
      <c r="G63">
        <v>215.07439389999999</v>
      </c>
      <c r="H63">
        <v>7.6820000000000004</v>
      </c>
    </row>
    <row r="64" spans="1:8" x14ac:dyDescent="0.25">
      <c r="A64">
        <v>8</v>
      </c>
      <c r="B64" s="12">
        <v>40648</v>
      </c>
      <c r="C64">
        <v>1559889</v>
      </c>
      <c r="D64">
        <v>0</v>
      </c>
      <c r="E64">
        <v>71.27</v>
      </c>
      <c r="F64">
        <v>3.7429999999999999</v>
      </c>
      <c r="G64">
        <v>215.29185609999999</v>
      </c>
      <c r="H64">
        <v>7.6820000000000004</v>
      </c>
    </row>
    <row r="65" spans="1:8" x14ac:dyDescent="0.25">
      <c r="A65">
        <v>8</v>
      </c>
      <c r="B65" s="12">
        <v>40655</v>
      </c>
      <c r="C65">
        <v>1564819.81</v>
      </c>
      <c r="D65">
        <v>0</v>
      </c>
      <c r="E65">
        <v>72.989999999999995</v>
      </c>
      <c r="F65">
        <v>3.8069999999999999</v>
      </c>
      <c r="G65">
        <v>215.4599053</v>
      </c>
      <c r="H65">
        <v>7.6820000000000004</v>
      </c>
    </row>
    <row r="66" spans="1:8" x14ac:dyDescent="0.25">
      <c r="A66">
        <v>8</v>
      </c>
      <c r="B66" s="12">
        <v>40662</v>
      </c>
      <c r="C66">
        <v>1455090.69</v>
      </c>
      <c r="D66">
        <v>0</v>
      </c>
      <c r="E66">
        <v>72.03</v>
      </c>
      <c r="F66">
        <v>3.81</v>
      </c>
      <c r="G66">
        <v>215.62795439999999</v>
      </c>
      <c r="H66">
        <v>7.6820000000000004</v>
      </c>
    </row>
    <row r="67" spans="1:8" x14ac:dyDescent="0.25">
      <c r="A67">
        <v>8</v>
      </c>
      <c r="B67" s="12">
        <v>40669</v>
      </c>
      <c r="C67">
        <v>1629391.28</v>
      </c>
      <c r="D67">
        <v>0</v>
      </c>
      <c r="E67">
        <v>64.61</v>
      </c>
      <c r="F67">
        <v>3.9060000000000001</v>
      </c>
      <c r="G67">
        <v>215.79600350000001</v>
      </c>
      <c r="H67">
        <v>7.6820000000000004</v>
      </c>
    </row>
    <row r="68" spans="1:8" x14ac:dyDescent="0.25">
      <c r="A68">
        <v>8</v>
      </c>
      <c r="B68" s="12">
        <v>40676</v>
      </c>
      <c r="C68">
        <v>1604775.58</v>
      </c>
      <c r="D68">
        <v>0</v>
      </c>
      <c r="E68">
        <v>75.64</v>
      </c>
      <c r="F68">
        <v>3.899</v>
      </c>
      <c r="G68">
        <v>215.9640526</v>
      </c>
      <c r="H68">
        <v>7.6820000000000004</v>
      </c>
    </row>
    <row r="69" spans="1:8" x14ac:dyDescent="0.25">
      <c r="A69">
        <v>8</v>
      </c>
      <c r="B69" s="12">
        <v>40683</v>
      </c>
      <c r="C69">
        <v>1428218.27</v>
      </c>
      <c r="D69">
        <v>0</v>
      </c>
      <c r="E69">
        <v>67.63</v>
      </c>
      <c r="F69">
        <v>3.907</v>
      </c>
      <c r="G69">
        <v>215.7339202</v>
      </c>
      <c r="H69">
        <v>7.6820000000000004</v>
      </c>
    </row>
    <row r="70" spans="1:8" x14ac:dyDescent="0.25">
      <c r="A70">
        <v>1</v>
      </c>
      <c r="B70" s="12">
        <v>40690</v>
      </c>
      <c r="C70">
        <v>1466046.67</v>
      </c>
      <c r="D70">
        <v>0</v>
      </c>
      <c r="E70">
        <v>77.72</v>
      </c>
      <c r="F70">
        <v>3.786</v>
      </c>
      <c r="G70">
        <v>215.5037878</v>
      </c>
      <c r="H70">
        <v>7.6820000000000004</v>
      </c>
    </row>
    <row r="71" spans="1:8" x14ac:dyDescent="0.25">
      <c r="A71">
        <v>8</v>
      </c>
      <c r="B71" s="12">
        <v>40697</v>
      </c>
      <c r="C71">
        <v>1635078.41</v>
      </c>
      <c r="D71">
        <v>0</v>
      </c>
      <c r="E71">
        <v>83</v>
      </c>
      <c r="F71">
        <v>3.6989999999999998</v>
      </c>
      <c r="G71">
        <v>215.2736553</v>
      </c>
      <c r="H71">
        <v>7.6820000000000004</v>
      </c>
    </row>
    <row r="72" spans="1:8" x14ac:dyDescent="0.25">
      <c r="A72">
        <v>1</v>
      </c>
      <c r="B72" s="12">
        <v>40704</v>
      </c>
      <c r="C72">
        <v>1588948.32</v>
      </c>
      <c r="D72">
        <v>0</v>
      </c>
      <c r="E72">
        <v>83.13</v>
      </c>
      <c r="F72">
        <v>3.6480000000000001</v>
      </c>
      <c r="G72">
        <v>215.0435229</v>
      </c>
      <c r="H72">
        <v>7.6820000000000004</v>
      </c>
    </row>
    <row r="73" spans="1:8" x14ac:dyDescent="0.25">
      <c r="A73">
        <v>8</v>
      </c>
      <c r="B73" s="12">
        <v>40711</v>
      </c>
      <c r="C73">
        <v>1532114.86</v>
      </c>
      <c r="D73">
        <v>0</v>
      </c>
      <c r="E73">
        <v>86.41</v>
      </c>
      <c r="F73">
        <v>3.637</v>
      </c>
      <c r="G73">
        <v>214.9980596</v>
      </c>
      <c r="H73">
        <v>7.6820000000000004</v>
      </c>
    </row>
    <row r="74" spans="1:8" x14ac:dyDescent="0.25">
      <c r="A74">
        <v>1</v>
      </c>
      <c r="B74" s="12">
        <v>40718</v>
      </c>
      <c r="C74">
        <v>1438830.15</v>
      </c>
      <c r="D74">
        <v>0</v>
      </c>
      <c r="E74">
        <v>83.58</v>
      </c>
      <c r="F74">
        <v>3.5939999999999999</v>
      </c>
      <c r="G74">
        <v>215.0910982</v>
      </c>
      <c r="H74">
        <v>7.6820000000000004</v>
      </c>
    </row>
    <row r="75" spans="1:8" x14ac:dyDescent="0.25">
      <c r="A75">
        <v>1</v>
      </c>
      <c r="B75" s="12">
        <v>40725</v>
      </c>
      <c r="C75">
        <v>1488538.09</v>
      </c>
      <c r="D75">
        <v>0</v>
      </c>
      <c r="E75">
        <v>85.55</v>
      </c>
      <c r="F75">
        <v>3.524</v>
      </c>
      <c r="G75">
        <v>215.1841368</v>
      </c>
      <c r="H75">
        <v>7.9619999999999997</v>
      </c>
    </row>
    <row r="76" spans="1:8" x14ac:dyDescent="0.25">
      <c r="A76">
        <v>8</v>
      </c>
      <c r="B76" s="12">
        <v>40732</v>
      </c>
      <c r="C76">
        <v>1534849.64</v>
      </c>
      <c r="D76">
        <v>0</v>
      </c>
      <c r="E76">
        <v>85.83</v>
      </c>
      <c r="F76">
        <v>3.48</v>
      </c>
      <c r="G76">
        <v>215.2771754</v>
      </c>
      <c r="H76">
        <v>7.9619999999999997</v>
      </c>
    </row>
    <row r="77" spans="1:8" x14ac:dyDescent="0.25">
      <c r="A77">
        <v>1</v>
      </c>
      <c r="B77" s="12">
        <v>40739</v>
      </c>
      <c r="C77">
        <v>1455119.97</v>
      </c>
      <c r="D77">
        <v>0</v>
      </c>
      <c r="E77">
        <v>88.54</v>
      </c>
      <c r="F77">
        <v>3.5750000000000002</v>
      </c>
      <c r="G77">
        <v>215.36110869999999</v>
      </c>
      <c r="H77">
        <v>7.9619999999999997</v>
      </c>
    </row>
    <row r="78" spans="1:8" x14ac:dyDescent="0.25">
      <c r="A78">
        <v>8</v>
      </c>
      <c r="B78" s="12">
        <v>40746</v>
      </c>
      <c r="C78">
        <v>1396926.82</v>
      </c>
      <c r="D78">
        <v>0</v>
      </c>
      <c r="E78">
        <v>85.77</v>
      </c>
      <c r="F78">
        <v>3.6509999999999998</v>
      </c>
      <c r="G78">
        <v>215.42227840000001</v>
      </c>
      <c r="H78">
        <v>7.9619999999999997</v>
      </c>
    </row>
    <row r="79" spans="1:8" x14ac:dyDescent="0.25">
      <c r="A79">
        <v>8</v>
      </c>
      <c r="B79" s="12">
        <v>40753</v>
      </c>
      <c r="C79">
        <v>1352219.79</v>
      </c>
      <c r="D79">
        <v>0</v>
      </c>
      <c r="E79">
        <v>86.83</v>
      </c>
      <c r="F79">
        <v>3.6819999999999999</v>
      </c>
      <c r="G79">
        <v>215.4834482</v>
      </c>
      <c r="H79">
        <v>7.9619999999999997</v>
      </c>
    </row>
    <row r="80" spans="1:8" x14ac:dyDescent="0.25">
      <c r="A80">
        <v>1</v>
      </c>
      <c r="B80" s="12">
        <v>40760</v>
      </c>
      <c r="C80">
        <v>1624383.75</v>
      </c>
      <c r="D80">
        <v>0</v>
      </c>
      <c r="E80">
        <v>91.65</v>
      </c>
      <c r="F80">
        <v>3.6840000000000002</v>
      </c>
      <c r="G80">
        <v>215.54461800000001</v>
      </c>
      <c r="H80">
        <v>7.9619999999999997</v>
      </c>
    </row>
    <row r="81" spans="1:8" x14ac:dyDescent="0.25">
      <c r="A81">
        <v>9</v>
      </c>
      <c r="B81" s="12">
        <v>40767</v>
      </c>
      <c r="C81">
        <v>1525147.09</v>
      </c>
      <c r="D81">
        <v>0</v>
      </c>
      <c r="E81">
        <v>90.76</v>
      </c>
      <c r="F81">
        <v>3.6379999999999999</v>
      </c>
      <c r="G81">
        <v>215.6057878</v>
      </c>
      <c r="H81">
        <v>7.9619999999999997</v>
      </c>
    </row>
    <row r="82" spans="1:8" x14ac:dyDescent="0.25">
      <c r="A82">
        <v>9</v>
      </c>
      <c r="B82" s="12">
        <v>40774</v>
      </c>
      <c r="C82">
        <v>1530761.43</v>
      </c>
      <c r="D82">
        <v>0</v>
      </c>
      <c r="E82">
        <v>89.94</v>
      </c>
      <c r="F82">
        <v>3.5539999999999998</v>
      </c>
      <c r="G82">
        <v>215.66931070000001</v>
      </c>
      <c r="H82">
        <v>7.9619999999999997</v>
      </c>
    </row>
    <row r="83" spans="1:8" x14ac:dyDescent="0.25">
      <c r="A83">
        <v>9</v>
      </c>
      <c r="B83" s="12">
        <v>40781</v>
      </c>
      <c r="C83">
        <v>1464693.46</v>
      </c>
      <c r="D83">
        <v>0</v>
      </c>
      <c r="E83">
        <v>87.96</v>
      </c>
      <c r="F83">
        <v>3.5230000000000001</v>
      </c>
      <c r="G83">
        <v>215.73322580000001</v>
      </c>
      <c r="H83">
        <v>7.9619999999999997</v>
      </c>
    </row>
    <row r="84" spans="1:8" x14ac:dyDescent="0.25">
      <c r="A84">
        <v>9</v>
      </c>
      <c r="B84" s="12">
        <v>40788</v>
      </c>
      <c r="C84">
        <v>1550229.22</v>
      </c>
      <c r="D84">
        <v>0</v>
      </c>
      <c r="E84">
        <v>87.83</v>
      </c>
      <c r="F84">
        <v>3.5329999999999999</v>
      </c>
      <c r="G84">
        <v>215.79714089999999</v>
      </c>
      <c r="H84">
        <v>7.9619999999999997</v>
      </c>
    </row>
    <row r="85" spans="1:8" x14ac:dyDescent="0.25">
      <c r="A85">
        <v>9</v>
      </c>
      <c r="B85" s="12">
        <v>40795</v>
      </c>
      <c r="C85">
        <v>1540471.24</v>
      </c>
      <c r="D85">
        <v>1</v>
      </c>
      <c r="E85">
        <v>76</v>
      </c>
      <c r="F85">
        <v>3.5459999999999998</v>
      </c>
      <c r="G85">
        <v>215.86105599999999</v>
      </c>
      <c r="H85">
        <v>7.9619999999999997</v>
      </c>
    </row>
    <row r="86" spans="1:8" x14ac:dyDescent="0.25">
      <c r="A86">
        <v>9</v>
      </c>
      <c r="B86" s="12">
        <v>40802</v>
      </c>
      <c r="C86">
        <v>1514259.78</v>
      </c>
      <c r="D86">
        <v>0</v>
      </c>
      <c r="E86">
        <v>79.94</v>
      </c>
      <c r="F86">
        <v>3.5259999999999998</v>
      </c>
      <c r="G86">
        <v>216.0410526</v>
      </c>
      <c r="H86">
        <v>7.9619999999999997</v>
      </c>
    </row>
    <row r="87" spans="1:8" x14ac:dyDescent="0.25">
      <c r="A87">
        <v>9</v>
      </c>
      <c r="B87" s="12">
        <v>40809</v>
      </c>
      <c r="C87">
        <v>1380020.27</v>
      </c>
      <c r="D87">
        <v>0</v>
      </c>
      <c r="E87">
        <v>75.8</v>
      </c>
      <c r="F87">
        <v>3.4670000000000001</v>
      </c>
      <c r="G87">
        <v>216.37582459999999</v>
      </c>
      <c r="H87">
        <v>7.9619999999999997</v>
      </c>
    </row>
    <row r="88" spans="1:8" x14ac:dyDescent="0.25">
      <c r="A88">
        <v>1</v>
      </c>
      <c r="B88" s="12">
        <v>40816</v>
      </c>
      <c r="C88">
        <v>1394561.83</v>
      </c>
      <c r="D88">
        <v>0</v>
      </c>
      <c r="E88">
        <v>79.69</v>
      </c>
      <c r="F88">
        <v>3.355</v>
      </c>
      <c r="G88">
        <v>216.71059650000001</v>
      </c>
      <c r="H88">
        <v>7.9619999999999997</v>
      </c>
    </row>
    <row r="89" spans="1:8" x14ac:dyDescent="0.25">
      <c r="A89">
        <v>9</v>
      </c>
      <c r="B89" s="12">
        <v>40823</v>
      </c>
      <c r="C89">
        <v>1630989.95</v>
      </c>
      <c r="D89">
        <v>0</v>
      </c>
      <c r="E89">
        <v>69.31</v>
      </c>
      <c r="F89">
        <v>3.2850000000000001</v>
      </c>
      <c r="G89">
        <v>217.0453684</v>
      </c>
      <c r="H89">
        <v>7.8659999999999997</v>
      </c>
    </row>
    <row r="90" spans="1:8" x14ac:dyDescent="0.25">
      <c r="A90">
        <v>9</v>
      </c>
      <c r="B90" s="12">
        <v>40830</v>
      </c>
      <c r="C90">
        <v>1493525.93</v>
      </c>
      <c r="D90">
        <v>0</v>
      </c>
      <c r="E90">
        <v>71.739999999999995</v>
      </c>
      <c r="F90">
        <v>3.274</v>
      </c>
      <c r="G90">
        <v>217.35527329999999</v>
      </c>
      <c r="H90">
        <v>7.8659999999999997</v>
      </c>
    </row>
    <row r="91" spans="1:8" x14ac:dyDescent="0.25">
      <c r="A91">
        <v>9</v>
      </c>
      <c r="B91" s="12">
        <v>40837</v>
      </c>
      <c r="C91">
        <v>1502562.78</v>
      </c>
      <c r="D91">
        <v>0</v>
      </c>
      <c r="E91">
        <v>63.71</v>
      </c>
      <c r="F91">
        <v>3.3530000000000002</v>
      </c>
      <c r="G91">
        <v>217.51597620000001</v>
      </c>
      <c r="H91">
        <v>7.8659999999999997</v>
      </c>
    </row>
    <row r="92" spans="1:8" x14ac:dyDescent="0.25">
      <c r="A92">
        <v>9</v>
      </c>
      <c r="B92" s="12">
        <v>40844</v>
      </c>
      <c r="C92">
        <v>1445249.09</v>
      </c>
      <c r="D92">
        <v>0</v>
      </c>
      <c r="E92">
        <v>66.569999999999993</v>
      </c>
      <c r="F92">
        <v>3.3719999999999999</v>
      </c>
      <c r="G92">
        <v>217.6766791</v>
      </c>
      <c r="H92">
        <v>7.8659999999999997</v>
      </c>
    </row>
    <row r="93" spans="1:8" x14ac:dyDescent="0.25">
      <c r="A93">
        <v>9</v>
      </c>
      <c r="B93" s="12">
        <v>40851</v>
      </c>
      <c r="C93">
        <v>1697229.58</v>
      </c>
      <c r="D93">
        <v>0</v>
      </c>
      <c r="E93">
        <v>54.98</v>
      </c>
      <c r="F93">
        <v>3.3319999999999999</v>
      </c>
      <c r="G93">
        <v>217.83738199999999</v>
      </c>
      <c r="H93">
        <v>7.8659999999999997</v>
      </c>
    </row>
    <row r="94" spans="1:8" x14ac:dyDescent="0.25">
      <c r="A94">
        <v>9</v>
      </c>
      <c r="B94" s="12">
        <v>40858</v>
      </c>
      <c r="C94">
        <v>1594938.89</v>
      </c>
      <c r="D94">
        <v>0</v>
      </c>
      <c r="E94">
        <v>59.11</v>
      </c>
      <c r="F94">
        <v>3.2970000000000002</v>
      </c>
      <c r="G94">
        <v>217.99808490000001</v>
      </c>
      <c r="H94">
        <v>7.8659999999999997</v>
      </c>
    </row>
    <row r="95" spans="1:8" x14ac:dyDescent="0.25">
      <c r="A95">
        <v>9</v>
      </c>
      <c r="B95" s="12">
        <v>40865</v>
      </c>
      <c r="C95">
        <v>1539483.7</v>
      </c>
      <c r="D95">
        <v>0</v>
      </c>
      <c r="E95">
        <v>62.25</v>
      </c>
      <c r="F95">
        <v>3.3079999999999998</v>
      </c>
      <c r="G95">
        <v>218.2205088</v>
      </c>
      <c r="H95">
        <v>7.8659999999999997</v>
      </c>
    </row>
    <row r="96" spans="1:8" x14ac:dyDescent="0.25">
      <c r="A96">
        <v>9</v>
      </c>
      <c r="B96" s="12">
        <v>40872</v>
      </c>
      <c r="C96">
        <v>2033320.66</v>
      </c>
      <c r="D96">
        <v>1</v>
      </c>
      <c r="E96">
        <v>60.14</v>
      </c>
      <c r="F96">
        <v>3.2360000000000002</v>
      </c>
      <c r="G96">
        <v>218.4676211</v>
      </c>
      <c r="H96">
        <v>7.8659999999999997</v>
      </c>
    </row>
    <row r="97" spans="1:8" x14ac:dyDescent="0.25">
      <c r="A97">
        <v>9</v>
      </c>
      <c r="B97" s="12">
        <v>40879</v>
      </c>
      <c r="C97">
        <v>1584083.95</v>
      </c>
      <c r="D97">
        <v>0</v>
      </c>
      <c r="E97">
        <v>48.91</v>
      </c>
      <c r="F97">
        <v>3.1720000000000002</v>
      </c>
      <c r="G97">
        <v>218.71473330000001</v>
      </c>
      <c r="H97">
        <v>7.8659999999999997</v>
      </c>
    </row>
    <row r="98" spans="1:8" x14ac:dyDescent="0.25">
      <c r="A98">
        <v>10</v>
      </c>
      <c r="B98" s="12">
        <v>40886</v>
      </c>
      <c r="C98">
        <v>1799682.38</v>
      </c>
      <c r="D98">
        <v>0</v>
      </c>
      <c r="E98">
        <v>43.93</v>
      </c>
      <c r="F98">
        <v>3.1579999999999999</v>
      </c>
      <c r="G98">
        <v>218.9618456</v>
      </c>
      <c r="H98">
        <v>7.8659999999999997</v>
      </c>
    </row>
    <row r="99" spans="1:8" x14ac:dyDescent="0.25">
      <c r="A99">
        <v>10</v>
      </c>
      <c r="B99" s="12">
        <v>40893</v>
      </c>
      <c r="C99">
        <v>1881176.67</v>
      </c>
      <c r="D99">
        <v>0</v>
      </c>
      <c r="E99">
        <v>51.63</v>
      </c>
      <c r="F99">
        <v>3.1589999999999998</v>
      </c>
      <c r="G99">
        <v>219.17945330000001</v>
      </c>
      <c r="H99">
        <v>7.8659999999999997</v>
      </c>
    </row>
    <row r="100" spans="1:8" x14ac:dyDescent="0.25">
      <c r="A100">
        <v>10</v>
      </c>
      <c r="B100" s="12">
        <v>40900</v>
      </c>
      <c r="C100">
        <v>2270188.9900000002</v>
      </c>
      <c r="D100">
        <v>0</v>
      </c>
      <c r="E100">
        <v>47.96</v>
      </c>
      <c r="F100">
        <v>3.1120000000000001</v>
      </c>
      <c r="G100">
        <v>219.35772159999999</v>
      </c>
      <c r="H100">
        <v>7.8659999999999997</v>
      </c>
    </row>
    <row r="101" spans="1:8" x14ac:dyDescent="0.25">
      <c r="B101" s="12"/>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E1C448-301E-4D33-8674-B51B132E39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dc:creator>
  <cp:lastModifiedBy>MITS</cp:lastModifiedBy>
  <dcterms:created xsi:type="dcterms:W3CDTF">2026-06-06T06:40:30Z</dcterms:created>
  <dcterms:modified xsi:type="dcterms:W3CDTF">2026-06-06T07:20:57Z</dcterms:modified>
</cp:coreProperties>
</file>