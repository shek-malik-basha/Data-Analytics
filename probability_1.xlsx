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CF82FB76-5D86-4FF9-A35C-45FF2489FE15}" xr6:coauthVersionLast="47" xr6:coauthVersionMax="47" xr10:uidLastSave="{00000000-0000-0000-0000-000000000000}"/>
  <bookViews>
    <workbookView xWindow="-120" yWindow="-120" windowWidth="29040" windowHeight="15720" firstSheet="1" activeTab="8" xr2:uid="{62240FEC-5F19-414A-A905-8B3378C0E2B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9" l="1"/>
  <c r="C16" i="9"/>
  <c r="Q5" i="8" l="1"/>
  <c r="Q4" i="8"/>
  <c r="B22" i="8"/>
  <c r="M32" i="8"/>
  <c r="M30" i="8"/>
  <c r="M28" i="8"/>
  <c r="L28" i="8"/>
  <c r="M27" i="8"/>
  <c r="L27" i="8"/>
  <c r="M23" i="8"/>
  <c r="M24" i="8"/>
  <c r="M25" i="8"/>
  <c r="M26" i="8"/>
  <c r="M22" i="8"/>
  <c r="L26" i="8"/>
  <c r="L25" i="8"/>
  <c r="L24" i="8"/>
  <c r="L23" i="8"/>
  <c r="L22" i="8"/>
  <c r="N11" i="8"/>
  <c r="P7" i="8" s="1"/>
  <c r="M11" i="8"/>
  <c r="O7" i="8" s="1"/>
  <c r="M9" i="8"/>
  <c r="J29" i="8"/>
  <c r="J27" i="8"/>
  <c r="J31" i="8"/>
  <c r="J25" i="8"/>
  <c r="J24" i="8"/>
  <c r="J23" i="8"/>
  <c r="J26" i="8"/>
  <c r="J22" i="8"/>
  <c r="I26" i="8"/>
  <c r="I25" i="8"/>
  <c r="I24" i="8"/>
  <c r="I23" i="8"/>
  <c r="I22" i="8"/>
  <c r="H26" i="8"/>
  <c r="H25" i="8"/>
  <c r="H24" i="8"/>
  <c r="H23" i="8"/>
  <c r="H22" i="8"/>
  <c r="G27" i="8"/>
  <c r="F27" i="8"/>
  <c r="H7" i="7"/>
  <c r="C7" i="7"/>
  <c r="L11" i="7"/>
  <c r="K11" i="8"/>
  <c r="K10" i="8"/>
  <c r="G11" i="8"/>
  <c r="C11" i="8"/>
  <c r="B11" i="8"/>
  <c r="B12" i="8"/>
  <c r="H3" i="6"/>
  <c r="H18" i="6"/>
  <c r="H6" i="6"/>
  <c r="H14" i="6" s="1"/>
  <c r="E6" i="5"/>
  <c r="E4" i="5"/>
  <c r="A2" i="5" a="1"/>
  <c r="A2" i="5" s="1"/>
  <c r="F3" i="4"/>
  <c r="F6" i="4"/>
  <c r="A2" i="4" a="1"/>
  <c r="A2" i="4" s="1"/>
  <c r="C13" i="2"/>
  <c r="F7" i="3"/>
  <c r="F5" i="3"/>
  <c r="E7" i="3"/>
  <c r="E10" i="3"/>
  <c r="F2" i="3"/>
  <c r="E5" i="3"/>
  <c r="E2" i="3"/>
  <c r="A2" i="3" a="1"/>
  <c r="A2" i="3" s="1"/>
  <c r="D11" i="2"/>
  <c r="C11" i="2"/>
  <c r="D9" i="2"/>
  <c r="C9" i="2"/>
  <c r="C5" i="2"/>
  <c r="C3" i="2"/>
  <c r="A2" i="2" a="1"/>
  <c r="A2" i="2" s="1"/>
  <c r="Q13" i="1"/>
  <c r="R11" i="1"/>
  <c r="R9" i="1"/>
  <c r="Q11" i="1"/>
  <c r="Q9" i="1"/>
  <c r="Q5" i="1"/>
  <c r="C8" i="1"/>
  <c r="Q3" i="1"/>
  <c r="O2" i="1" a="1"/>
  <c r="O2" i="1" s="1"/>
  <c r="M9" i="1"/>
  <c r="M6" i="1"/>
  <c r="J2" i="1" a="1"/>
  <c r="J2" i="1" s="1"/>
  <c r="C10" i="1"/>
  <c r="H11" i="1"/>
  <c r="H8" i="1"/>
  <c r="H4" i="1"/>
  <c r="H2" i="1"/>
  <c r="E2" i="1" a="1"/>
  <c r="E2" i="1" s="1"/>
  <c r="C3" i="1"/>
  <c r="C5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4" i="1"/>
  <c r="Q7" i="8" l="1"/>
  <c r="O5" i="8"/>
  <c r="O6" i="8"/>
  <c r="O8" i="8"/>
  <c r="P5" i="8"/>
  <c r="P6" i="8"/>
  <c r="P8" i="8"/>
  <c r="O4" i="8"/>
  <c r="P4" i="8"/>
  <c r="H10" i="6"/>
  <c r="Q8" i="8" l="1"/>
  <c r="Q6" i="8"/>
  <c r="H21" i="6"/>
  <c r="Q9" i="8" l="1"/>
  <c r="Q10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<sst xmlns="http://schemas.openxmlformats.org/spreadsheetml/2006/main" count="793" uniqueCount="131">
  <si>
    <t>Trail No</t>
  </si>
  <si>
    <t>Result</t>
  </si>
  <si>
    <t>Tail</t>
  </si>
  <si>
    <t>Head</t>
  </si>
  <si>
    <t>count of heads</t>
  </si>
  <si>
    <t>count of tails</t>
  </si>
  <si>
    <t>probability of head</t>
  </si>
  <si>
    <t>probability of tail</t>
  </si>
  <si>
    <t>without using + 1</t>
  </si>
  <si>
    <t>Using rand array</t>
  </si>
  <si>
    <t>count of head</t>
  </si>
  <si>
    <t>head</t>
  </si>
  <si>
    <t>tail</t>
  </si>
  <si>
    <t>probability of HH</t>
  </si>
  <si>
    <t>probability of H</t>
  </si>
  <si>
    <t>probability of T</t>
  </si>
  <si>
    <t>HH</t>
  </si>
  <si>
    <t>TT</t>
  </si>
  <si>
    <t>probability of TT</t>
  </si>
  <si>
    <t>Trail</t>
  </si>
  <si>
    <t>Roll</t>
  </si>
  <si>
    <t>count of getting 6</t>
  </si>
  <si>
    <t>probability of getting 6</t>
  </si>
  <si>
    <t>count of 2's</t>
  </si>
  <si>
    <t>count of 4's</t>
  </si>
  <si>
    <t>experimental probability</t>
  </si>
  <si>
    <t>Student id</t>
  </si>
  <si>
    <t>gender</t>
  </si>
  <si>
    <t>cricket players</t>
  </si>
  <si>
    <t>male</t>
  </si>
  <si>
    <t>female</t>
  </si>
  <si>
    <t>count of boys</t>
  </si>
  <si>
    <t>yes</t>
  </si>
  <si>
    <t>no</t>
  </si>
  <si>
    <t>count of boys who plays cricket</t>
  </si>
  <si>
    <t>count of girls not play cricket</t>
  </si>
  <si>
    <t>formula: boys who play cricket and girls who does not play cricket</t>
  </si>
  <si>
    <t>Probability</t>
  </si>
  <si>
    <t>Coin</t>
  </si>
  <si>
    <t>DIE</t>
  </si>
  <si>
    <t>T</t>
  </si>
  <si>
    <t>H</t>
  </si>
  <si>
    <t>count of H and getting 4</t>
  </si>
  <si>
    <t>probability of getting H and 4</t>
  </si>
  <si>
    <t>INDEPENDENT EVENTS</t>
  </si>
  <si>
    <t xml:space="preserve">Student Id </t>
  </si>
  <si>
    <t>Marks</t>
  </si>
  <si>
    <t xml:space="preserve">students scored &lt;=70 </t>
  </si>
  <si>
    <t>cumulative probability</t>
  </si>
  <si>
    <t>TOTAL POPULATION</t>
  </si>
  <si>
    <t>DISEASED PEOPLE</t>
  </si>
  <si>
    <t>HEALTHY PEOPLE</t>
  </si>
  <si>
    <t>TEST ACCURACY</t>
  </si>
  <si>
    <t>FALSE POSITIVE RATE</t>
  </si>
  <si>
    <t>PRIOR PROBABILITY</t>
  </si>
  <si>
    <t>HEALTHY PROBAB</t>
  </si>
  <si>
    <t>TOTAL POSITIVES</t>
  </si>
  <si>
    <t>BAYES THEOREM</t>
  </si>
  <si>
    <t>(ACCURAY OF DISEASED)</t>
  </si>
  <si>
    <t>(ACCURACY OF HEALTHY)</t>
  </si>
  <si>
    <t>Positive Skew</t>
  </si>
  <si>
    <t>Negative Skew</t>
  </si>
  <si>
    <t>&lt;0</t>
  </si>
  <si>
    <t>platyKurtic</t>
  </si>
  <si>
    <t>&gt;0</t>
  </si>
  <si>
    <t>LeptoKurtic</t>
  </si>
  <si>
    <t>Normal Distribution</t>
  </si>
  <si>
    <t>Value</t>
  </si>
  <si>
    <t>Meaning</t>
  </si>
  <si>
    <t>A</t>
  </si>
  <si>
    <t>B</t>
  </si>
  <si>
    <t>Lambda</t>
  </si>
  <si>
    <t>x</t>
  </si>
  <si>
    <t>Poisson (prob)</t>
  </si>
  <si>
    <t xml:space="preserve">x </t>
  </si>
  <si>
    <t>p(x=3)</t>
  </si>
  <si>
    <t>Poisson distribution</t>
  </si>
  <si>
    <t>formula</t>
  </si>
  <si>
    <t>excel (predefined)</t>
  </si>
  <si>
    <t>number of trails</t>
  </si>
  <si>
    <t>probability(p)</t>
  </si>
  <si>
    <t>success(x)</t>
  </si>
  <si>
    <t>binomial</t>
  </si>
  <si>
    <t>Binomial distribution</t>
  </si>
  <si>
    <t>uniform distribution</t>
  </si>
  <si>
    <t>a</t>
  </si>
  <si>
    <t>b</t>
  </si>
  <si>
    <t>uniform(cumlative)</t>
  </si>
  <si>
    <t>normal</t>
  </si>
  <si>
    <t>COVARIANCE</t>
  </si>
  <si>
    <t>y</t>
  </si>
  <si>
    <t>mean</t>
  </si>
  <si>
    <r>
      <t>(x-x</t>
    </r>
    <r>
      <rPr>
        <sz val="11"/>
        <color theme="1"/>
        <rFont val="Calibri"/>
        <family val="2"/>
      </rPr>
      <t>̿)</t>
    </r>
  </si>
  <si>
    <r>
      <t>(y-y</t>
    </r>
    <r>
      <rPr>
        <sz val="11"/>
        <color theme="1"/>
        <rFont val="Calibri"/>
        <family val="2"/>
      </rPr>
      <t>̿)</t>
    </r>
  </si>
  <si>
    <t>product((x-x̿)(y-y̿))</t>
  </si>
  <si>
    <t>predefined cov</t>
  </si>
  <si>
    <t>Covariance(x,y)</t>
  </si>
  <si>
    <t>s1</t>
  </si>
  <si>
    <t>s2</t>
  </si>
  <si>
    <t>(x-x̿)2</t>
  </si>
  <si>
    <t>(y-y̿)2</t>
  </si>
  <si>
    <t>correlation(x,y)</t>
  </si>
  <si>
    <t>predefined(cor(x,y)</t>
  </si>
  <si>
    <t>correlation</t>
  </si>
  <si>
    <t>normal distribution</t>
  </si>
  <si>
    <t>standard deviation</t>
  </si>
  <si>
    <t>X</t>
  </si>
  <si>
    <t>probability</t>
  </si>
  <si>
    <t>Age_F</t>
  </si>
  <si>
    <t>Age_M</t>
  </si>
  <si>
    <t>dummy</t>
  </si>
  <si>
    <t>Hypothesis</t>
  </si>
  <si>
    <t>t-Test: Two-Sample Assuming Equal Variances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</si>
  <si>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</si>
  <si>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</si>
  <si>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</si>
  <si>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</si>
  <si>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</si>
  <si>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</si>
  <si>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</si>
  <si>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</si>
  <si>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</si>
  <si>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</si>
  <si>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</si>
  <si>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z-Test: Two Sample for Means</t>
  </si>
  <si>
    <t>Known Variance</t>
  </si>
  <si>
    <t>z</t>
  </si>
  <si>
    <t>P(Z&lt;=z) one-tail</t>
  </si>
  <si>
    <t>z Critical one-tail</t>
  </si>
  <si>
    <t>P(Z&lt;=z) two-tail</t>
  </si>
  <si>
    <t>z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</si>
</sst>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9" fontId="0" fillId="0" borderId="0" xfId="0" applyNumberFormat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9" fontId="0" fillId="0" borderId="1" xfId="0" applyNumberFormat="1" applyBorder="1"/>
    <xf numFmtId="0" fontId="1" fillId="0" borderId="1" xfId="0" applyFont="1" applyBorder="1"/>
    <xf numFmtId="0" fontId="0" fillId="2" borderId="1" xfId="0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0" fillId="6" borderId="1" xfId="0" applyFill="1" applyBorder="1"/>
    <xf numFmtId="0" fontId="3" fillId="6" borderId="1" xfId="0" applyFont="1" applyFill="1" applyBorder="1"/>
    <xf numFmtId="9" fontId="3" fillId="6" borderId="1" xfId="0" applyNumberFormat="1" applyFont="1" applyFill="1" applyBorder="1"/>
    <xf numFmtId="0" fontId="2" fillId="3" borderId="1" xfId="0" applyFont="1" applyFill="1" applyBorder="1"/>
    <xf numFmtId="9" fontId="3" fillId="3" borderId="1" xfId="0" applyNumberFormat="1" applyFont="1" applyFill="1" applyBorder="1"/>
    <xf numFmtId="0" fontId="0" fillId="4" borderId="1" xfId="0" applyFill="1" applyBorder="1"/>
    <xf numFmtId="9" fontId="3" fillId="4" borderId="1" xfId="0" applyNumberFormat="1" applyFont="1" applyFill="1" applyBorder="1"/>
    <xf numFmtId="0" fontId="0" fillId="5" borderId="1" xfId="0" applyFill="1" applyBorder="1"/>
    <xf numFmtId="9" fontId="3" fillId="5" borderId="1" xfId="0" applyNumberFormat="1" applyFont="1" applyFill="1" applyBorder="1"/>
    <xf numFmtId="3" fontId="0" fillId="0" borderId="1" xfId="0" applyNumberFormat="1" applyBorder="1"/>
    <xf numFmtId="0" fontId="2" fillId="2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3" fillId="9" borderId="1" xfId="0" applyFont="1" applyFill="1" applyBorder="1"/>
    <xf numFmtId="0" fontId="1" fillId="0" borderId="0" xfId="0" applyFont="1"/>
    <xf numFmtId="0" fontId="4" fillId="0" borderId="1" xfId="0" applyFont="1" applyBorder="1"/>
    <xf numFmtId="0" fontId="5" fillId="0" borderId="1" xfId="0" applyFont="1" applyBorder="1"/>
    <xf numFmtId="10" fontId="0" fillId="0" borderId="0" xfId="0" applyNumberFormat="1"/>
    <xf numFmtId="164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7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Negative</a:t>
            </a:r>
            <a:r>
              <a:rPr lang="en-IN" baseline="0"/>
              <a:t> Skewness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Sheet7!$A$2:$A$8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F9-4806-887A-19C82A61D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182512"/>
        <c:axId val="1019166192"/>
      </c:scatterChart>
      <c:valAx>
        <c:axId val="101918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166192"/>
        <c:crosses val="autoZero"/>
        <c:crossBetween val="midCat"/>
      </c:valAx>
      <c:valAx>
        <c:axId val="101916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18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Positive</a:t>
            </a:r>
            <a:r>
              <a:rPr lang="en-IN" baseline="0"/>
              <a:t> Skewness</a:t>
            </a:r>
            <a:endParaRPr lang="en-IN"/>
          </a:p>
        </c:rich>
      </c:tx>
      <c:layout>
        <c:manualLayout>
          <c:xMode val="edge"/>
          <c:yMode val="edge"/>
          <c:x val="0.4150485564304462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Sheet7!$F$2:$F$8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43-4E9D-8CA4-7AE8A0BFA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141712"/>
        <c:axId val="1019131152"/>
      </c:scatterChart>
      <c:valAx>
        <c:axId val="101914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131152"/>
        <c:crosses val="autoZero"/>
        <c:crossBetween val="midCat"/>
      </c:valAx>
      <c:valAx>
        <c:axId val="101913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141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270711</xdr:colOff>
      <xdr:row>0</xdr:row>
      <xdr:rowOff>142373</xdr:rowOff>
    </xdr:from>
    <xdr:to>
      <xdr:col>21</xdr:col>
      <xdr:colOff>561474</xdr:colOff>
      <xdr:row>15</xdr:row>
      <xdr:rowOff>28073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60C534-5BB7-7EED-2462-D35A7C73D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431131</xdr:colOff>
      <xdr:row>13</xdr:row>
      <xdr:rowOff>112296</xdr:rowOff>
    </xdr:from>
    <xdr:to>
      <xdr:col>7</xdr:col>
      <xdr:colOff>451184</xdr:colOff>
      <xdr:row>27</xdr:row>
      <xdr:rowOff>188496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169B38-63DE-D93A-6B22-14DD7BEA4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061A7-DAB3-43E7-A2E4-465F1A117F2A}">
  <dimension ref="A1:R201"/>
  <sheetViews>
    <sheetView workbookViewId="0">
      <selection activeCell="F2" sqref="F2"/>
    </sheetView>
  </sheetViews>
  <sheetFormatPr defaultRowHeight="15" x14ac:dyDescent="0.25"/>
  <cols>
    <col min="3" max="3" width="25.5703125" customWidth="1"/>
    <col min="5" max="5" width="18.140625" customWidth="1"/>
    <col min="6" max="6" width="18" customWidth="1"/>
    <col min="8" max="8" width="23.5703125" customWidth="1"/>
    <col min="13" max="13" width="18.140625" customWidth="1"/>
    <col min="17" max="17" width="23.5703125" customWidth="1"/>
  </cols>
  <sheetData>
    <row r="1" spans="1:18" x14ac:dyDescent="0.25">
      <c r="E1" t="s">
        <v>8</v>
      </c>
      <c r="F1" t="s">
        <v>9</v>
      </c>
      <c r="H1" t="s">
        <v>10</v>
      </c>
      <c r="O1" t="s">
        <v>19</v>
      </c>
      <c r="P1" t="s">
        <v>20</v>
      </c>
    </row>
    <row r="2" spans="1:18" x14ac:dyDescent="0.25">
      <c r="A2" t="s">
        <v>0</v>
      </c>
      <c r="B2" t="s">
        <v>1</v>
      </c>
      <c r="C2" t="s">
        <v>4</v>
      </c>
      <c r="E2" cm="1">
        <f t="array" ref="E2:E101">_xlfn.SEQUENCE(100)</f>
        <v>1</v>
      </c>
      <c r="F2" t="s">
        <v>11</v>
      </c>
      <c r="H2">
        <f>COUNTIF(F:F,"head")</f>
        <v>102</v>
      </c>
      <c r="J2" cm="1">
        <f t="array" ref="J2:J101">_xlfn.SEQUENCE(100)</f>
        <v>1</v>
      </c>
      <c r="K2" t="s">
        <v>2</v>
      </c>
      <c r="L2" t="s">
        <v>16</v>
      </c>
      <c r="O2" cm="1">
        <f t="array" ref="O2:O101">_xlfn.SEQUENCE(100)</f>
        <v>1</v>
      </c>
      <c r="P2">
        <v>3</v>
      </c>
      <c r="Q2" t="s">
        <v>21</v>
      </c>
    </row>
    <row r="3" spans="1:18" x14ac:dyDescent="0.25">
      <c r="A3">
        <v>1</v>
      </c>
      <c r="B3" t="s">
        <v>2</v>
      </c>
      <c r="C3">
        <f>COUNTIF(B:B,"head")</f>
        <v>42</v>
      </c>
      <c r="E3">
        <v>2</v>
      </c>
      <c r="F3" t="s">
        <v>12</v>
      </c>
      <c r="H3" t="s">
        <v>5</v>
      </c>
      <c r="J3">
        <v>2</v>
      </c>
      <c r="K3" t="s">
        <v>3</v>
      </c>
      <c r="L3" t="s">
        <v>16</v>
      </c>
      <c r="O3">
        <v>2</v>
      </c>
      <c r="P3">
        <v>2</v>
      </c>
      <c r="Q3">
        <f>COUNTIF(P:P,"6")</f>
        <v>19</v>
      </c>
    </row>
    <row r="4" spans="1:18" x14ac:dyDescent="0.25">
      <c r="A4">
        <f>A3+1</f>
        <v>2</v>
      </c>
      <c r="B4" t="s">
        <v>2</v>
      </c>
      <c r="C4" t="s">
        <v>5</v>
      </c>
      <c r="E4">
        <v>3</v>
      </c>
      <c r="F4" t="s">
        <v>11</v>
      </c>
      <c r="H4">
        <f>COUNTIF(F:F,"tail")</f>
        <v>98</v>
      </c>
      <c r="J4">
        <v>3</v>
      </c>
      <c r="K4" t="s">
        <v>2</v>
      </c>
      <c r="L4" t="s">
        <v>16</v>
      </c>
      <c r="O4">
        <v>3</v>
      </c>
      <c r="P4">
        <v>3</v>
      </c>
      <c r="Q4" t="s">
        <v>22</v>
      </c>
    </row>
    <row r="5" spans="1:18" x14ac:dyDescent="0.25">
      <c r="A5">
        <f t="shared" ref="A5:A68" si="0">A4+1</f>
        <v>3</v>
      </c>
      <c r="B5" t="s">
        <v>2</v>
      </c>
      <c r="C5">
        <f>COUNTIF(B:B,"tail")</f>
        <v>58</v>
      </c>
      <c r="E5">
        <v>4</v>
      </c>
      <c r="F5" t="s">
        <v>12</v>
      </c>
      <c r="J5">
        <v>4</v>
      </c>
      <c r="K5" t="s">
        <v>3</v>
      </c>
      <c r="L5" t="s">
        <v>17</v>
      </c>
      <c r="M5" t="s">
        <v>13</v>
      </c>
      <c r="O5">
        <v>4</v>
      </c>
      <c r="P5">
        <v>6</v>
      </c>
      <c r="Q5">
        <f>COUNTIF(P:P,"6")/100</f>
        <v>0.19</v>
      </c>
    </row>
    <row r="6" spans="1:18" x14ac:dyDescent="0.25">
      <c r="A6">
        <f t="shared" si="0"/>
        <v>4</v>
      </c>
      <c r="B6" t="s">
        <v>3</v>
      </c>
      <c r="E6">
        <v>5</v>
      </c>
      <c r="F6" t="s">
        <v>12</v>
      </c>
      <c r="H6" t="s">
        <v>14</v>
      </c>
      <c r="J6">
        <v>5</v>
      </c>
      <c r="K6" t="s">
        <v>3</v>
      </c>
      <c r="L6" t="s">
        <v>16</v>
      </c>
      <c r="M6">
        <f>COUNTIF(L:L,"HH")/100</f>
        <v>0.56000000000000005</v>
      </c>
      <c r="O6">
        <v>5</v>
      </c>
      <c r="P6">
        <v>1</v>
      </c>
    </row>
    <row r="7" spans="1:18" x14ac:dyDescent="0.25">
      <c r="A7">
        <f t="shared" si="0"/>
        <v>5</v>
      </c>
      <c r="B7" t="s">
        <v>3</v>
      </c>
      <c r="C7" t="s">
        <v>6</v>
      </c>
      <c r="E7">
        <v>6</v>
      </c>
      <c r="F7" t="s">
        <v>12</v>
      </c>
      <c r="J7">
        <v>6</v>
      </c>
      <c r="K7" t="s">
        <v>2</v>
      </c>
      <c r="L7" t="s">
        <v>16</v>
      </c>
      <c r="O7">
        <v>6</v>
      </c>
      <c r="P7">
        <v>1</v>
      </c>
    </row>
    <row r="8" spans="1:18" x14ac:dyDescent="0.25">
      <c r="A8">
        <f t="shared" si="0"/>
        <v>6</v>
      </c>
      <c r="B8" t="s">
        <v>3</v>
      </c>
      <c r="C8">
        <f>COUNTIF(B:B,"head")/100</f>
        <v>0.42</v>
      </c>
      <c r="E8">
        <v>7</v>
      </c>
      <c r="F8" t="s">
        <v>11</v>
      </c>
      <c r="H8">
        <f>COUNTIF(F:F,"head")/200</f>
        <v>0.51</v>
      </c>
      <c r="J8">
        <v>7</v>
      </c>
      <c r="K8" t="s">
        <v>3</v>
      </c>
      <c r="L8" t="s">
        <v>16</v>
      </c>
      <c r="M8" t="s">
        <v>18</v>
      </c>
      <c r="O8">
        <v>7</v>
      </c>
      <c r="P8">
        <v>2</v>
      </c>
      <c r="Q8" t="s">
        <v>23</v>
      </c>
    </row>
    <row r="9" spans="1:18" x14ac:dyDescent="0.25">
      <c r="A9">
        <f t="shared" si="0"/>
        <v>7</v>
      </c>
      <c r="B9" t="s">
        <v>2</v>
      </c>
      <c r="C9" t="s">
        <v>7</v>
      </c>
      <c r="E9">
        <v>8</v>
      </c>
      <c r="F9" t="s">
        <v>12</v>
      </c>
      <c r="J9">
        <v>8</v>
      </c>
      <c r="K9" t="s">
        <v>2</v>
      </c>
      <c r="L9" t="s">
        <v>17</v>
      </c>
      <c r="M9">
        <f>COUNTIF(L:L,"tt")/100</f>
        <v>0.44</v>
      </c>
      <c r="O9">
        <v>8</v>
      </c>
      <c r="P9">
        <v>5</v>
      </c>
      <c r="Q9">
        <f>COUNTIF(P:P,"2")</f>
        <v>21</v>
      </c>
      <c r="R9" s="1">
        <f>COUNTIF(P:P,2)/100</f>
        <v>0.21</v>
      </c>
    </row>
    <row r="10" spans="1:18" x14ac:dyDescent="0.25">
      <c r="A10">
        <f t="shared" si="0"/>
        <v>8</v>
      </c>
      <c r="B10" t="s">
        <v>3</v>
      </c>
      <c r="C10">
        <f>COUNTIF(B:B,"tail")/100</f>
        <v>0.57999999999999996</v>
      </c>
      <c r="E10">
        <v>9</v>
      </c>
      <c r="F10" t="s">
        <v>11</v>
      </c>
      <c r="H10" t="s">
        <v>15</v>
      </c>
      <c r="J10">
        <v>9</v>
      </c>
      <c r="K10" t="s">
        <v>2</v>
      </c>
      <c r="L10" t="s">
        <v>17</v>
      </c>
      <c r="O10">
        <v>9</v>
      </c>
      <c r="P10">
        <v>6</v>
      </c>
      <c r="Q10" t="s">
        <v>24</v>
      </c>
    </row>
    <row r="11" spans="1:18" x14ac:dyDescent="0.25">
      <c r="A11">
        <f t="shared" si="0"/>
        <v>9</v>
      </c>
      <c r="B11" t="s">
        <v>3</v>
      </c>
      <c r="E11">
        <v>10</v>
      </c>
      <c r="F11" t="s">
        <v>12</v>
      </c>
      <c r="H11">
        <f>COUNTIF(F:F,"tail")/200</f>
        <v>0.49</v>
      </c>
      <c r="J11">
        <v>10</v>
      </c>
      <c r="K11" t="s">
        <v>2</v>
      </c>
      <c r="L11" t="s">
        <v>17</v>
      </c>
      <c r="O11">
        <v>10</v>
      </c>
      <c r="P11">
        <v>6</v>
      </c>
      <c r="Q11">
        <f>COUNTIF(P:P,"4")</f>
        <v>13</v>
      </c>
      <c r="R11" s="1">
        <f>COUNTIF(P:P,4)/100</f>
        <v>0.13</v>
      </c>
    </row>
    <row r="12" spans="1:18" x14ac:dyDescent="0.25">
      <c r="A12">
        <f t="shared" si="0"/>
        <v>10</v>
      </c>
      <c r="B12" t="s">
        <v>2</v>
      </c>
      <c r="E12">
        <v>11</v>
      </c>
      <c r="F12" t="s">
        <v>11</v>
      </c>
      <c r="J12">
        <v>11</v>
      </c>
      <c r="K12" t="s">
        <v>2</v>
      </c>
      <c r="L12" t="s">
        <v>17</v>
      </c>
      <c r="O12">
        <v>11</v>
      </c>
      <c r="P12">
        <v>4</v>
      </c>
      <c r="Q12" t="s">
        <v>25</v>
      </c>
    </row>
    <row r="13" spans="1:18" x14ac:dyDescent="0.25">
      <c r="A13">
        <f t="shared" si="0"/>
        <v>11</v>
      </c>
      <c r="B13" t="s">
        <v>2</v>
      </c>
      <c r="E13">
        <v>12</v>
      </c>
      <c r="F13" t="s">
        <v>12</v>
      </c>
      <c r="H13" t="s">
        <v>13</v>
      </c>
      <c r="J13">
        <v>12</v>
      </c>
      <c r="K13" t="s">
        <v>3</v>
      </c>
      <c r="L13" t="s">
        <v>17</v>
      </c>
      <c r="O13">
        <v>12</v>
      </c>
      <c r="P13">
        <v>3</v>
      </c>
      <c r="Q13" s="1">
        <f>(COUNTIF(P:P,2)+COUNTIF(P:P,4))/100</f>
        <v>0.34</v>
      </c>
    </row>
    <row r="14" spans="1:18" x14ac:dyDescent="0.25">
      <c r="A14">
        <f t="shared" si="0"/>
        <v>12</v>
      </c>
      <c r="B14" t="s">
        <v>2</v>
      </c>
      <c r="E14">
        <v>13</v>
      </c>
      <c r="F14" t="s">
        <v>12</v>
      </c>
      <c r="J14">
        <v>13</v>
      </c>
      <c r="K14" t="s">
        <v>2</v>
      </c>
      <c r="L14" t="s">
        <v>16</v>
      </c>
      <c r="O14">
        <v>13</v>
      </c>
      <c r="P14">
        <v>1</v>
      </c>
    </row>
    <row r="15" spans="1:18" x14ac:dyDescent="0.25">
      <c r="A15">
        <f t="shared" si="0"/>
        <v>13</v>
      </c>
      <c r="B15" t="s">
        <v>2</v>
      </c>
      <c r="E15">
        <v>14</v>
      </c>
      <c r="F15" t="s">
        <v>12</v>
      </c>
      <c r="J15">
        <v>14</v>
      </c>
      <c r="K15" t="s">
        <v>3</v>
      </c>
      <c r="L15" t="s">
        <v>16</v>
      </c>
      <c r="O15">
        <v>14</v>
      </c>
      <c r="P15">
        <v>2</v>
      </c>
    </row>
    <row r="16" spans="1:18" x14ac:dyDescent="0.25">
      <c r="A16">
        <f t="shared" si="0"/>
        <v>14</v>
      </c>
      <c r="B16" t="s">
        <v>3</v>
      </c>
      <c r="E16">
        <v>15</v>
      </c>
      <c r="F16" t="s">
        <v>12</v>
      </c>
      <c r="J16">
        <v>15</v>
      </c>
      <c r="K16" t="s">
        <v>3</v>
      </c>
      <c r="L16" t="s">
        <v>17</v>
      </c>
      <c r="O16">
        <v>15</v>
      </c>
      <c r="P16">
        <v>1</v>
      </c>
    </row>
    <row r="17" spans="1:16" x14ac:dyDescent="0.25">
      <c r="A17">
        <f t="shared" si="0"/>
        <v>15</v>
      </c>
      <c r="B17" t="s">
        <v>3</v>
      </c>
      <c r="E17">
        <v>16</v>
      </c>
      <c r="F17" t="s">
        <v>12</v>
      </c>
      <c r="J17">
        <v>16</v>
      </c>
      <c r="K17" t="s">
        <v>3</v>
      </c>
      <c r="L17" t="s">
        <v>16</v>
      </c>
      <c r="O17">
        <v>16</v>
      </c>
      <c r="P17">
        <v>1</v>
      </c>
    </row>
    <row r="18" spans="1:16" x14ac:dyDescent="0.25">
      <c r="A18">
        <f t="shared" si="0"/>
        <v>16</v>
      </c>
      <c r="B18" t="s">
        <v>2</v>
      </c>
      <c r="E18">
        <v>17</v>
      </c>
      <c r="F18" t="s">
        <v>12</v>
      </c>
      <c r="J18">
        <v>17</v>
      </c>
      <c r="K18" t="s">
        <v>2</v>
      </c>
      <c r="L18" t="s">
        <v>16</v>
      </c>
      <c r="O18">
        <v>17</v>
      </c>
      <c r="P18">
        <v>6</v>
      </c>
    </row>
    <row r="19" spans="1:16" x14ac:dyDescent="0.25">
      <c r="A19">
        <f t="shared" si="0"/>
        <v>17</v>
      </c>
      <c r="B19" t="s">
        <v>2</v>
      </c>
      <c r="E19">
        <v>18</v>
      </c>
      <c r="F19" t="s">
        <v>12</v>
      </c>
      <c r="J19">
        <v>18</v>
      </c>
      <c r="K19" t="s">
        <v>2</v>
      </c>
      <c r="L19" t="s">
        <v>17</v>
      </c>
      <c r="O19">
        <v>18</v>
      </c>
      <c r="P19">
        <v>1</v>
      </c>
    </row>
    <row r="20" spans="1:16" x14ac:dyDescent="0.25">
      <c r="A20">
        <f t="shared" si="0"/>
        <v>18</v>
      </c>
      <c r="B20" t="s">
        <v>2</v>
      </c>
      <c r="E20">
        <v>19</v>
      </c>
      <c r="F20" t="s">
        <v>11</v>
      </c>
      <c r="J20">
        <v>19</v>
      </c>
      <c r="K20" t="s">
        <v>3</v>
      </c>
      <c r="L20" t="s">
        <v>16</v>
      </c>
      <c r="O20">
        <v>19</v>
      </c>
      <c r="P20">
        <v>1</v>
      </c>
    </row>
    <row r="21" spans="1:16" x14ac:dyDescent="0.25">
      <c r="A21">
        <f t="shared" si="0"/>
        <v>19</v>
      </c>
      <c r="B21" t="s">
        <v>2</v>
      </c>
      <c r="E21">
        <v>20</v>
      </c>
      <c r="F21" t="s">
        <v>11</v>
      </c>
      <c r="J21">
        <v>20</v>
      </c>
      <c r="K21" t="s">
        <v>2</v>
      </c>
      <c r="L21" t="s">
        <v>17</v>
      </c>
      <c r="O21">
        <v>20</v>
      </c>
      <c r="P21">
        <v>6</v>
      </c>
    </row>
    <row r="22" spans="1:16" x14ac:dyDescent="0.25">
      <c r="A22">
        <f t="shared" si="0"/>
        <v>20</v>
      </c>
      <c r="B22" t="s">
        <v>3</v>
      </c>
      <c r="E22">
        <v>21</v>
      </c>
      <c r="F22" t="s">
        <v>11</v>
      </c>
      <c r="J22">
        <v>21</v>
      </c>
      <c r="K22" t="s">
        <v>3</v>
      </c>
      <c r="L22" t="s">
        <v>17</v>
      </c>
      <c r="O22">
        <v>21</v>
      </c>
      <c r="P22">
        <v>3</v>
      </c>
    </row>
    <row r="23" spans="1:16" x14ac:dyDescent="0.25">
      <c r="A23">
        <f t="shared" si="0"/>
        <v>21</v>
      </c>
      <c r="B23" t="s">
        <v>3</v>
      </c>
      <c r="E23">
        <v>22</v>
      </c>
      <c r="F23" t="s">
        <v>11</v>
      </c>
      <c r="J23">
        <v>22</v>
      </c>
      <c r="K23" t="s">
        <v>2</v>
      </c>
      <c r="L23" t="s">
        <v>16</v>
      </c>
      <c r="O23">
        <v>22</v>
      </c>
      <c r="P23">
        <v>1</v>
      </c>
    </row>
    <row r="24" spans="1:16" x14ac:dyDescent="0.25">
      <c r="A24">
        <f t="shared" si="0"/>
        <v>22</v>
      </c>
      <c r="B24" t="s">
        <v>2</v>
      </c>
      <c r="E24">
        <v>23</v>
      </c>
      <c r="F24" t="s">
        <v>11</v>
      </c>
      <c r="J24">
        <v>23</v>
      </c>
      <c r="K24" t="s">
        <v>3</v>
      </c>
      <c r="L24" t="s">
        <v>16</v>
      </c>
      <c r="O24">
        <v>23</v>
      </c>
      <c r="P24">
        <v>6</v>
      </c>
    </row>
    <row r="25" spans="1:16" x14ac:dyDescent="0.25">
      <c r="A25">
        <f t="shared" si="0"/>
        <v>23</v>
      </c>
      <c r="B25" t="s">
        <v>3</v>
      </c>
      <c r="E25">
        <v>24</v>
      </c>
      <c r="F25" t="s">
        <v>12</v>
      </c>
      <c r="J25">
        <v>24</v>
      </c>
      <c r="K25" t="s">
        <v>2</v>
      </c>
      <c r="L25" t="s">
        <v>17</v>
      </c>
      <c r="O25">
        <v>24</v>
      </c>
      <c r="P25">
        <v>6</v>
      </c>
    </row>
    <row r="26" spans="1:16" x14ac:dyDescent="0.25">
      <c r="A26">
        <f t="shared" si="0"/>
        <v>24</v>
      </c>
      <c r="B26" t="s">
        <v>3</v>
      </c>
      <c r="E26">
        <v>25</v>
      </c>
      <c r="F26" t="s">
        <v>11</v>
      </c>
      <c r="J26">
        <v>25</v>
      </c>
      <c r="K26" t="s">
        <v>2</v>
      </c>
      <c r="L26" t="s">
        <v>17</v>
      </c>
      <c r="O26">
        <v>25</v>
      </c>
      <c r="P26">
        <v>2</v>
      </c>
    </row>
    <row r="27" spans="1:16" x14ac:dyDescent="0.25">
      <c r="A27">
        <f t="shared" si="0"/>
        <v>25</v>
      </c>
      <c r="B27" t="s">
        <v>2</v>
      </c>
      <c r="E27">
        <v>26</v>
      </c>
      <c r="F27" t="s">
        <v>12</v>
      </c>
      <c r="J27">
        <v>26</v>
      </c>
      <c r="K27" t="s">
        <v>3</v>
      </c>
      <c r="L27" t="s">
        <v>16</v>
      </c>
      <c r="O27">
        <v>26</v>
      </c>
      <c r="P27">
        <v>2</v>
      </c>
    </row>
    <row r="28" spans="1:16" x14ac:dyDescent="0.25">
      <c r="A28">
        <f t="shared" si="0"/>
        <v>26</v>
      </c>
      <c r="B28" t="s">
        <v>3</v>
      </c>
      <c r="E28">
        <v>27</v>
      </c>
      <c r="F28" t="s">
        <v>12</v>
      </c>
      <c r="J28">
        <v>27</v>
      </c>
      <c r="K28" t="s">
        <v>2</v>
      </c>
      <c r="L28" t="s">
        <v>16</v>
      </c>
      <c r="O28">
        <v>27</v>
      </c>
      <c r="P28">
        <v>2</v>
      </c>
    </row>
    <row r="29" spans="1:16" x14ac:dyDescent="0.25">
      <c r="A29">
        <f t="shared" si="0"/>
        <v>27</v>
      </c>
      <c r="B29" t="s">
        <v>3</v>
      </c>
      <c r="E29">
        <v>28</v>
      </c>
      <c r="F29" t="s">
        <v>12</v>
      </c>
      <c r="J29">
        <v>28</v>
      </c>
      <c r="K29" t="s">
        <v>3</v>
      </c>
      <c r="L29" t="s">
        <v>16</v>
      </c>
      <c r="O29">
        <v>28</v>
      </c>
      <c r="P29">
        <v>1</v>
      </c>
    </row>
    <row r="30" spans="1:16" x14ac:dyDescent="0.25">
      <c r="A30">
        <f t="shared" si="0"/>
        <v>28</v>
      </c>
      <c r="B30" t="s">
        <v>2</v>
      </c>
      <c r="E30">
        <v>29</v>
      </c>
      <c r="F30" t="s">
        <v>12</v>
      </c>
      <c r="J30">
        <v>29</v>
      </c>
      <c r="K30" t="s">
        <v>2</v>
      </c>
      <c r="L30" t="s">
        <v>16</v>
      </c>
      <c r="O30">
        <v>29</v>
      </c>
      <c r="P30">
        <v>5</v>
      </c>
    </row>
    <row r="31" spans="1:16" x14ac:dyDescent="0.25">
      <c r="A31">
        <f t="shared" si="0"/>
        <v>29</v>
      </c>
      <c r="B31" t="s">
        <v>2</v>
      </c>
      <c r="E31">
        <v>30</v>
      </c>
      <c r="F31" t="s">
        <v>12</v>
      </c>
      <c r="J31">
        <v>30</v>
      </c>
      <c r="K31" t="s">
        <v>3</v>
      </c>
      <c r="L31" t="s">
        <v>17</v>
      </c>
      <c r="O31">
        <v>30</v>
      </c>
      <c r="P31">
        <v>1</v>
      </c>
    </row>
    <row r="32" spans="1:16" x14ac:dyDescent="0.25">
      <c r="A32">
        <f t="shared" si="0"/>
        <v>30</v>
      </c>
      <c r="B32" t="s">
        <v>3</v>
      </c>
      <c r="E32">
        <v>31</v>
      </c>
      <c r="F32" t="s">
        <v>11</v>
      </c>
      <c r="J32">
        <v>31</v>
      </c>
      <c r="K32" t="s">
        <v>2</v>
      </c>
      <c r="L32" t="s">
        <v>16</v>
      </c>
      <c r="O32">
        <v>31</v>
      </c>
      <c r="P32">
        <v>3</v>
      </c>
    </row>
    <row r="33" spans="1:16" x14ac:dyDescent="0.25">
      <c r="A33">
        <f t="shared" si="0"/>
        <v>31</v>
      </c>
      <c r="B33" t="s">
        <v>3</v>
      </c>
      <c r="E33">
        <v>32</v>
      </c>
      <c r="F33" t="s">
        <v>11</v>
      </c>
      <c r="J33">
        <v>32</v>
      </c>
      <c r="K33" t="s">
        <v>2</v>
      </c>
      <c r="L33" t="s">
        <v>17</v>
      </c>
      <c r="O33">
        <v>32</v>
      </c>
      <c r="P33">
        <v>1</v>
      </c>
    </row>
    <row r="34" spans="1:16" x14ac:dyDescent="0.25">
      <c r="A34">
        <f t="shared" si="0"/>
        <v>32</v>
      </c>
      <c r="B34" t="s">
        <v>2</v>
      </c>
      <c r="E34">
        <v>33</v>
      </c>
      <c r="F34" t="s">
        <v>12</v>
      </c>
      <c r="J34">
        <v>33</v>
      </c>
      <c r="K34" t="s">
        <v>2</v>
      </c>
      <c r="L34" t="s">
        <v>16</v>
      </c>
      <c r="O34">
        <v>33</v>
      </c>
      <c r="P34">
        <v>2</v>
      </c>
    </row>
    <row r="35" spans="1:16" x14ac:dyDescent="0.25">
      <c r="A35">
        <f t="shared" si="0"/>
        <v>33</v>
      </c>
      <c r="B35" t="s">
        <v>3</v>
      </c>
      <c r="E35">
        <v>34</v>
      </c>
      <c r="F35" t="s">
        <v>12</v>
      </c>
      <c r="J35">
        <v>34</v>
      </c>
      <c r="K35" t="s">
        <v>2</v>
      </c>
      <c r="L35" t="s">
        <v>16</v>
      </c>
      <c r="O35">
        <v>34</v>
      </c>
      <c r="P35">
        <v>5</v>
      </c>
    </row>
    <row r="36" spans="1:16" x14ac:dyDescent="0.25">
      <c r="A36">
        <f t="shared" si="0"/>
        <v>34</v>
      </c>
      <c r="B36" t="s">
        <v>3</v>
      </c>
      <c r="E36">
        <v>35</v>
      </c>
      <c r="F36" t="s">
        <v>11</v>
      </c>
      <c r="J36">
        <v>35</v>
      </c>
      <c r="K36" t="s">
        <v>3</v>
      </c>
      <c r="L36" t="s">
        <v>16</v>
      </c>
      <c r="O36">
        <v>35</v>
      </c>
      <c r="P36">
        <v>2</v>
      </c>
    </row>
    <row r="37" spans="1:16" x14ac:dyDescent="0.25">
      <c r="A37">
        <f t="shared" si="0"/>
        <v>35</v>
      </c>
      <c r="B37" t="s">
        <v>3</v>
      </c>
      <c r="E37">
        <v>36</v>
      </c>
      <c r="F37" t="s">
        <v>11</v>
      </c>
      <c r="J37">
        <v>36</v>
      </c>
      <c r="K37" t="s">
        <v>3</v>
      </c>
      <c r="L37" t="s">
        <v>16</v>
      </c>
      <c r="O37">
        <v>36</v>
      </c>
      <c r="P37">
        <v>4</v>
      </c>
    </row>
    <row r="38" spans="1:16" x14ac:dyDescent="0.25">
      <c r="A38">
        <f t="shared" si="0"/>
        <v>36</v>
      </c>
      <c r="B38" t="s">
        <v>2</v>
      </c>
      <c r="E38">
        <v>37</v>
      </c>
      <c r="F38" t="s">
        <v>11</v>
      </c>
      <c r="J38">
        <v>37</v>
      </c>
      <c r="K38" t="s">
        <v>3</v>
      </c>
      <c r="L38" t="s">
        <v>17</v>
      </c>
      <c r="O38">
        <v>37</v>
      </c>
      <c r="P38">
        <v>2</v>
      </c>
    </row>
    <row r="39" spans="1:16" x14ac:dyDescent="0.25">
      <c r="A39">
        <f t="shared" si="0"/>
        <v>37</v>
      </c>
      <c r="B39" t="s">
        <v>3</v>
      </c>
      <c r="E39">
        <v>38</v>
      </c>
      <c r="F39" t="s">
        <v>11</v>
      </c>
      <c r="J39">
        <v>38</v>
      </c>
      <c r="K39" t="s">
        <v>3</v>
      </c>
      <c r="L39" t="s">
        <v>17</v>
      </c>
      <c r="O39">
        <v>38</v>
      </c>
      <c r="P39">
        <v>5</v>
      </c>
    </row>
    <row r="40" spans="1:16" x14ac:dyDescent="0.25">
      <c r="A40">
        <f t="shared" si="0"/>
        <v>38</v>
      </c>
      <c r="B40" t="s">
        <v>2</v>
      </c>
      <c r="E40">
        <v>39</v>
      </c>
      <c r="F40" t="s">
        <v>12</v>
      </c>
      <c r="J40">
        <v>39</v>
      </c>
      <c r="K40" t="s">
        <v>2</v>
      </c>
      <c r="L40" t="s">
        <v>16</v>
      </c>
      <c r="O40">
        <v>39</v>
      </c>
      <c r="P40">
        <v>6</v>
      </c>
    </row>
    <row r="41" spans="1:16" x14ac:dyDescent="0.25">
      <c r="A41">
        <f t="shared" si="0"/>
        <v>39</v>
      </c>
      <c r="B41" t="s">
        <v>3</v>
      </c>
      <c r="E41">
        <v>40</v>
      </c>
      <c r="F41" t="s">
        <v>12</v>
      </c>
      <c r="J41">
        <v>40</v>
      </c>
      <c r="K41" t="s">
        <v>2</v>
      </c>
      <c r="L41" t="s">
        <v>17</v>
      </c>
      <c r="O41">
        <v>40</v>
      </c>
      <c r="P41">
        <v>6</v>
      </c>
    </row>
    <row r="42" spans="1:16" x14ac:dyDescent="0.25">
      <c r="A42">
        <f t="shared" si="0"/>
        <v>40</v>
      </c>
      <c r="B42" t="s">
        <v>3</v>
      </c>
      <c r="E42">
        <v>41</v>
      </c>
      <c r="F42" t="s">
        <v>12</v>
      </c>
      <c r="J42">
        <v>41</v>
      </c>
      <c r="K42" t="s">
        <v>2</v>
      </c>
      <c r="L42" t="s">
        <v>17</v>
      </c>
      <c r="O42">
        <v>41</v>
      </c>
      <c r="P42">
        <v>1</v>
      </c>
    </row>
    <row r="43" spans="1:16" x14ac:dyDescent="0.25">
      <c r="A43">
        <f t="shared" si="0"/>
        <v>41</v>
      </c>
      <c r="B43" t="s">
        <v>2</v>
      </c>
      <c r="E43">
        <v>42</v>
      </c>
      <c r="F43" t="s">
        <v>12</v>
      </c>
      <c r="J43">
        <v>42</v>
      </c>
      <c r="K43" t="s">
        <v>2</v>
      </c>
      <c r="L43" t="s">
        <v>16</v>
      </c>
      <c r="O43">
        <v>42</v>
      </c>
      <c r="P43">
        <v>2</v>
      </c>
    </row>
    <row r="44" spans="1:16" x14ac:dyDescent="0.25">
      <c r="A44">
        <f t="shared" si="0"/>
        <v>42</v>
      </c>
      <c r="B44" t="s">
        <v>2</v>
      </c>
      <c r="E44">
        <v>43</v>
      </c>
      <c r="F44" t="s">
        <v>11</v>
      </c>
      <c r="J44">
        <v>43</v>
      </c>
      <c r="K44" t="s">
        <v>2</v>
      </c>
      <c r="L44" t="s">
        <v>16</v>
      </c>
      <c r="O44">
        <v>43</v>
      </c>
      <c r="P44">
        <v>6</v>
      </c>
    </row>
    <row r="45" spans="1:16" x14ac:dyDescent="0.25">
      <c r="A45">
        <f t="shared" si="0"/>
        <v>43</v>
      </c>
      <c r="B45" t="s">
        <v>2</v>
      </c>
      <c r="E45">
        <v>44</v>
      </c>
      <c r="F45" t="s">
        <v>11</v>
      </c>
      <c r="J45">
        <v>44</v>
      </c>
      <c r="K45" t="s">
        <v>3</v>
      </c>
      <c r="L45" t="s">
        <v>16</v>
      </c>
      <c r="O45">
        <v>44</v>
      </c>
      <c r="P45">
        <v>3</v>
      </c>
    </row>
    <row r="46" spans="1:16" x14ac:dyDescent="0.25">
      <c r="A46">
        <f t="shared" si="0"/>
        <v>44</v>
      </c>
      <c r="B46" t="s">
        <v>2</v>
      </c>
      <c r="E46">
        <v>45</v>
      </c>
      <c r="F46" t="s">
        <v>12</v>
      </c>
      <c r="J46">
        <v>45</v>
      </c>
      <c r="K46" t="s">
        <v>3</v>
      </c>
      <c r="L46" t="s">
        <v>17</v>
      </c>
      <c r="O46">
        <v>45</v>
      </c>
      <c r="P46">
        <v>5</v>
      </c>
    </row>
    <row r="47" spans="1:16" x14ac:dyDescent="0.25">
      <c r="A47">
        <f t="shared" si="0"/>
        <v>45</v>
      </c>
      <c r="B47" t="s">
        <v>2</v>
      </c>
      <c r="E47">
        <v>46</v>
      </c>
      <c r="F47" t="s">
        <v>12</v>
      </c>
      <c r="J47">
        <v>46</v>
      </c>
      <c r="K47" t="s">
        <v>3</v>
      </c>
      <c r="L47" t="s">
        <v>17</v>
      </c>
      <c r="O47">
        <v>46</v>
      </c>
      <c r="P47">
        <v>2</v>
      </c>
    </row>
    <row r="48" spans="1:16" x14ac:dyDescent="0.25">
      <c r="A48">
        <f t="shared" si="0"/>
        <v>46</v>
      </c>
      <c r="B48" t="s">
        <v>2</v>
      </c>
      <c r="E48">
        <v>47</v>
      </c>
      <c r="F48" t="s">
        <v>11</v>
      </c>
      <c r="J48">
        <v>47</v>
      </c>
      <c r="K48" t="s">
        <v>3</v>
      </c>
      <c r="L48" t="s">
        <v>17</v>
      </c>
      <c r="O48">
        <v>47</v>
      </c>
      <c r="P48">
        <v>5</v>
      </c>
    </row>
    <row r="49" spans="1:16" x14ac:dyDescent="0.25">
      <c r="A49">
        <f t="shared" si="0"/>
        <v>47</v>
      </c>
      <c r="B49" t="s">
        <v>3</v>
      </c>
      <c r="E49">
        <v>48</v>
      </c>
      <c r="F49" t="s">
        <v>11</v>
      </c>
      <c r="J49">
        <v>48</v>
      </c>
      <c r="K49" t="s">
        <v>2</v>
      </c>
      <c r="L49" t="s">
        <v>16</v>
      </c>
      <c r="O49">
        <v>48</v>
      </c>
      <c r="P49">
        <v>2</v>
      </c>
    </row>
    <row r="50" spans="1:16" x14ac:dyDescent="0.25">
      <c r="A50">
        <f t="shared" si="0"/>
        <v>48</v>
      </c>
      <c r="B50" t="s">
        <v>2</v>
      </c>
      <c r="E50">
        <v>49</v>
      </c>
      <c r="F50" t="s">
        <v>12</v>
      </c>
      <c r="J50">
        <v>49</v>
      </c>
      <c r="K50" t="s">
        <v>2</v>
      </c>
      <c r="L50" t="s">
        <v>16</v>
      </c>
      <c r="O50">
        <v>49</v>
      </c>
      <c r="P50">
        <v>2</v>
      </c>
    </row>
    <row r="51" spans="1:16" x14ac:dyDescent="0.25">
      <c r="A51">
        <f t="shared" si="0"/>
        <v>49</v>
      </c>
      <c r="B51" t="s">
        <v>3</v>
      </c>
      <c r="E51">
        <v>50</v>
      </c>
      <c r="F51" t="s">
        <v>11</v>
      </c>
      <c r="J51">
        <v>50</v>
      </c>
      <c r="K51" t="s">
        <v>2</v>
      </c>
      <c r="L51" t="s">
        <v>17</v>
      </c>
      <c r="O51">
        <v>50</v>
      </c>
      <c r="P51">
        <v>3</v>
      </c>
    </row>
    <row r="52" spans="1:16" x14ac:dyDescent="0.25">
      <c r="A52">
        <f t="shared" si="0"/>
        <v>50</v>
      </c>
      <c r="B52" t="s">
        <v>2</v>
      </c>
      <c r="E52">
        <v>51</v>
      </c>
      <c r="F52" t="s">
        <v>12</v>
      </c>
      <c r="J52">
        <v>51</v>
      </c>
      <c r="K52" t="s">
        <v>2</v>
      </c>
      <c r="L52" t="s">
        <v>17</v>
      </c>
      <c r="O52">
        <v>51</v>
      </c>
      <c r="P52">
        <v>2</v>
      </c>
    </row>
    <row r="53" spans="1:16" x14ac:dyDescent="0.25">
      <c r="A53">
        <f t="shared" si="0"/>
        <v>51</v>
      </c>
      <c r="B53" t="s">
        <v>3</v>
      </c>
      <c r="E53">
        <v>52</v>
      </c>
      <c r="F53" t="s">
        <v>12</v>
      </c>
      <c r="J53">
        <v>52</v>
      </c>
      <c r="K53" t="s">
        <v>3</v>
      </c>
      <c r="L53" t="s">
        <v>16</v>
      </c>
      <c r="O53">
        <v>52</v>
      </c>
      <c r="P53">
        <v>1</v>
      </c>
    </row>
    <row r="54" spans="1:16" x14ac:dyDescent="0.25">
      <c r="A54">
        <f t="shared" si="0"/>
        <v>52</v>
      </c>
      <c r="B54" t="s">
        <v>3</v>
      </c>
      <c r="E54">
        <v>53</v>
      </c>
      <c r="F54" t="s">
        <v>11</v>
      </c>
      <c r="J54">
        <v>53</v>
      </c>
      <c r="K54" t="s">
        <v>3</v>
      </c>
      <c r="L54" t="s">
        <v>16</v>
      </c>
      <c r="O54">
        <v>53</v>
      </c>
      <c r="P54">
        <v>2</v>
      </c>
    </row>
    <row r="55" spans="1:16" x14ac:dyDescent="0.25">
      <c r="A55">
        <f t="shared" si="0"/>
        <v>53</v>
      </c>
      <c r="B55" t="s">
        <v>3</v>
      </c>
      <c r="E55">
        <v>54</v>
      </c>
      <c r="F55" t="s">
        <v>11</v>
      </c>
      <c r="J55">
        <v>54</v>
      </c>
      <c r="K55" t="s">
        <v>2</v>
      </c>
      <c r="L55" t="s">
        <v>16</v>
      </c>
      <c r="O55">
        <v>54</v>
      </c>
      <c r="P55">
        <v>1</v>
      </c>
    </row>
    <row r="56" spans="1:16" x14ac:dyDescent="0.25">
      <c r="A56">
        <f t="shared" si="0"/>
        <v>54</v>
      </c>
      <c r="B56" t="s">
        <v>3</v>
      </c>
      <c r="E56">
        <v>55</v>
      </c>
      <c r="F56" t="s">
        <v>11</v>
      </c>
      <c r="J56">
        <v>55</v>
      </c>
      <c r="K56" t="s">
        <v>2</v>
      </c>
      <c r="L56" t="s">
        <v>17</v>
      </c>
      <c r="O56">
        <v>55</v>
      </c>
      <c r="P56">
        <v>6</v>
      </c>
    </row>
    <row r="57" spans="1:16" x14ac:dyDescent="0.25">
      <c r="A57">
        <f t="shared" si="0"/>
        <v>55</v>
      </c>
      <c r="B57" t="s">
        <v>3</v>
      </c>
      <c r="E57">
        <v>56</v>
      </c>
      <c r="F57" t="s">
        <v>12</v>
      </c>
      <c r="J57">
        <v>56</v>
      </c>
      <c r="K57" t="s">
        <v>3</v>
      </c>
      <c r="L57" t="s">
        <v>16</v>
      </c>
      <c r="O57">
        <v>56</v>
      </c>
      <c r="P57">
        <v>2</v>
      </c>
    </row>
    <row r="58" spans="1:16" x14ac:dyDescent="0.25">
      <c r="A58">
        <f t="shared" si="0"/>
        <v>56</v>
      </c>
      <c r="B58" t="s">
        <v>2</v>
      </c>
      <c r="E58">
        <v>57</v>
      </c>
      <c r="F58" t="s">
        <v>11</v>
      </c>
      <c r="J58">
        <v>57</v>
      </c>
      <c r="K58" t="s">
        <v>3</v>
      </c>
      <c r="L58" t="s">
        <v>16</v>
      </c>
      <c r="O58">
        <v>57</v>
      </c>
      <c r="P58">
        <v>6</v>
      </c>
    </row>
    <row r="59" spans="1:16" x14ac:dyDescent="0.25">
      <c r="A59">
        <f t="shared" si="0"/>
        <v>57</v>
      </c>
      <c r="B59" t="s">
        <v>2</v>
      </c>
      <c r="E59">
        <v>58</v>
      </c>
      <c r="F59" t="s">
        <v>12</v>
      </c>
      <c r="J59">
        <v>58</v>
      </c>
      <c r="K59" t="s">
        <v>2</v>
      </c>
      <c r="L59" t="s">
        <v>16</v>
      </c>
      <c r="O59">
        <v>58</v>
      </c>
      <c r="P59">
        <v>2</v>
      </c>
    </row>
    <row r="60" spans="1:16" x14ac:dyDescent="0.25">
      <c r="A60">
        <f t="shared" si="0"/>
        <v>58</v>
      </c>
      <c r="B60" t="s">
        <v>2</v>
      </c>
      <c r="E60">
        <v>59</v>
      </c>
      <c r="F60" t="s">
        <v>12</v>
      </c>
      <c r="J60">
        <v>59</v>
      </c>
      <c r="K60" t="s">
        <v>2</v>
      </c>
      <c r="L60" t="s">
        <v>16</v>
      </c>
      <c r="O60">
        <v>59</v>
      </c>
      <c r="P60">
        <v>6</v>
      </c>
    </row>
    <row r="61" spans="1:16" x14ac:dyDescent="0.25">
      <c r="A61">
        <f t="shared" si="0"/>
        <v>59</v>
      </c>
      <c r="B61" t="s">
        <v>3</v>
      </c>
      <c r="E61">
        <v>60</v>
      </c>
      <c r="F61" t="s">
        <v>12</v>
      </c>
      <c r="J61">
        <v>60</v>
      </c>
      <c r="K61" t="s">
        <v>3</v>
      </c>
      <c r="L61" t="s">
        <v>17</v>
      </c>
      <c r="O61">
        <v>60</v>
      </c>
      <c r="P61">
        <v>5</v>
      </c>
    </row>
    <row r="62" spans="1:16" x14ac:dyDescent="0.25">
      <c r="A62">
        <f t="shared" si="0"/>
        <v>60</v>
      </c>
      <c r="B62" t="s">
        <v>3</v>
      </c>
      <c r="E62">
        <v>61</v>
      </c>
      <c r="F62" t="s">
        <v>12</v>
      </c>
      <c r="J62">
        <v>61</v>
      </c>
      <c r="K62" t="s">
        <v>2</v>
      </c>
      <c r="L62" t="s">
        <v>16</v>
      </c>
      <c r="O62">
        <v>61</v>
      </c>
      <c r="P62">
        <v>6</v>
      </c>
    </row>
    <row r="63" spans="1:16" x14ac:dyDescent="0.25">
      <c r="A63">
        <f t="shared" si="0"/>
        <v>61</v>
      </c>
      <c r="B63" t="s">
        <v>2</v>
      </c>
      <c r="E63">
        <v>62</v>
      </c>
      <c r="F63" t="s">
        <v>12</v>
      </c>
      <c r="J63">
        <v>62</v>
      </c>
      <c r="K63" t="s">
        <v>3</v>
      </c>
      <c r="L63" t="s">
        <v>16</v>
      </c>
      <c r="O63">
        <v>62</v>
      </c>
      <c r="P63">
        <v>3</v>
      </c>
    </row>
    <row r="64" spans="1:16" x14ac:dyDescent="0.25">
      <c r="A64">
        <f t="shared" si="0"/>
        <v>62</v>
      </c>
      <c r="B64" t="s">
        <v>3</v>
      </c>
      <c r="E64">
        <v>63</v>
      </c>
      <c r="F64" t="s">
        <v>12</v>
      </c>
      <c r="J64">
        <v>63</v>
      </c>
      <c r="K64" t="s">
        <v>3</v>
      </c>
      <c r="L64" t="s">
        <v>16</v>
      </c>
      <c r="O64">
        <v>63</v>
      </c>
      <c r="P64">
        <v>4</v>
      </c>
    </row>
    <row r="65" spans="1:16" x14ac:dyDescent="0.25">
      <c r="A65">
        <f t="shared" si="0"/>
        <v>63</v>
      </c>
      <c r="B65" t="s">
        <v>2</v>
      </c>
      <c r="E65">
        <v>64</v>
      </c>
      <c r="F65" t="s">
        <v>12</v>
      </c>
      <c r="J65">
        <v>64</v>
      </c>
      <c r="K65" t="s">
        <v>2</v>
      </c>
      <c r="L65" t="s">
        <v>17</v>
      </c>
      <c r="O65">
        <v>64</v>
      </c>
      <c r="P65">
        <v>3</v>
      </c>
    </row>
    <row r="66" spans="1:16" x14ac:dyDescent="0.25">
      <c r="A66">
        <f t="shared" si="0"/>
        <v>64</v>
      </c>
      <c r="B66" t="s">
        <v>2</v>
      </c>
      <c r="E66">
        <v>65</v>
      </c>
      <c r="F66" t="s">
        <v>11</v>
      </c>
      <c r="J66">
        <v>65</v>
      </c>
      <c r="K66" t="s">
        <v>3</v>
      </c>
      <c r="L66" t="s">
        <v>17</v>
      </c>
      <c r="O66">
        <v>65</v>
      </c>
      <c r="P66">
        <v>3</v>
      </c>
    </row>
    <row r="67" spans="1:16" x14ac:dyDescent="0.25">
      <c r="A67">
        <f t="shared" si="0"/>
        <v>65</v>
      </c>
      <c r="B67" t="s">
        <v>3</v>
      </c>
      <c r="E67">
        <v>66</v>
      </c>
      <c r="F67" t="s">
        <v>12</v>
      </c>
      <c r="J67">
        <v>66</v>
      </c>
      <c r="K67" t="s">
        <v>2</v>
      </c>
      <c r="L67" t="s">
        <v>16</v>
      </c>
      <c r="O67">
        <v>66</v>
      </c>
      <c r="P67">
        <v>1</v>
      </c>
    </row>
    <row r="68" spans="1:16" x14ac:dyDescent="0.25">
      <c r="A68">
        <f t="shared" si="0"/>
        <v>66</v>
      </c>
      <c r="B68" t="s">
        <v>2</v>
      </c>
      <c r="E68">
        <v>67</v>
      </c>
      <c r="F68" t="s">
        <v>11</v>
      </c>
      <c r="J68">
        <v>67</v>
      </c>
      <c r="K68" t="s">
        <v>3</v>
      </c>
      <c r="L68" t="s">
        <v>17</v>
      </c>
      <c r="O68">
        <v>67</v>
      </c>
      <c r="P68">
        <v>6</v>
      </c>
    </row>
    <row r="69" spans="1:16" x14ac:dyDescent="0.25">
      <c r="A69">
        <f t="shared" ref="A69:A101" si="1">A68+1</f>
        <v>67</v>
      </c>
      <c r="B69" t="s">
        <v>3</v>
      </c>
      <c r="E69">
        <v>68</v>
      </c>
      <c r="F69" t="s">
        <v>11</v>
      </c>
      <c r="J69">
        <v>68</v>
      </c>
      <c r="K69" t="s">
        <v>3</v>
      </c>
      <c r="L69" t="s">
        <v>16</v>
      </c>
      <c r="O69">
        <v>68</v>
      </c>
      <c r="P69">
        <v>3</v>
      </c>
    </row>
    <row r="70" spans="1:16" x14ac:dyDescent="0.25">
      <c r="A70">
        <f t="shared" si="1"/>
        <v>68</v>
      </c>
      <c r="B70" t="s">
        <v>2</v>
      </c>
      <c r="E70">
        <v>69</v>
      </c>
      <c r="F70" t="s">
        <v>12</v>
      </c>
      <c r="J70">
        <v>69</v>
      </c>
      <c r="K70" t="s">
        <v>3</v>
      </c>
      <c r="L70" t="s">
        <v>16</v>
      </c>
      <c r="O70">
        <v>69</v>
      </c>
      <c r="P70">
        <v>3</v>
      </c>
    </row>
    <row r="71" spans="1:16" x14ac:dyDescent="0.25">
      <c r="A71">
        <f t="shared" si="1"/>
        <v>69</v>
      </c>
      <c r="B71" t="s">
        <v>2</v>
      </c>
      <c r="E71">
        <v>70</v>
      </c>
      <c r="F71" t="s">
        <v>11</v>
      </c>
      <c r="J71">
        <v>70</v>
      </c>
      <c r="K71" t="s">
        <v>3</v>
      </c>
      <c r="L71" t="s">
        <v>16</v>
      </c>
      <c r="O71">
        <v>70</v>
      </c>
      <c r="P71">
        <v>5</v>
      </c>
    </row>
    <row r="72" spans="1:16" x14ac:dyDescent="0.25">
      <c r="A72">
        <f t="shared" si="1"/>
        <v>70</v>
      </c>
      <c r="B72" t="s">
        <v>2</v>
      </c>
      <c r="E72">
        <v>71</v>
      </c>
      <c r="F72" t="s">
        <v>11</v>
      </c>
      <c r="J72">
        <v>71</v>
      </c>
      <c r="K72" t="s">
        <v>3</v>
      </c>
      <c r="L72" t="s">
        <v>17</v>
      </c>
      <c r="O72">
        <v>71</v>
      </c>
      <c r="P72">
        <v>6</v>
      </c>
    </row>
    <row r="73" spans="1:16" x14ac:dyDescent="0.25">
      <c r="A73">
        <f t="shared" si="1"/>
        <v>71</v>
      </c>
      <c r="B73" t="s">
        <v>2</v>
      </c>
      <c r="E73">
        <v>72</v>
      </c>
      <c r="F73" t="s">
        <v>11</v>
      </c>
      <c r="J73">
        <v>72</v>
      </c>
      <c r="K73" t="s">
        <v>3</v>
      </c>
      <c r="L73" t="s">
        <v>16</v>
      </c>
      <c r="O73">
        <v>72</v>
      </c>
      <c r="P73">
        <v>4</v>
      </c>
    </row>
    <row r="74" spans="1:16" x14ac:dyDescent="0.25">
      <c r="A74">
        <f t="shared" si="1"/>
        <v>72</v>
      </c>
      <c r="B74" t="s">
        <v>2</v>
      </c>
      <c r="E74">
        <v>73</v>
      </c>
      <c r="F74" t="s">
        <v>11</v>
      </c>
      <c r="J74">
        <v>73</v>
      </c>
      <c r="K74" t="s">
        <v>2</v>
      </c>
      <c r="L74" t="s">
        <v>16</v>
      </c>
      <c r="O74">
        <v>73</v>
      </c>
      <c r="P74">
        <v>5</v>
      </c>
    </row>
    <row r="75" spans="1:16" x14ac:dyDescent="0.25">
      <c r="A75">
        <f t="shared" si="1"/>
        <v>73</v>
      </c>
      <c r="B75" t="s">
        <v>2</v>
      </c>
      <c r="E75">
        <v>74</v>
      </c>
      <c r="F75" t="s">
        <v>11</v>
      </c>
      <c r="J75">
        <v>74</v>
      </c>
      <c r="K75" t="s">
        <v>3</v>
      </c>
      <c r="L75" t="s">
        <v>16</v>
      </c>
      <c r="O75">
        <v>74</v>
      </c>
      <c r="P75">
        <v>5</v>
      </c>
    </row>
    <row r="76" spans="1:16" x14ac:dyDescent="0.25">
      <c r="A76">
        <f t="shared" si="1"/>
        <v>74</v>
      </c>
      <c r="B76" t="s">
        <v>3</v>
      </c>
      <c r="E76">
        <v>75</v>
      </c>
      <c r="F76" t="s">
        <v>11</v>
      </c>
      <c r="J76">
        <v>75</v>
      </c>
      <c r="K76" t="s">
        <v>2</v>
      </c>
      <c r="L76" t="s">
        <v>17</v>
      </c>
      <c r="O76">
        <v>75</v>
      </c>
      <c r="P76">
        <v>4</v>
      </c>
    </row>
    <row r="77" spans="1:16" x14ac:dyDescent="0.25">
      <c r="A77">
        <f t="shared" si="1"/>
        <v>75</v>
      </c>
      <c r="B77" t="s">
        <v>2</v>
      </c>
      <c r="E77">
        <v>76</v>
      </c>
      <c r="F77" t="s">
        <v>12</v>
      </c>
      <c r="J77">
        <v>76</v>
      </c>
      <c r="K77" t="s">
        <v>3</v>
      </c>
      <c r="L77" t="s">
        <v>17</v>
      </c>
      <c r="O77">
        <v>76</v>
      </c>
      <c r="P77">
        <v>1</v>
      </c>
    </row>
    <row r="78" spans="1:16" x14ac:dyDescent="0.25">
      <c r="A78">
        <f t="shared" si="1"/>
        <v>76</v>
      </c>
      <c r="B78" t="s">
        <v>3</v>
      </c>
      <c r="E78">
        <v>77</v>
      </c>
      <c r="F78" t="s">
        <v>11</v>
      </c>
      <c r="J78">
        <v>77</v>
      </c>
      <c r="K78" t="s">
        <v>2</v>
      </c>
      <c r="L78" t="s">
        <v>16</v>
      </c>
      <c r="O78">
        <v>77</v>
      </c>
      <c r="P78">
        <v>4</v>
      </c>
    </row>
    <row r="79" spans="1:16" x14ac:dyDescent="0.25">
      <c r="A79">
        <f t="shared" si="1"/>
        <v>77</v>
      </c>
      <c r="B79" t="s">
        <v>2</v>
      </c>
      <c r="E79">
        <v>78</v>
      </c>
      <c r="F79" t="s">
        <v>11</v>
      </c>
      <c r="J79">
        <v>78</v>
      </c>
      <c r="K79" t="s">
        <v>2</v>
      </c>
      <c r="L79" t="s">
        <v>17</v>
      </c>
      <c r="O79">
        <v>78</v>
      </c>
      <c r="P79">
        <v>4</v>
      </c>
    </row>
    <row r="80" spans="1:16" x14ac:dyDescent="0.25">
      <c r="A80">
        <f t="shared" si="1"/>
        <v>78</v>
      </c>
      <c r="B80" t="s">
        <v>2</v>
      </c>
      <c r="E80">
        <v>79</v>
      </c>
      <c r="F80" t="s">
        <v>12</v>
      </c>
      <c r="J80">
        <v>79</v>
      </c>
      <c r="K80" t="s">
        <v>2</v>
      </c>
      <c r="L80" t="s">
        <v>17</v>
      </c>
      <c r="O80">
        <v>79</v>
      </c>
      <c r="P80">
        <v>3</v>
      </c>
    </row>
    <row r="81" spans="1:16" x14ac:dyDescent="0.25">
      <c r="A81">
        <f t="shared" si="1"/>
        <v>79</v>
      </c>
      <c r="B81" t="s">
        <v>2</v>
      </c>
      <c r="E81">
        <v>80</v>
      </c>
      <c r="F81" t="s">
        <v>12</v>
      </c>
      <c r="J81">
        <v>80</v>
      </c>
      <c r="K81" t="s">
        <v>3</v>
      </c>
      <c r="L81" t="s">
        <v>16</v>
      </c>
      <c r="O81">
        <v>80</v>
      </c>
      <c r="P81">
        <v>3</v>
      </c>
    </row>
    <row r="82" spans="1:16" x14ac:dyDescent="0.25">
      <c r="A82">
        <f t="shared" si="1"/>
        <v>80</v>
      </c>
      <c r="B82" t="s">
        <v>3</v>
      </c>
      <c r="E82">
        <v>81</v>
      </c>
      <c r="F82" t="s">
        <v>11</v>
      </c>
      <c r="J82">
        <v>81</v>
      </c>
      <c r="K82" t="s">
        <v>3</v>
      </c>
      <c r="L82" t="s">
        <v>16</v>
      </c>
      <c r="O82">
        <v>81</v>
      </c>
      <c r="P82">
        <v>4</v>
      </c>
    </row>
    <row r="83" spans="1:16" x14ac:dyDescent="0.25">
      <c r="A83">
        <f t="shared" si="1"/>
        <v>81</v>
      </c>
      <c r="B83" t="s">
        <v>2</v>
      </c>
      <c r="E83">
        <v>82</v>
      </c>
      <c r="F83" t="s">
        <v>11</v>
      </c>
      <c r="J83">
        <v>82</v>
      </c>
      <c r="K83" t="s">
        <v>3</v>
      </c>
      <c r="L83" t="s">
        <v>16</v>
      </c>
      <c r="O83">
        <v>82</v>
      </c>
      <c r="P83">
        <v>2</v>
      </c>
    </row>
    <row r="84" spans="1:16" x14ac:dyDescent="0.25">
      <c r="A84">
        <f t="shared" si="1"/>
        <v>82</v>
      </c>
      <c r="B84" t="s">
        <v>3</v>
      </c>
      <c r="E84">
        <v>83</v>
      </c>
      <c r="F84" t="s">
        <v>11</v>
      </c>
      <c r="J84">
        <v>83</v>
      </c>
      <c r="K84" t="s">
        <v>3</v>
      </c>
      <c r="L84" t="s">
        <v>17</v>
      </c>
      <c r="O84">
        <v>83</v>
      </c>
      <c r="P84">
        <v>6</v>
      </c>
    </row>
    <row r="85" spans="1:16" x14ac:dyDescent="0.25">
      <c r="A85">
        <f t="shared" si="1"/>
        <v>83</v>
      </c>
      <c r="B85" t="s">
        <v>2</v>
      </c>
      <c r="E85">
        <v>84</v>
      </c>
      <c r="F85" t="s">
        <v>12</v>
      </c>
      <c r="J85">
        <v>84</v>
      </c>
      <c r="K85" t="s">
        <v>3</v>
      </c>
      <c r="L85" t="s">
        <v>16</v>
      </c>
      <c r="O85">
        <v>84</v>
      </c>
      <c r="P85">
        <v>4</v>
      </c>
    </row>
    <row r="86" spans="1:16" x14ac:dyDescent="0.25">
      <c r="A86">
        <f t="shared" si="1"/>
        <v>84</v>
      </c>
      <c r="B86" t="s">
        <v>2</v>
      </c>
      <c r="E86">
        <v>85</v>
      </c>
      <c r="F86" t="s">
        <v>12</v>
      </c>
      <c r="J86">
        <v>85</v>
      </c>
      <c r="K86" t="s">
        <v>2</v>
      </c>
      <c r="L86" t="s">
        <v>17</v>
      </c>
      <c r="O86">
        <v>85</v>
      </c>
      <c r="P86">
        <v>6</v>
      </c>
    </row>
    <row r="87" spans="1:16" x14ac:dyDescent="0.25">
      <c r="A87">
        <f t="shared" si="1"/>
        <v>85</v>
      </c>
      <c r="B87" t="s">
        <v>3</v>
      </c>
      <c r="E87">
        <v>86</v>
      </c>
      <c r="F87" t="s">
        <v>12</v>
      </c>
      <c r="J87">
        <v>86</v>
      </c>
      <c r="K87" t="s">
        <v>2</v>
      </c>
      <c r="L87" t="s">
        <v>17</v>
      </c>
      <c r="O87">
        <v>86</v>
      </c>
      <c r="P87">
        <v>4</v>
      </c>
    </row>
    <row r="88" spans="1:16" x14ac:dyDescent="0.25">
      <c r="A88">
        <f t="shared" si="1"/>
        <v>86</v>
      </c>
      <c r="B88" t="s">
        <v>2</v>
      </c>
      <c r="E88">
        <v>87</v>
      </c>
      <c r="F88" t="s">
        <v>12</v>
      </c>
      <c r="J88">
        <v>87</v>
      </c>
      <c r="K88" t="s">
        <v>3</v>
      </c>
      <c r="L88" t="s">
        <v>17</v>
      </c>
      <c r="O88">
        <v>87</v>
      </c>
      <c r="P88">
        <v>2</v>
      </c>
    </row>
    <row r="89" spans="1:16" x14ac:dyDescent="0.25">
      <c r="A89">
        <f t="shared" si="1"/>
        <v>87</v>
      </c>
      <c r="B89" t="s">
        <v>2</v>
      </c>
      <c r="E89">
        <v>88</v>
      </c>
      <c r="F89" t="s">
        <v>11</v>
      </c>
      <c r="J89">
        <v>88</v>
      </c>
      <c r="K89" t="s">
        <v>2</v>
      </c>
      <c r="L89" t="s">
        <v>16</v>
      </c>
      <c r="O89">
        <v>88</v>
      </c>
      <c r="P89">
        <v>5</v>
      </c>
    </row>
    <row r="90" spans="1:16" x14ac:dyDescent="0.25">
      <c r="A90">
        <f t="shared" si="1"/>
        <v>88</v>
      </c>
      <c r="B90" t="s">
        <v>3</v>
      </c>
      <c r="E90">
        <v>89</v>
      </c>
      <c r="F90" t="s">
        <v>12</v>
      </c>
      <c r="J90">
        <v>89</v>
      </c>
      <c r="K90" t="s">
        <v>2</v>
      </c>
      <c r="L90" t="s">
        <v>16</v>
      </c>
      <c r="O90">
        <v>89</v>
      </c>
      <c r="P90">
        <v>3</v>
      </c>
    </row>
    <row r="91" spans="1:16" x14ac:dyDescent="0.25">
      <c r="A91">
        <f t="shared" si="1"/>
        <v>89</v>
      </c>
      <c r="B91" t="s">
        <v>2</v>
      </c>
      <c r="E91">
        <v>90</v>
      </c>
      <c r="F91" t="s">
        <v>11</v>
      </c>
      <c r="J91">
        <v>90</v>
      </c>
      <c r="K91" t="s">
        <v>3</v>
      </c>
      <c r="L91" t="s">
        <v>17</v>
      </c>
      <c r="O91">
        <v>90</v>
      </c>
      <c r="P91">
        <v>3</v>
      </c>
    </row>
    <row r="92" spans="1:16" x14ac:dyDescent="0.25">
      <c r="A92">
        <f t="shared" si="1"/>
        <v>90</v>
      </c>
      <c r="B92" t="s">
        <v>3</v>
      </c>
      <c r="E92">
        <v>91</v>
      </c>
      <c r="F92" t="s">
        <v>11</v>
      </c>
      <c r="J92">
        <v>91</v>
      </c>
      <c r="K92" t="s">
        <v>3</v>
      </c>
      <c r="L92" t="s">
        <v>17</v>
      </c>
      <c r="O92">
        <v>91</v>
      </c>
      <c r="P92">
        <v>4</v>
      </c>
    </row>
    <row r="93" spans="1:16" x14ac:dyDescent="0.25">
      <c r="A93">
        <f t="shared" si="1"/>
        <v>91</v>
      </c>
      <c r="B93" t="s">
        <v>2</v>
      </c>
      <c r="E93">
        <v>92</v>
      </c>
      <c r="F93" t="s">
        <v>11</v>
      </c>
      <c r="J93">
        <v>92</v>
      </c>
      <c r="K93" t="s">
        <v>2</v>
      </c>
      <c r="L93" t="s">
        <v>17</v>
      </c>
      <c r="O93">
        <v>92</v>
      </c>
      <c r="P93">
        <v>4</v>
      </c>
    </row>
    <row r="94" spans="1:16" x14ac:dyDescent="0.25">
      <c r="A94">
        <f t="shared" si="1"/>
        <v>92</v>
      </c>
      <c r="B94" t="s">
        <v>2</v>
      </c>
      <c r="E94">
        <v>93</v>
      </c>
      <c r="F94" t="s">
        <v>11</v>
      </c>
      <c r="J94">
        <v>93</v>
      </c>
      <c r="K94" t="s">
        <v>2</v>
      </c>
      <c r="L94" t="s">
        <v>17</v>
      </c>
      <c r="O94">
        <v>93</v>
      </c>
      <c r="P94">
        <v>5</v>
      </c>
    </row>
    <row r="95" spans="1:16" x14ac:dyDescent="0.25">
      <c r="A95">
        <f t="shared" si="1"/>
        <v>93</v>
      </c>
      <c r="B95" t="s">
        <v>3</v>
      </c>
      <c r="E95">
        <v>94</v>
      </c>
      <c r="F95" t="s">
        <v>12</v>
      </c>
      <c r="J95">
        <v>94</v>
      </c>
      <c r="K95" t="s">
        <v>3</v>
      </c>
      <c r="L95" t="s">
        <v>16</v>
      </c>
      <c r="O95">
        <v>94</v>
      </c>
      <c r="P95">
        <v>4</v>
      </c>
    </row>
    <row r="96" spans="1:16" x14ac:dyDescent="0.25">
      <c r="A96">
        <f t="shared" si="1"/>
        <v>94</v>
      </c>
      <c r="B96" t="s">
        <v>2</v>
      </c>
      <c r="E96">
        <v>95</v>
      </c>
      <c r="F96" t="s">
        <v>11</v>
      </c>
      <c r="J96">
        <v>95</v>
      </c>
      <c r="K96" t="s">
        <v>3</v>
      </c>
      <c r="L96" t="s">
        <v>17</v>
      </c>
      <c r="O96">
        <v>95</v>
      </c>
      <c r="P96">
        <v>3</v>
      </c>
    </row>
    <row r="97" spans="1:16" x14ac:dyDescent="0.25">
      <c r="A97">
        <f t="shared" si="1"/>
        <v>95</v>
      </c>
      <c r="B97" t="s">
        <v>2</v>
      </c>
      <c r="E97">
        <v>96</v>
      </c>
      <c r="F97" t="s">
        <v>11</v>
      </c>
      <c r="J97">
        <v>96</v>
      </c>
      <c r="K97" t="s">
        <v>3</v>
      </c>
      <c r="L97" t="s">
        <v>16</v>
      </c>
      <c r="O97">
        <v>96</v>
      </c>
      <c r="P97">
        <v>2</v>
      </c>
    </row>
    <row r="98" spans="1:16" x14ac:dyDescent="0.25">
      <c r="A98">
        <f t="shared" si="1"/>
        <v>96</v>
      </c>
      <c r="B98" t="s">
        <v>2</v>
      </c>
      <c r="E98">
        <v>97</v>
      </c>
      <c r="F98" t="s">
        <v>12</v>
      </c>
      <c r="J98">
        <v>97</v>
      </c>
      <c r="K98" t="s">
        <v>3</v>
      </c>
      <c r="L98" t="s">
        <v>16</v>
      </c>
      <c r="O98">
        <v>97</v>
      </c>
      <c r="P98">
        <v>3</v>
      </c>
    </row>
    <row r="99" spans="1:16" x14ac:dyDescent="0.25">
      <c r="A99">
        <f t="shared" si="1"/>
        <v>97</v>
      </c>
      <c r="B99" t="s">
        <v>2</v>
      </c>
      <c r="E99">
        <v>98</v>
      </c>
      <c r="F99" t="s">
        <v>11</v>
      </c>
      <c r="J99">
        <v>98</v>
      </c>
      <c r="K99" t="s">
        <v>2</v>
      </c>
      <c r="L99" t="s">
        <v>16</v>
      </c>
      <c r="O99">
        <v>98</v>
      </c>
      <c r="P99">
        <v>2</v>
      </c>
    </row>
    <row r="100" spans="1:16" x14ac:dyDescent="0.25">
      <c r="A100">
        <f t="shared" si="1"/>
        <v>98</v>
      </c>
      <c r="B100" t="s">
        <v>2</v>
      </c>
      <c r="E100">
        <v>99</v>
      </c>
      <c r="F100" t="s">
        <v>11</v>
      </c>
      <c r="J100">
        <v>99</v>
      </c>
      <c r="K100" t="s">
        <v>2</v>
      </c>
      <c r="L100" t="s">
        <v>17</v>
      </c>
      <c r="O100">
        <v>99</v>
      </c>
      <c r="P100">
        <v>5</v>
      </c>
    </row>
    <row r="101" spans="1:16" x14ac:dyDescent="0.25">
      <c r="A101">
        <f t="shared" si="1"/>
        <v>99</v>
      </c>
      <c r="B101" t="s">
        <v>2</v>
      </c>
      <c r="E101">
        <v>100</v>
      </c>
      <c r="F101" t="s">
        <v>11</v>
      </c>
      <c r="J101">
        <v>100</v>
      </c>
      <c r="K101" t="s">
        <v>3</v>
      </c>
      <c r="L101" t="s">
        <v>17</v>
      </c>
      <c r="O101">
        <v>100</v>
      </c>
      <c r="P101">
        <v>6</v>
      </c>
    </row>
    <row r="102" spans="1:16" x14ac:dyDescent="0.25">
      <c r="A102">
        <f>A101+1</f>
        <v>100</v>
      </c>
      <c r="B102" t="s">
        <v>3</v>
      </c>
      <c r="F102" t="s">
        <v>11</v>
      </c>
    </row>
    <row r="103" spans="1:16" x14ac:dyDescent="0.25">
      <c r="F103" t="s">
        <v>12</v>
      </c>
    </row>
    <row r="104" spans="1:16" x14ac:dyDescent="0.25">
      <c r="F104" t="s">
        <v>11</v>
      </c>
    </row>
    <row r="105" spans="1:16" x14ac:dyDescent="0.25">
      <c r="F105" t="s">
        <v>11</v>
      </c>
    </row>
    <row r="106" spans="1:16" x14ac:dyDescent="0.25">
      <c r="F106" t="s">
        <v>12</v>
      </c>
    </row>
    <row r="107" spans="1:16" x14ac:dyDescent="0.25">
      <c r="F107" t="s">
        <v>11</v>
      </c>
    </row>
    <row r="108" spans="1:16" x14ac:dyDescent="0.25">
      <c r="F108" t="s">
        <v>12</v>
      </c>
    </row>
    <row r="109" spans="1:16" x14ac:dyDescent="0.25">
      <c r="F109" t="s">
        <v>12</v>
      </c>
    </row>
    <row r="110" spans="1:16" x14ac:dyDescent="0.25">
      <c r="F110" t="s">
        <v>12</v>
      </c>
    </row>
    <row r="111" spans="1:16" x14ac:dyDescent="0.25">
      <c r="F111" t="s">
        <v>12</v>
      </c>
    </row>
    <row r="112" spans="1:16" x14ac:dyDescent="0.25">
      <c r="F112" t="s">
        <v>11</v>
      </c>
    </row>
    <row r="113" spans="6:6" x14ac:dyDescent="0.25">
      <c r="F113" t="s">
        <v>11</v>
      </c>
    </row>
    <row r="114" spans="6:6" x14ac:dyDescent="0.25">
      <c r="F114" t="s">
        <v>11</v>
      </c>
    </row>
    <row r="115" spans="6:6" x14ac:dyDescent="0.25">
      <c r="F115" t="s">
        <v>12</v>
      </c>
    </row>
    <row r="116" spans="6:6" x14ac:dyDescent="0.25">
      <c r="F116" t="s">
        <v>12</v>
      </c>
    </row>
    <row r="117" spans="6:6" x14ac:dyDescent="0.25">
      <c r="F117" t="s">
        <v>11</v>
      </c>
    </row>
    <row r="118" spans="6:6" x14ac:dyDescent="0.25">
      <c r="F118" t="s">
        <v>12</v>
      </c>
    </row>
    <row r="119" spans="6:6" x14ac:dyDescent="0.25">
      <c r="F119" t="s">
        <v>11</v>
      </c>
    </row>
    <row r="120" spans="6:6" x14ac:dyDescent="0.25">
      <c r="F120" t="s">
        <v>11</v>
      </c>
    </row>
    <row r="121" spans="6:6" x14ac:dyDescent="0.25">
      <c r="F121" t="s">
        <v>12</v>
      </c>
    </row>
    <row r="122" spans="6:6" x14ac:dyDescent="0.25">
      <c r="F122" t="s">
        <v>12</v>
      </c>
    </row>
    <row r="123" spans="6:6" x14ac:dyDescent="0.25">
      <c r="F123" t="s">
        <v>12</v>
      </c>
    </row>
    <row r="124" spans="6:6" x14ac:dyDescent="0.25">
      <c r="F124" t="s">
        <v>11</v>
      </c>
    </row>
    <row r="125" spans="6:6" x14ac:dyDescent="0.25">
      <c r="F125" t="s">
        <v>12</v>
      </c>
    </row>
    <row r="126" spans="6:6" x14ac:dyDescent="0.25">
      <c r="F126" t="s">
        <v>11</v>
      </c>
    </row>
    <row r="127" spans="6:6" x14ac:dyDescent="0.25">
      <c r="F127" t="s">
        <v>12</v>
      </c>
    </row>
    <row r="128" spans="6:6" x14ac:dyDescent="0.25">
      <c r="F128" t="s">
        <v>11</v>
      </c>
    </row>
    <row r="129" spans="6:6" x14ac:dyDescent="0.25">
      <c r="F129" t="s">
        <v>11</v>
      </c>
    </row>
    <row r="130" spans="6:6" x14ac:dyDescent="0.25">
      <c r="F130" t="s">
        <v>12</v>
      </c>
    </row>
    <row r="131" spans="6:6" x14ac:dyDescent="0.25">
      <c r="F131" t="s">
        <v>12</v>
      </c>
    </row>
    <row r="132" spans="6:6" x14ac:dyDescent="0.25">
      <c r="F132" t="s">
        <v>11</v>
      </c>
    </row>
    <row r="133" spans="6:6" x14ac:dyDescent="0.25">
      <c r="F133" t="s">
        <v>12</v>
      </c>
    </row>
    <row r="134" spans="6:6" x14ac:dyDescent="0.25">
      <c r="F134" t="s">
        <v>11</v>
      </c>
    </row>
    <row r="135" spans="6:6" x14ac:dyDescent="0.25">
      <c r="F135" t="s">
        <v>11</v>
      </c>
    </row>
    <row r="136" spans="6:6" x14ac:dyDescent="0.25">
      <c r="F136" t="s">
        <v>12</v>
      </c>
    </row>
    <row r="137" spans="6:6" x14ac:dyDescent="0.25">
      <c r="F137" t="s">
        <v>11</v>
      </c>
    </row>
    <row r="138" spans="6:6" x14ac:dyDescent="0.25">
      <c r="F138" t="s">
        <v>12</v>
      </c>
    </row>
    <row r="139" spans="6:6" x14ac:dyDescent="0.25">
      <c r="F139" t="s">
        <v>11</v>
      </c>
    </row>
    <row r="140" spans="6:6" x14ac:dyDescent="0.25">
      <c r="F140" t="s">
        <v>11</v>
      </c>
    </row>
    <row r="141" spans="6:6" x14ac:dyDescent="0.25">
      <c r="F141" t="s">
        <v>11</v>
      </c>
    </row>
    <row r="142" spans="6:6" x14ac:dyDescent="0.25">
      <c r="F142" t="s">
        <v>12</v>
      </c>
    </row>
    <row r="143" spans="6:6" x14ac:dyDescent="0.25">
      <c r="F143" t="s">
        <v>11</v>
      </c>
    </row>
    <row r="144" spans="6:6" x14ac:dyDescent="0.25">
      <c r="F144" t="s">
        <v>12</v>
      </c>
    </row>
    <row r="145" spans="6:6" x14ac:dyDescent="0.25">
      <c r="F145" t="s">
        <v>12</v>
      </c>
    </row>
    <row r="146" spans="6:6" x14ac:dyDescent="0.25">
      <c r="F146" t="s">
        <v>12</v>
      </c>
    </row>
    <row r="147" spans="6:6" x14ac:dyDescent="0.25">
      <c r="F147" t="s">
        <v>11</v>
      </c>
    </row>
    <row r="148" spans="6:6" x14ac:dyDescent="0.25">
      <c r="F148" t="s">
        <v>11</v>
      </c>
    </row>
    <row r="149" spans="6:6" x14ac:dyDescent="0.25">
      <c r="F149" t="s">
        <v>11</v>
      </c>
    </row>
    <row r="150" spans="6:6" x14ac:dyDescent="0.25">
      <c r="F150" t="s">
        <v>11</v>
      </c>
    </row>
    <row r="151" spans="6:6" x14ac:dyDescent="0.25">
      <c r="F151" t="s">
        <v>11</v>
      </c>
    </row>
    <row r="152" spans="6:6" x14ac:dyDescent="0.25">
      <c r="F152" t="s">
        <v>11</v>
      </c>
    </row>
    <row r="153" spans="6:6" x14ac:dyDescent="0.25">
      <c r="F153" t="s">
        <v>11</v>
      </c>
    </row>
    <row r="154" spans="6:6" x14ac:dyDescent="0.25">
      <c r="F154" t="s">
        <v>12</v>
      </c>
    </row>
    <row r="155" spans="6:6" x14ac:dyDescent="0.25">
      <c r="F155" t="s">
        <v>11</v>
      </c>
    </row>
    <row r="156" spans="6:6" x14ac:dyDescent="0.25">
      <c r="F156" t="s">
        <v>11</v>
      </c>
    </row>
    <row r="157" spans="6:6" x14ac:dyDescent="0.25">
      <c r="F157" t="s">
        <v>11</v>
      </c>
    </row>
    <row r="158" spans="6:6" x14ac:dyDescent="0.25">
      <c r="F158" t="s">
        <v>11</v>
      </c>
    </row>
    <row r="159" spans="6:6" x14ac:dyDescent="0.25">
      <c r="F159" t="s">
        <v>12</v>
      </c>
    </row>
    <row r="160" spans="6:6" x14ac:dyDescent="0.25">
      <c r="F160" t="s">
        <v>12</v>
      </c>
    </row>
    <row r="161" spans="6:6" x14ac:dyDescent="0.25">
      <c r="F161" t="s">
        <v>12</v>
      </c>
    </row>
    <row r="162" spans="6:6" x14ac:dyDescent="0.25">
      <c r="F162" t="s">
        <v>11</v>
      </c>
    </row>
    <row r="163" spans="6:6" x14ac:dyDescent="0.25">
      <c r="F163" t="s">
        <v>11</v>
      </c>
    </row>
    <row r="164" spans="6:6" x14ac:dyDescent="0.25">
      <c r="F164" t="s">
        <v>11</v>
      </c>
    </row>
    <row r="165" spans="6:6" x14ac:dyDescent="0.25">
      <c r="F165" t="s">
        <v>11</v>
      </c>
    </row>
    <row r="166" spans="6:6" x14ac:dyDescent="0.25">
      <c r="F166" t="s">
        <v>11</v>
      </c>
    </row>
    <row r="167" spans="6:6" x14ac:dyDescent="0.25">
      <c r="F167" t="s">
        <v>11</v>
      </c>
    </row>
    <row r="168" spans="6:6" x14ac:dyDescent="0.25">
      <c r="F168" t="s">
        <v>12</v>
      </c>
    </row>
    <row r="169" spans="6:6" x14ac:dyDescent="0.25">
      <c r="F169" t="s">
        <v>12</v>
      </c>
    </row>
    <row r="170" spans="6:6" x14ac:dyDescent="0.25">
      <c r="F170" t="s">
        <v>12</v>
      </c>
    </row>
    <row r="171" spans="6:6" x14ac:dyDescent="0.25">
      <c r="F171" t="s">
        <v>12</v>
      </c>
    </row>
    <row r="172" spans="6:6" x14ac:dyDescent="0.25">
      <c r="F172" t="s">
        <v>12</v>
      </c>
    </row>
    <row r="173" spans="6:6" x14ac:dyDescent="0.25">
      <c r="F173" t="s">
        <v>12</v>
      </c>
    </row>
    <row r="174" spans="6:6" x14ac:dyDescent="0.25">
      <c r="F174" t="s">
        <v>11</v>
      </c>
    </row>
    <row r="175" spans="6:6" x14ac:dyDescent="0.25">
      <c r="F175" t="s">
        <v>11</v>
      </c>
    </row>
    <row r="176" spans="6:6" x14ac:dyDescent="0.25">
      <c r="F176" t="s">
        <v>12</v>
      </c>
    </row>
    <row r="177" spans="6:6" x14ac:dyDescent="0.25">
      <c r="F177" t="s">
        <v>12</v>
      </c>
    </row>
    <row r="178" spans="6:6" x14ac:dyDescent="0.25">
      <c r="F178" t="s">
        <v>12</v>
      </c>
    </row>
    <row r="179" spans="6:6" x14ac:dyDescent="0.25">
      <c r="F179" t="s">
        <v>12</v>
      </c>
    </row>
    <row r="180" spans="6:6" x14ac:dyDescent="0.25">
      <c r="F180" t="s">
        <v>12</v>
      </c>
    </row>
    <row r="181" spans="6:6" x14ac:dyDescent="0.25">
      <c r="F181" t="s">
        <v>12</v>
      </c>
    </row>
    <row r="182" spans="6:6" x14ac:dyDescent="0.25">
      <c r="F182" t="s">
        <v>11</v>
      </c>
    </row>
    <row r="183" spans="6:6" x14ac:dyDescent="0.25">
      <c r="F183" t="s">
        <v>11</v>
      </c>
    </row>
    <row r="184" spans="6:6" x14ac:dyDescent="0.25">
      <c r="F184" t="s">
        <v>12</v>
      </c>
    </row>
    <row r="185" spans="6:6" x14ac:dyDescent="0.25">
      <c r="F185" t="s">
        <v>11</v>
      </c>
    </row>
    <row r="186" spans="6:6" x14ac:dyDescent="0.25">
      <c r="F186" t="s">
        <v>11</v>
      </c>
    </row>
    <row r="187" spans="6:6" x14ac:dyDescent="0.25">
      <c r="F187" t="s">
        <v>12</v>
      </c>
    </row>
    <row r="188" spans="6:6" x14ac:dyDescent="0.25">
      <c r="F188" t="s">
        <v>11</v>
      </c>
    </row>
    <row r="189" spans="6:6" x14ac:dyDescent="0.25">
      <c r="F189" t="s">
        <v>12</v>
      </c>
    </row>
    <row r="190" spans="6:6" x14ac:dyDescent="0.25">
      <c r="F190" t="s">
        <v>12</v>
      </c>
    </row>
    <row r="191" spans="6:6" x14ac:dyDescent="0.25">
      <c r="F191" t="s">
        <v>11</v>
      </c>
    </row>
    <row r="192" spans="6:6" x14ac:dyDescent="0.25">
      <c r="F192" t="s">
        <v>12</v>
      </c>
    </row>
    <row r="193" spans="6:6" x14ac:dyDescent="0.25">
      <c r="F193" t="s">
        <v>12</v>
      </c>
    </row>
    <row r="194" spans="6:6" x14ac:dyDescent="0.25">
      <c r="F194" t="s">
        <v>11</v>
      </c>
    </row>
    <row r="195" spans="6:6" x14ac:dyDescent="0.25">
      <c r="F195" t="s">
        <v>12</v>
      </c>
    </row>
    <row r="196" spans="6:6" x14ac:dyDescent="0.25">
      <c r="F196" t="s">
        <v>12</v>
      </c>
    </row>
    <row r="197" spans="6:6" x14ac:dyDescent="0.25">
      <c r="F197" t="s">
        <v>11</v>
      </c>
    </row>
    <row r="198" spans="6:6" x14ac:dyDescent="0.25">
      <c r="F198" t="s">
        <v>12</v>
      </c>
    </row>
    <row r="199" spans="6:6" x14ac:dyDescent="0.25">
      <c r="F199" t="s">
        <v>11</v>
      </c>
    </row>
    <row r="200" spans="6:6" x14ac:dyDescent="0.25">
      <c r="F200" t="s">
        <v>11</v>
      </c>
    </row>
    <row r="201" spans="6:6" x14ac:dyDescent="0.25">
      <c r="F20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7B22-2755-4FCE-9D86-5AD2B21D69C2}">
  <dimension ref="A1:D101"/>
  <sheetViews>
    <sheetView workbookViewId="0">
      <selection activeCell="C13" sqref="C13"/>
    </sheetView>
  </sheetViews>
  <sheetFormatPr defaultRowHeight="15" x14ac:dyDescent="0.25"/>
  <cols>
    <col min="4" max="4" width="18.140625" customWidth="1"/>
  </cols>
  <sheetData>
    <row r="1" spans="1:4" x14ac:dyDescent="0.25">
      <c r="A1" t="s">
        <v>19</v>
      </c>
      <c r="B1" t="s">
        <v>20</v>
      </c>
    </row>
    <row r="2" spans="1:4" x14ac:dyDescent="0.25">
      <c r="A2" cm="1">
        <f t="array" ref="A2:A101">_xlfn.SEQUENCE(100)</f>
        <v>1</v>
      </c>
      <c r="B2">
        <v>3</v>
      </c>
      <c r="C2" t="s">
        <v>21</v>
      </c>
    </row>
    <row r="3" spans="1:4" x14ac:dyDescent="0.25">
      <c r="A3">
        <v>2</v>
      </c>
      <c r="B3">
        <v>2</v>
      </c>
      <c r="C3">
        <f>COUNTIF(B:B,"6")</f>
        <v>19</v>
      </c>
    </row>
    <row r="4" spans="1:4" x14ac:dyDescent="0.25">
      <c r="A4">
        <v>3</v>
      </c>
      <c r="B4">
        <v>3</v>
      </c>
      <c r="C4" t="s">
        <v>22</v>
      </c>
    </row>
    <row r="5" spans="1:4" x14ac:dyDescent="0.25">
      <c r="A5">
        <v>4</v>
      </c>
      <c r="B5">
        <v>6</v>
      </c>
      <c r="C5">
        <f>COUNTIF(B:B,"6")/100</f>
        <v>0.19</v>
      </c>
    </row>
    <row r="6" spans="1:4" x14ac:dyDescent="0.25">
      <c r="A6">
        <v>5</v>
      </c>
      <c r="B6">
        <v>1</v>
      </c>
    </row>
    <row r="7" spans="1:4" x14ac:dyDescent="0.25">
      <c r="A7">
        <v>6</v>
      </c>
      <c r="B7">
        <v>1</v>
      </c>
    </row>
    <row r="8" spans="1:4" x14ac:dyDescent="0.25">
      <c r="A8">
        <v>7</v>
      </c>
      <c r="B8">
        <v>2</v>
      </c>
      <c r="C8" t="s">
        <v>23</v>
      </c>
    </row>
    <row r="9" spans="1:4" x14ac:dyDescent="0.25">
      <c r="A9">
        <v>8</v>
      </c>
      <c r="B9">
        <v>5</v>
      </c>
      <c r="C9">
        <f>COUNTIF(B:B,"2")</f>
        <v>21</v>
      </c>
      <c r="D9" s="1">
        <f>COUNTIF(B:B,2)/100</f>
        <v>0.21</v>
      </c>
    </row>
    <row r="10" spans="1:4" x14ac:dyDescent="0.25">
      <c r="A10">
        <v>9</v>
      </c>
      <c r="B10">
        <v>6</v>
      </c>
      <c r="C10" t="s">
        <v>24</v>
      </c>
    </row>
    <row r="11" spans="1:4" x14ac:dyDescent="0.25">
      <c r="A11">
        <v>10</v>
      </c>
      <c r="B11">
        <v>6</v>
      </c>
      <c r="C11">
        <f>COUNTIF(B:B,"4")</f>
        <v>13</v>
      </c>
      <c r="D11" s="1">
        <f>COUNTIF(B:B,4)/100</f>
        <v>0.13</v>
      </c>
    </row>
    <row r="12" spans="1:4" x14ac:dyDescent="0.25">
      <c r="A12">
        <v>11</v>
      </c>
      <c r="B12">
        <v>4</v>
      </c>
      <c r="C12" t="s">
        <v>25</v>
      </c>
    </row>
    <row r="13" spans="1:4" x14ac:dyDescent="0.25">
      <c r="A13">
        <v>12</v>
      </c>
      <c r="B13">
        <v>3</v>
      </c>
      <c r="C13" s="1">
        <f>(COUNTIF(B:B,2)+COUNTIF(B:B,4))/100</f>
        <v>0.34</v>
      </c>
    </row>
    <row r="14" spans="1:4" x14ac:dyDescent="0.25">
      <c r="A14">
        <v>13</v>
      </c>
      <c r="B14">
        <v>1</v>
      </c>
    </row>
    <row r="15" spans="1:4" x14ac:dyDescent="0.25">
      <c r="A15">
        <v>14</v>
      </c>
      <c r="B15">
        <v>2</v>
      </c>
    </row>
    <row r="16" spans="1:4" x14ac:dyDescent="0.25">
      <c r="A16">
        <v>15</v>
      </c>
      <c r="B16">
        <v>1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6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1</v>
      </c>
    </row>
    <row r="21" spans="1:2" x14ac:dyDescent="0.25">
      <c r="A21">
        <v>20</v>
      </c>
      <c r="B21">
        <v>6</v>
      </c>
    </row>
    <row r="22" spans="1:2" x14ac:dyDescent="0.25">
      <c r="A22">
        <v>21</v>
      </c>
      <c r="B22">
        <v>3</v>
      </c>
    </row>
    <row r="23" spans="1:2" x14ac:dyDescent="0.25">
      <c r="A23">
        <v>22</v>
      </c>
      <c r="B23">
        <v>1</v>
      </c>
    </row>
    <row r="24" spans="1:2" x14ac:dyDescent="0.25">
      <c r="A24">
        <v>23</v>
      </c>
      <c r="B24">
        <v>6</v>
      </c>
    </row>
    <row r="25" spans="1:2" x14ac:dyDescent="0.25">
      <c r="A25">
        <v>24</v>
      </c>
      <c r="B25">
        <v>6</v>
      </c>
    </row>
    <row r="26" spans="1:2" x14ac:dyDescent="0.25">
      <c r="A26">
        <v>25</v>
      </c>
      <c r="B26">
        <v>2</v>
      </c>
    </row>
    <row r="27" spans="1:2" x14ac:dyDescent="0.25">
      <c r="A27">
        <v>26</v>
      </c>
      <c r="B27">
        <v>2</v>
      </c>
    </row>
    <row r="28" spans="1:2" x14ac:dyDescent="0.25">
      <c r="A28">
        <v>27</v>
      </c>
      <c r="B28">
        <v>2</v>
      </c>
    </row>
    <row r="29" spans="1:2" x14ac:dyDescent="0.25">
      <c r="A29">
        <v>28</v>
      </c>
      <c r="B29">
        <v>1</v>
      </c>
    </row>
    <row r="30" spans="1:2" x14ac:dyDescent="0.25">
      <c r="A30">
        <v>29</v>
      </c>
      <c r="B30">
        <v>5</v>
      </c>
    </row>
    <row r="31" spans="1:2" x14ac:dyDescent="0.25">
      <c r="A31">
        <v>30</v>
      </c>
      <c r="B31">
        <v>1</v>
      </c>
    </row>
    <row r="32" spans="1:2" x14ac:dyDescent="0.25">
      <c r="A32">
        <v>31</v>
      </c>
      <c r="B32">
        <v>3</v>
      </c>
    </row>
    <row r="33" spans="1:2" x14ac:dyDescent="0.25">
      <c r="A33">
        <v>32</v>
      </c>
      <c r="B33">
        <v>1</v>
      </c>
    </row>
    <row r="34" spans="1:2" x14ac:dyDescent="0.25">
      <c r="A34">
        <v>33</v>
      </c>
      <c r="B34">
        <v>2</v>
      </c>
    </row>
    <row r="35" spans="1:2" x14ac:dyDescent="0.25">
      <c r="A35">
        <v>34</v>
      </c>
      <c r="B35">
        <v>5</v>
      </c>
    </row>
    <row r="36" spans="1:2" x14ac:dyDescent="0.25">
      <c r="A36">
        <v>35</v>
      </c>
      <c r="B36">
        <v>2</v>
      </c>
    </row>
    <row r="37" spans="1:2" x14ac:dyDescent="0.25">
      <c r="A37">
        <v>36</v>
      </c>
      <c r="B37">
        <v>4</v>
      </c>
    </row>
    <row r="38" spans="1:2" x14ac:dyDescent="0.25">
      <c r="A38">
        <v>37</v>
      </c>
      <c r="B38">
        <v>2</v>
      </c>
    </row>
    <row r="39" spans="1:2" x14ac:dyDescent="0.25">
      <c r="A39">
        <v>38</v>
      </c>
      <c r="B39">
        <v>5</v>
      </c>
    </row>
    <row r="40" spans="1:2" x14ac:dyDescent="0.25">
      <c r="A40">
        <v>39</v>
      </c>
      <c r="B40">
        <v>6</v>
      </c>
    </row>
    <row r="41" spans="1:2" x14ac:dyDescent="0.25">
      <c r="A41">
        <v>40</v>
      </c>
      <c r="B41">
        <v>6</v>
      </c>
    </row>
    <row r="42" spans="1:2" x14ac:dyDescent="0.25">
      <c r="A42">
        <v>41</v>
      </c>
      <c r="B42">
        <v>1</v>
      </c>
    </row>
    <row r="43" spans="1:2" x14ac:dyDescent="0.25">
      <c r="A43">
        <v>42</v>
      </c>
      <c r="B43">
        <v>2</v>
      </c>
    </row>
    <row r="44" spans="1:2" x14ac:dyDescent="0.25">
      <c r="A44">
        <v>43</v>
      </c>
      <c r="B44">
        <v>6</v>
      </c>
    </row>
    <row r="45" spans="1:2" x14ac:dyDescent="0.25">
      <c r="A45">
        <v>44</v>
      </c>
      <c r="B45">
        <v>3</v>
      </c>
    </row>
    <row r="46" spans="1:2" x14ac:dyDescent="0.25">
      <c r="A46">
        <v>45</v>
      </c>
      <c r="B46">
        <v>5</v>
      </c>
    </row>
    <row r="47" spans="1:2" x14ac:dyDescent="0.25">
      <c r="A47">
        <v>46</v>
      </c>
      <c r="B47">
        <v>2</v>
      </c>
    </row>
    <row r="48" spans="1:2" x14ac:dyDescent="0.25">
      <c r="A48">
        <v>47</v>
      </c>
      <c r="B48">
        <v>5</v>
      </c>
    </row>
    <row r="49" spans="1:2" x14ac:dyDescent="0.25">
      <c r="A49">
        <v>48</v>
      </c>
      <c r="B49">
        <v>2</v>
      </c>
    </row>
    <row r="50" spans="1:2" x14ac:dyDescent="0.25">
      <c r="A50">
        <v>49</v>
      </c>
      <c r="B50">
        <v>2</v>
      </c>
    </row>
    <row r="51" spans="1:2" x14ac:dyDescent="0.25">
      <c r="A51">
        <v>50</v>
      </c>
      <c r="B51">
        <v>3</v>
      </c>
    </row>
    <row r="52" spans="1:2" x14ac:dyDescent="0.25">
      <c r="A52">
        <v>51</v>
      </c>
      <c r="B52">
        <v>2</v>
      </c>
    </row>
    <row r="53" spans="1:2" x14ac:dyDescent="0.25">
      <c r="A53">
        <v>52</v>
      </c>
      <c r="B53">
        <v>1</v>
      </c>
    </row>
    <row r="54" spans="1:2" x14ac:dyDescent="0.25">
      <c r="A54">
        <v>53</v>
      </c>
      <c r="B54">
        <v>2</v>
      </c>
    </row>
    <row r="55" spans="1:2" x14ac:dyDescent="0.25">
      <c r="A55">
        <v>54</v>
      </c>
      <c r="B55">
        <v>1</v>
      </c>
    </row>
    <row r="56" spans="1:2" x14ac:dyDescent="0.25">
      <c r="A56">
        <v>55</v>
      </c>
      <c r="B56">
        <v>6</v>
      </c>
    </row>
    <row r="57" spans="1:2" x14ac:dyDescent="0.25">
      <c r="A57">
        <v>56</v>
      </c>
      <c r="B57">
        <v>2</v>
      </c>
    </row>
    <row r="58" spans="1:2" x14ac:dyDescent="0.25">
      <c r="A58">
        <v>57</v>
      </c>
      <c r="B58">
        <v>6</v>
      </c>
    </row>
    <row r="59" spans="1:2" x14ac:dyDescent="0.25">
      <c r="A59">
        <v>58</v>
      </c>
      <c r="B59">
        <v>2</v>
      </c>
    </row>
    <row r="60" spans="1:2" x14ac:dyDescent="0.25">
      <c r="A60">
        <v>59</v>
      </c>
      <c r="B60">
        <v>6</v>
      </c>
    </row>
    <row r="61" spans="1:2" x14ac:dyDescent="0.25">
      <c r="A61">
        <v>60</v>
      </c>
      <c r="B61">
        <v>5</v>
      </c>
    </row>
    <row r="62" spans="1:2" x14ac:dyDescent="0.25">
      <c r="A62">
        <v>61</v>
      </c>
      <c r="B62">
        <v>6</v>
      </c>
    </row>
    <row r="63" spans="1:2" x14ac:dyDescent="0.25">
      <c r="A63">
        <v>62</v>
      </c>
      <c r="B63">
        <v>3</v>
      </c>
    </row>
    <row r="64" spans="1:2" x14ac:dyDescent="0.25">
      <c r="A64">
        <v>63</v>
      </c>
      <c r="B64">
        <v>4</v>
      </c>
    </row>
    <row r="65" spans="1:2" x14ac:dyDescent="0.25">
      <c r="A65">
        <v>64</v>
      </c>
      <c r="B65">
        <v>3</v>
      </c>
    </row>
    <row r="66" spans="1:2" x14ac:dyDescent="0.25">
      <c r="A66">
        <v>65</v>
      </c>
      <c r="B66">
        <v>3</v>
      </c>
    </row>
    <row r="67" spans="1:2" x14ac:dyDescent="0.25">
      <c r="A67">
        <v>66</v>
      </c>
      <c r="B67">
        <v>1</v>
      </c>
    </row>
    <row r="68" spans="1:2" x14ac:dyDescent="0.25">
      <c r="A68">
        <v>67</v>
      </c>
      <c r="B68">
        <v>6</v>
      </c>
    </row>
    <row r="69" spans="1:2" x14ac:dyDescent="0.25">
      <c r="A69">
        <v>68</v>
      </c>
      <c r="B69">
        <v>3</v>
      </c>
    </row>
    <row r="70" spans="1:2" x14ac:dyDescent="0.25">
      <c r="A70">
        <v>69</v>
      </c>
      <c r="B70">
        <v>3</v>
      </c>
    </row>
    <row r="71" spans="1:2" x14ac:dyDescent="0.25">
      <c r="A71">
        <v>70</v>
      </c>
      <c r="B71">
        <v>5</v>
      </c>
    </row>
    <row r="72" spans="1:2" x14ac:dyDescent="0.25">
      <c r="A72">
        <v>71</v>
      </c>
      <c r="B72">
        <v>6</v>
      </c>
    </row>
    <row r="73" spans="1:2" x14ac:dyDescent="0.25">
      <c r="A73">
        <v>72</v>
      </c>
      <c r="B73">
        <v>4</v>
      </c>
    </row>
    <row r="74" spans="1:2" x14ac:dyDescent="0.25">
      <c r="A74">
        <v>73</v>
      </c>
      <c r="B74">
        <v>5</v>
      </c>
    </row>
    <row r="75" spans="1:2" x14ac:dyDescent="0.25">
      <c r="A75">
        <v>74</v>
      </c>
      <c r="B75">
        <v>5</v>
      </c>
    </row>
    <row r="76" spans="1:2" x14ac:dyDescent="0.25">
      <c r="A76">
        <v>75</v>
      </c>
      <c r="B76">
        <v>4</v>
      </c>
    </row>
    <row r="77" spans="1:2" x14ac:dyDescent="0.25">
      <c r="A77">
        <v>76</v>
      </c>
      <c r="B77">
        <v>1</v>
      </c>
    </row>
    <row r="78" spans="1:2" x14ac:dyDescent="0.25">
      <c r="A78">
        <v>77</v>
      </c>
      <c r="B78">
        <v>4</v>
      </c>
    </row>
    <row r="79" spans="1:2" x14ac:dyDescent="0.25">
      <c r="A79">
        <v>78</v>
      </c>
      <c r="B79">
        <v>4</v>
      </c>
    </row>
    <row r="80" spans="1:2" x14ac:dyDescent="0.25">
      <c r="A80">
        <v>79</v>
      </c>
      <c r="B80">
        <v>3</v>
      </c>
    </row>
    <row r="81" spans="1:2" x14ac:dyDescent="0.25">
      <c r="A81">
        <v>80</v>
      </c>
      <c r="B81">
        <v>3</v>
      </c>
    </row>
    <row r="82" spans="1:2" x14ac:dyDescent="0.25">
      <c r="A82">
        <v>81</v>
      </c>
      <c r="B82">
        <v>4</v>
      </c>
    </row>
    <row r="83" spans="1:2" x14ac:dyDescent="0.25">
      <c r="A83">
        <v>82</v>
      </c>
      <c r="B83">
        <v>2</v>
      </c>
    </row>
    <row r="84" spans="1:2" x14ac:dyDescent="0.25">
      <c r="A84">
        <v>83</v>
      </c>
      <c r="B84">
        <v>6</v>
      </c>
    </row>
    <row r="85" spans="1:2" x14ac:dyDescent="0.25">
      <c r="A85">
        <v>84</v>
      </c>
      <c r="B85">
        <v>4</v>
      </c>
    </row>
    <row r="86" spans="1:2" x14ac:dyDescent="0.25">
      <c r="A86">
        <v>85</v>
      </c>
      <c r="B86">
        <v>6</v>
      </c>
    </row>
    <row r="87" spans="1:2" x14ac:dyDescent="0.25">
      <c r="A87">
        <v>86</v>
      </c>
      <c r="B87">
        <v>4</v>
      </c>
    </row>
    <row r="88" spans="1:2" x14ac:dyDescent="0.25">
      <c r="A88">
        <v>87</v>
      </c>
      <c r="B88">
        <v>2</v>
      </c>
    </row>
    <row r="89" spans="1:2" x14ac:dyDescent="0.25">
      <c r="A89">
        <v>88</v>
      </c>
      <c r="B89">
        <v>5</v>
      </c>
    </row>
    <row r="90" spans="1:2" x14ac:dyDescent="0.25">
      <c r="A90">
        <v>89</v>
      </c>
      <c r="B90">
        <v>3</v>
      </c>
    </row>
    <row r="91" spans="1:2" x14ac:dyDescent="0.25">
      <c r="A91">
        <v>90</v>
      </c>
      <c r="B91">
        <v>3</v>
      </c>
    </row>
    <row r="92" spans="1:2" x14ac:dyDescent="0.25">
      <c r="A92">
        <v>91</v>
      </c>
      <c r="B92">
        <v>4</v>
      </c>
    </row>
    <row r="93" spans="1:2" x14ac:dyDescent="0.25">
      <c r="A93">
        <v>92</v>
      </c>
      <c r="B93">
        <v>4</v>
      </c>
    </row>
    <row r="94" spans="1:2" x14ac:dyDescent="0.25">
      <c r="A94">
        <v>93</v>
      </c>
      <c r="B94">
        <v>5</v>
      </c>
    </row>
    <row r="95" spans="1:2" x14ac:dyDescent="0.25">
      <c r="A95">
        <v>94</v>
      </c>
      <c r="B95">
        <v>4</v>
      </c>
    </row>
    <row r="96" spans="1:2" x14ac:dyDescent="0.25">
      <c r="A96">
        <v>95</v>
      </c>
      <c r="B96">
        <v>3</v>
      </c>
    </row>
    <row r="97" spans="1:2" x14ac:dyDescent="0.25">
      <c r="A97">
        <v>96</v>
      </c>
      <c r="B97">
        <v>2</v>
      </c>
    </row>
    <row r="98" spans="1:2" x14ac:dyDescent="0.25">
      <c r="A98">
        <v>97</v>
      </c>
      <c r="B98">
        <v>3</v>
      </c>
    </row>
    <row r="99" spans="1:2" x14ac:dyDescent="0.25">
      <c r="A99">
        <v>98</v>
      </c>
      <c r="B99">
        <v>2</v>
      </c>
    </row>
    <row r="100" spans="1:2" x14ac:dyDescent="0.25">
      <c r="A100">
        <v>99</v>
      </c>
      <c r="B100">
        <v>5</v>
      </c>
    </row>
    <row r="101" spans="1:2" x14ac:dyDescent="0.25">
      <c r="A101">
        <v>100</v>
      </c>
      <c r="B10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1176-0F15-4E9F-BA7A-899B9311ECB9}">
  <dimension ref="A1:F51"/>
  <sheetViews>
    <sheetView workbookViewId="0">
      <selection activeCell="F8" sqref="F8"/>
    </sheetView>
  </sheetViews>
  <sheetFormatPr defaultRowHeight="15" x14ac:dyDescent="0.25"/>
  <cols>
    <col min="1" max="1" width="14.28515625" customWidth="1"/>
    <col min="3" max="3" width="20.140625" customWidth="1"/>
    <col min="5" max="5" width="75" customWidth="1"/>
    <col min="6" max="6" width="15.42578125" customWidth="1"/>
  </cols>
  <sheetData>
    <row r="1" spans="1:6" ht="18.75" x14ac:dyDescent="0.3">
      <c r="A1" s="4" t="s">
        <v>26</v>
      </c>
      <c r="B1" s="4" t="s">
        <v>27</v>
      </c>
      <c r="C1" s="4" t="s">
        <v>28</v>
      </c>
      <c r="E1" s="8" t="s">
        <v>31</v>
      </c>
      <c r="F1" s="14" t="s">
        <v>37</v>
      </c>
    </row>
    <row r="2" spans="1:6" ht="18.75" x14ac:dyDescent="0.3">
      <c r="A2" s="2" cm="1">
        <f t="array" ref="A2:A51">_xlfn.SEQUENCE(50)</f>
        <v>1</v>
      </c>
      <c r="B2" s="2" t="s">
        <v>29</v>
      </c>
      <c r="C2" s="2" t="s">
        <v>32</v>
      </c>
      <c r="E2" s="8">
        <f>COUNTIF(B:B,"male")</f>
        <v>23</v>
      </c>
      <c r="F2" s="15">
        <f>COUNTIF(B:B,"male")/50</f>
        <v>0.46</v>
      </c>
    </row>
    <row r="3" spans="1:6" x14ac:dyDescent="0.25">
      <c r="A3" s="2">
        <v>2</v>
      </c>
      <c r="B3" s="2" t="s">
        <v>30</v>
      </c>
      <c r="C3" s="2" t="s">
        <v>33</v>
      </c>
      <c r="E3" s="7"/>
      <c r="F3" s="7"/>
    </row>
    <row r="4" spans="1:6" ht="18.75" x14ac:dyDescent="0.3">
      <c r="A4" s="2">
        <v>3</v>
      </c>
      <c r="B4" s="2" t="s">
        <v>29</v>
      </c>
      <c r="C4" s="2" t="s">
        <v>32</v>
      </c>
      <c r="E4" s="9" t="s">
        <v>34</v>
      </c>
      <c r="F4" s="16"/>
    </row>
    <row r="5" spans="1:6" ht="18.75" x14ac:dyDescent="0.3">
      <c r="A5" s="2">
        <v>4</v>
      </c>
      <c r="B5" s="2" t="s">
        <v>29</v>
      </c>
      <c r="C5" s="2" t="s">
        <v>33</v>
      </c>
      <c r="E5" s="9">
        <f>COUNTIF(C:C,"yes")</f>
        <v>20</v>
      </c>
      <c r="F5" s="17">
        <f>COUNTIF(C:C,"yes")/50</f>
        <v>0.4</v>
      </c>
    </row>
    <row r="6" spans="1:6" ht="18.75" x14ac:dyDescent="0.3">
      <c r="A6" s="2">
        <v>5</v>
      </c>
      <c r="B6" s="2" t="s">
        <v>30</v>
      </c>
      <c r="C6" s="2" t="s">
        <v>33</v>
      </c>
      <c r="E6" s="10" t="s">
        <v>35</v>
      </c>
      <c r="F6" s="18"/>
    </row>
    <row r="7" spans="1:6" ht="18.75" x14ac:dyDescent="0.3">
      <c r="A7" s="2">
        <v>6</v>
      </c>
      <c r="B7" s="2" t="s">
        <v>29</v>
      </c>
      <c r="C7" s="2" t="s">
        <v>33</v>
      </c>
      <c r="E7" s="10">
        <f>COUNTIFS(B:B,"female",C:C,"no")</f>
        <v>16</v>
      </c>
      <c r="F7" s="19">
        <f>COUNTIFS(B:B,"female",C:C,"no")/50</f>
        <v>0.32</v>
      </c>
    </row>
    <row r="8" spans="1:6" x14ac:dyDescent="0.25">
      <c r="A8" s="2">
        <v>7</v>
      </c>
      <c r="B8" s="2" t="s">
        <v>29</v>
      </c>
      <c r="C8" s="2" t="s">
        <v>32</v>
      </c>
      <c r="E8" s="11"/>
      <c r="F8" s="11"/>
    </row>
    <row r="9" spans="1:6" ht="18.75" x14ac:dyDescent="0.3">
      <c r="A9" s="2">
        <v>8</v>
      </c>
      <c r="B9" s="2" t="s">
        <v>30</v>
      </c>
      <c r="C9" s="2" t="s">
        <v>33</v>
      </c>
      <c r="E9" s="12" t="s">
        <v>36</v>
      </c>
      <c r="F9" s="11"/>
    </row>
    <row r="10" spans="1:6" ht="18.75" x14ac:dyDescent="0.3">
      <c r="A10" s="2">
        <v>9</v>
      </c>
      <c r="B10" s="2" t="s">
        <v>30</v>
      </c>
      <c r="C10" s="2" t="s">
        <v>33</v>
      </c>
      <c r="E10" s="13">
        <f>(COUNTIFS(B:B,"male",C:C,"yes")+COUNTIFS(B:B,"female",C:C,"no")-COUNTIFS(C:C,"yes",B:B,"female",C:C,"no"))/50</f>
        <v>0.5</v>
      </c>
      <c r="F10" s="11"/>
    </row>
    <row r="11" spans="1:6" x14ac:dyDescent="0.25">
      <c r="A11" s="2">
        <v>10</v>
      </c>
      <c r="B11" s="2" t="s">
        <v>30</v>
      </c>
      <c r="C11" s="2" t="s">
        <v>33</v>
      </c>
    </row>
    <row r="12" spans="1:6" x14ac:dyDescent="0.25">
      <c r="A12" s="2">
        <v>11</v>
      </c>
      <c r="B12" s="2" t="s">
        <v>29</v>
      </c>
      <c r="C12" s="2" t="s">
        <v>32</v>
      </c>
    </row>
    <row r="13" spans="1:6" x14ac:dyDescent="0.25">
      <c r="A13" s="2">
        <v>12</v>
      </c>
      <c r="B13" s="2" t="s">
        <v>29</v>
      </c>
      <c r="C13" s="2" t="s">
        <v>33</v>
      </c>
    </row>
    <row r="14" spans="1:6" x14ac:dyDescent="0.25">
      <c r="A14" s="2">
        <v>13</v>
      </c>
      <c r="B14" s="2" t="s">
        <v>29</v>
      </c>
      <c r="C14" s="2" t="s">
        <v>33</v>
      </c>
    </row>
    <row r="15" spans="1:6" x14ac:dyDescent="0.25">
      <c r="A15" s="2">
        <v>14</v>
      </c>
      <c r="B15" s="2" t="s">
        <v>30</v>
      </c>
      <c r="C15" s="2" t="s">
        <v>32</v>
      </c>
    </row>
    <row r="16" spans="1:6" x14ac:dyDescent="0.25">
      <c r="A16" s="2">
        <v>15</v>
      </c>
      <c r="B16" s="2" t="s">
        <v>29</v>
      </c>
      <c r="C16" s="2" t="s">
        <v>33</v>
      </c>
    </row>
    <row r="17" spans="1:3" x14ac:dyDescent="0.25">
      <c r="A17" s="2">
        <v>16</v>
      </c>
      <c r="B17" s="2" t="s">
        <v>29</v>
      </c>
      <c r="C17" s="2" t="s">
        <v>33</v>
      </c>
    </row>
    <row r="18" spans="1:3" x14ac:dyDescent="0.25">
      <c r="A18" s="2">
        <v>17</v>
      </c>
      <c r="B18" s="2" t="s">
        <v>29</v>
      </c>
      <c r="C18" s="2" t="s">
        <v>33</v>
      </c>
    </row>
    <row r="19" spans="1:3" x14ac:dyDescent="0.25">
      <c r="A19" s="2">
        <v>18</v>
      </c>
      <c r="B19" s="2" t="s">
        <v>29</v>
      </c>
      <c r="C19" s="2" t="s">
        <v>33</v>
      </c>
    </row>
    <row r="20" spans="1:3" x14ac:dyDescent="0.25">
      <c r="A20" s="2">
        <v>19</v>
      </c>
      <c r="B20" s="2" t="s">
        <v>30</v>
      </c>
      <c r="C20" s="2" t="s">
        <v>32</v>
      </c>
    </row>
    <row r="21" spans="1:3" x14ac:dyDescent="0.25">
      <c r="A21" s="2">
        <v>20</v>
      </c>
      <c r="B21" s="2" t="s">
        <v>29</v>
      </c>
      <c r="C21" s="2" t="s">
        <v>32</v>
      </c>
    </row>
    <row r="22" spans="1:3" x14ac:dyDescent="0.25">
      <c r="A22" s="2">
        <v>21</v>
      </c>
      <c r="B22" s="2" t="s">
        <v>30</v>
      </c>
      <c r="C22" s="2" t="s">
        <v>32</v>
      </c>
    </row>
    <row r="23" spans="1:3" x14ac:dyDescent="0.25">
      <c r="A23" s="2">
        <v>22</v>
      </c>
      <c r="B23" s="2" t="s">
        <v>29</v>
      </c>
      <c r="C23" s="2" t="s">
        <v>33</v>
      </c>
    </row>
    <row r="24" spans="1:3" x14ac:dyDescent="0.25">
      <c r="A24" s="2">
        <v>23</v>
      </c>
      <c r="B24" s="2" t="s">
        <v>30</v>
      </c>
      <c r="C24" s="2" t="s">
        <v>32</v>
      </c>
    </row>
    <row r="25" spans="1:3" x14ac:dyDescent="0.25">
      <c r="A25" s="2">
        <v>24</v>
      </c>
      <c r="B25" s="2" t="s">
        <v>30</v>
      </c>
      <c r="C25" s="2" t="s">
        <v>33</v>
      </c>
    </row>
    <row r="26" spans="1:3" x14ac:dyDescent="0.25">
      <c r="A26" s="2">
        <v>25</v>
      </c>
      <c r="B26" s="2" t="s">
        <v>29</v>
      </c>
      <c r="C26" s="2" t="s">
        <v>32</v>
      </c>
    </row>
    <row r="27" spans="1:3" x14ac:dyDescent="0.25">
      <c r="A27" s="2">
        <v>26</v>
      </c>
      <c r="B27" s="2" t="s">
        <v>29</v>
      </c>
      <c r="C27" s="2" t="s">
        <v>33</v>
      </c>
    </row>
    <row r="28" spans="1:3" x14ac:dyDescent="0.25">
      <c r="A28" s="2">
        <v>27</v>
      </c>
      <c r="B28" s="2" t="s">
        <v>30</v>
      </c>
      <c r="C28" s="2" t="s">
        <v>33</v>
      </c>
    </row>
    <row r="29" spans="1:3" x14ac:dyDescent="0.25">
      <c r="A29" s="2">
        <v>28</v>
      </c>
      <c r="B29" s="2" t="s">
        <v>29</v>
      </c>
      <c r="C29" s="2" t="s">
        <v>33</v>
      </c>
    </row>
    <row r="30" spans="1:3" x14ac:dyDescent="0.25">
      <c r="A30" s="2">
        <v>29</v>
      </c>
      <c r="B30" s="2" t="s">
        <v>30</v>
      </c>
      <c r="C30" s="2" t="s">
        <v>33</v>
      </c>
    </row>
    <row r="31" spans="1:3" x14ac:dyDescent="0.25">
      <c r="A31" s="2">
        <v>30</v>
      </c>
      <c r="B31" s="2" t="s">
        <v>30</v>
      </c>
      <c r="C31" s="2" t="s">
        <v>33</v>
      </c>
    </row>
    <row r="32" spans="1:3" x14ac:dyDescent="0.25">
      <c r="A32" s="2">
        <v>31</v>
      </c>
      <c r="B32" s="2" t="s">
        <v>29</v>
      </c>
      <c r="C32" s="2" t="s">
        <v>32</v>
      </c>
    </row>
    <row r="33" spans="1:3" x14ac:dyDescent="0.25">
      <c r="A33" s="2">
        <v>32</v>
      </c>
      <c r="B33" s="2" t="s">
        <v>30</v>
      </c>
      <c r="C33" s="2" t="s">
        <v>32</v>
      </c>
    </row>
    <row r="34" spans="1:3" x14ac:dyDescent="0.25">
      <c r="A34" s="2">
        <v>33</v>
      </c>
      <c r="B34" s="2" t="s">
        <v>30</v>
      </c>
      <c r="C34" s="2" t="s">
        <v>33</v>
      </c>
    </row>
    <row r="35" spans="1:3" x14ac:dyDescent="0.25">
      <c r="A35" s="2">
        <v>34</v>
      </c>
      <c r="B35" s="2" t="s">
        <v>29</v>
      </c>
      <c r="C35" s="2" t="s">
        <v>33</v>
      </c>
    </row>
    <row r="36" spans="1:3" x14ac:dyDescent="0.25">
      <c r="A36" s="2">
        <v>35</v>
      </c>
      <c r="B36" s="2" t="s">
        <v>30</v>
      </c>
      <c r="C36" s="2" t="s">
        <v>33</v>
      </c>
    </row>
    <row r="37" spans="1:3" x14ac:dyDescent="0.25">
      <c r="A37" s="2">
        <v>36</v>
      </c>
      <c r="B37" s="2" t="s">
        <v>29</v>
      </c>
      <c r="C37" s="2" t="s">
        <v>33</v>
      </c>
    </row>
    <row r="38" spans="1:3" x14ac:dyDescent="0.25">
      <c r="A38" s="2">
        <v>37</v>
      </c>
      <c r="B38" s="2" t="s">
        <v>30</v>
      </c>
      <c r="C38" s="2" t="s">
        <v>32</v>
      </c>
    </row>
    <row r="39" spans="1:3" x14ac:dyDescent="0.25">
      <c r="A39" s="2">
        <v>38</v>
      </c>
      <c r="B39" s="2" t="s">
        <v>30</v>
      </c>
      <c r="C39" s="2" t="s">
        <v>32</v>
      </c>
    </row>
    <row r="40" spans="1:3" x14ac:dyDescent="0.25">
      <c r="A40" s="2">
        <v>39</v>
      </c>
      <c r="B40" s="2" t="s">
        <v>29</v>
      </c>
      <c r="C40" s="2" t="s">
        <v>32</v>
      </c>
    </row>
    <row r="41" spans="1:3" x14ac:dyDescent="0.25">
      <c r="A41" s="2">
        <v>40</v>
      </c>
      <c r="B41" s="2" t="s">
        <v>30</v>
      </c>
      <c r="C41" s="2" t="s">
        <v>32</v>
      </c>
    </row>
    <row r="42" spans="1:3" x14ac:dyDescent="0.25">
      <c r="A42" s="2">
        <v>41</v>
      </c>
      <c r="B42" s="2" t="s">
        <v>30</v>
      </c>
      <c r="C42" s="2" t="s">
        <v>33</v>
      </c>
    </row>
    <row r="43" spans="1:3" x14ac:dyDescent="0.25">
      <c r="A43" s="2">
        <v>42</v>
      </c>
      <c r="B43" s="2" t="s">
        <v>30</v>
      </c>
      <c r="C43" s="2" t="s">
        <v>33</v>
      </c>
    </row>
    <row r="44" spans="1:3" x14ac:dyDescent="0.25">
      <c r="A44" s="2">
        <v>43</v>
      </c>
      <c r="B44" s="2" t="s">
        <v>29</v>
      </c>
      <c r="C44" s="2" t="s">
        <v>32</v>
      </c>
    </row>
    <row r="45" spans="1:3" x14ac:dyDescent="0.25">
      <c r="A45" s="2">
        <v>44</v>
      </c>
      <c r="B45" s="2" t="s">
        <v>30</v>
      </c>
      <c r="C45" s="2" t="s">
        <v>33</v>
      </c>
    </row>
    <row r="46" spans="1:3" x14ac:dyDescent="0.25">
      <c r="A46" s="2">
        <v>45</v>
      </c>
      <c r="B46" s="2" t="s">
        <v>30</v>
      </c>
      <c r="C46" s="2" t="s">
        <v>32</v>
      </c>
    </row>
    <row r="47" spans="1:3" x14ac:dyDescent="0.25">
      <c r="A47" s="2">
        <v>46</v>
      </c>
      <c r="B47" s="2" t="s">
        <v>30</v>
      </c>
      <c r="C47" s="2" t="s">
        <v>32</v>
      </c>
    </row>
    <row r="48" spans="1:3" x14ac:dyDescent="0.25">
      <c r="A48" s="2">
        <v>47</v>
      </c>
      <c r="B48" s="2" t="s">
        <v>30</v>
      </c>
      <c r="C48" s="2" t="s">
        <v>33</v>
      </c>
    </row>
    <row r="49" spans="1:3" x14ac:dyDescent="0.25">
      <c r="A49" s="2">
        <v>48</v>
      </c>
      <c r="B49" s="2" t="s">
        <v>29</v>
      </c>
      <c r="C49" s="2" t="s">
        <v>33</v>
      </c>
    </row>
    <row r="50" spans="1:3" x14ac:dyDescent="0.25">
      <c r="A50" s="2">
        <v>49</v>
      </c>
      <c r="B50" s="2" t="s">
        <v>30</v>
      </c>
      <c r="C50" s="2" t="s">
        <v>33</v>
      </c>
    </row>
    <row r="51" spans="1:3" x14ac:dyDescent="0.25">
      <c r="A51" s="2">
        <v>50</v>
      </c>
      <c r="B51" s="2" t="s">
        <v>30</v>
      </c>
      <c r="C51" s="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745A-8994-4948-9C7B-EA534DEA4B78}">
  <dimension ref="A1:F51"/>
  <sheetViews>
    <sheetView workbookViewId="0">
      <selection activeCell="F4" sqref="F4"/>
    </sheetView>
  </sheetViews>
  <sheetFormatPr defaultRowHeight="15" x14ac:dyDescent="0.25"/>
  <cols>
    <col min="6" max="6" width="42" customWidth="1"/>
  </cols>
  <sheetData>
    <row r="1" spans="1:6" x14ac:dyDescent="0.25">
      <c r="A1" t="s">
        <v>19</v>
      </c>
      <c r="B1" t="s">
        <v>38</v>
      </c>
      <c r="C1" t="s">
        <v>39</v>
      </c>
    </row>
    <row r="2" spans="1:6" x14ac:dyDescent="0.25">
      <c r="A2" cm="1">
        <f t="array" ref="A2:A51">_xlfn.SEQUENCE(50)</f>
        <v>1</v>
      </c>
      <c r="B2" t="s">
        <v>40</v>
      </c>
      <c r="C2">
        <v>3</v>
      </c>
      <c r="F2" s="6" t="s">
        <v>42</v>
      </c>
    </row>
    <row r="3" spans="1:6" x14ac:dyDescent="0.25">
      <c r="A3">
        <v>2</v>
      </c>
      <c r="B3" t="s">
        <v>40</v>
      </c>
      <c r="C3">
        <v>6</v>
      </c>
      <c r="F3" s="2">
        <f>COUNTIFS(B:B,"h",C:C,4)</f>
        <v>4</v>
      </c>
    </row>
    <row r="4" spans="1:6" x14ac:dyDescent="0.25">
      <c r="A4">
        <v>3</v>
      </c>
      <c r="B4" t="s">
        <v>41</v>
      </c>
      <c r="C4">
        <v>3</v>
      </c>
      <c r="F4" s="6" t="s">
        <v>44</v>
      </c>
    </row>
    <row r="5" spans="1:6" x14ac:dyDescent="0.25">
      <c r="A5">
        <v>4</v>
      </c>
      <c r="B5" t="s">
        <v>41</v>
      </c>
      <c r="C5">
        <v>1</v>
      </c>
      <c r="F5" s="2" t="s">
        <v>43</v>
      </c>
    </row>
    <row r="6" spans="1:6" x14ac:dyDescent="0.25">
      <c r="A6">
        <v>5</v>
      </c>
      <c r="B6" t="s">
        <v>40</v>
      </c>
      <c r="C6">
        <v>2</v>
      </c>
      <c r="F6" s="2">
        <f>COUNTIFS(B:B,"h",C:C,4)/100</f>
        <v>0.04</v>
      </c>
    </row>
    <row r="7" spans="1:6" x14ac:dyDescent="0.25">
      <c r="A7">
        <v>6</v>
      </c>
      <c r="B7" t="s">
        <v>40</v>
      </c>
      <c r="C7">
        <v>2</v>
      </c>
    </row>
    <row r="8" spans="1:6" x14ac:dyDescent="0.25">
      <c r="A8">
        <v>7</v>
      </c>
      <c r="B8" t="s">
        <v>41</v>
      </c>
      <c r="C8">
        <v>1</v>
      </c>
    </row>
    <row r="9" spans="1:6" x14ac:dyDescent="0.25">
      <c r="A9">
        <v>8</v>
      </c>
      <c r="B9" t="s">
        <v>40</v>
      </c>
      <c r="C9">
        <v>2</v>
      </c>
    </row>
    <row r="10" spans="1:6" x14ac:dyDescent="0.25">
      <c r="A10">
        <v>9</v>
      </c>
      <c r="B10" t="s">
        <v>41</v>
      </c>
      <c r="C10">
        <v>6</v>
      </c>
    </row>
    <row r="11" spans="1:6" x14ac:dyDescent="0.25">
      <c r="A11">
        <v>10</v>
      </c>
      <c r="B11" t="s">
        <v>41</v>
      </c>
      <c r="C11">
        <v>6</v>
      </c>
    </row>
    <row r="12" spans="1:6" x14ac:dyDescent="0.25">
      <c r="A12">
        <v>11</v>
      </c>
      <c r="B12" t="s">
        <v>40</v>
      </c>
      <c r="C12">
        <v>2</v>
      </c>
    </row>
    <row r="13" spans="1:6" x14ac:dyDescent="0.25">
      <c r="A13">
        <v>12</v>
      </c>
      <c r="B13" t="s">
        <v>40</v>
      </c>
      <c r="C13">
        <v>4</v>
      </c>
    </row>
    <row r="14" spans="1:6" x14ac:dyDescent="0.25">
      <c r="A14">
        <v>13</v>
      </c>
      <c r="B14" t="s">
        <v>41</v>
      </c>
      <c r="C14">
        <v>5</v>
      </c>
    </row>
    <row r="15" spans="1:6" x14ac:dyDescent="0.25">
      <c r="A15">
        <v>14</v>
      </c>
      <c r="B15" t="s">
        <v>41</v>
      </c>
      <c r="C15">
        <v>3</v>
      </c>
    </row>
    <row r="16" spans="1:6" x14ac:dyDescent="0.25">
      <c r="A16">
        <v>15</v>
      </c>
      <c r="B16" t="s">
        <v>40</v>
      </c>
      <c r="C16">
        <v>4</v>
      </c>
    </row>
    <row r="17" spans="1:3" x14ac:dyDescent="0.25">
      <c r="A17">
        <v>16</v>
      </c>
      <c r="B17" t="s">
        <v>40</v>
      </c>
      <c r="C17">
        <v>5</v>
      </c>
    </row>
    <row r="18" spans="1:3" x14ac:dyDescent="0.25">
      <c r="A18">
        <v>17</v>
      </c>
      <c r="B18" t="s">
        <v>41</v>
      </c>
      <c r="C18">
        <v>2</v>
      </c>
    </row>
    <row r="19" spans="1:3" x14ac:dyDescent="0.25">
      <c r="A19">
        <v>18</v>
      </c>
      <c r="B19" t="s">
        <v>40</v>
      </c>
      <c r="C19">
        <v>3</v>
      </c>
    </row>
    <row r="20" spans="1:3" x14ac:dyDescent="0.25">
      <c r="A20">
        <v>19</v>
      </c>
      <c r="B20" t="s">
        <v>41</v>
      </c>
      <c r="C20">
        <v>3</v>
      </c>
    </row>
    <row r="21" spans="1:3" x14ac:dyDescent="0.25">
      <c r="A21">
        <v>20</v>
      </c>
      <c r="B21" t="s">
        <v>41</v>
      </c>
      <c r="C21">
        <v>5</v>
      </c>
    </row>
    <row r="22" spans="1:3" x14ac:dyDescent="0.25">
      <c r="A22">
        <v>21</v>
      </c>
      <c r="B22" t="s">
        <v>40</v>
      </c>
      <c r="C22">
        <v>5</v>
      </c>
    </row>
    <row r="23" spans="1:3" x14ac:dyDescent="0.25">
      <c r="A23">
        <v>22</v>
      </c>
      <c r="B23" t="s">
        <v>40</v>
      </c>
      <c r="C23">
        <v>4</v>
      </c>
    </row>
    <row r="24" spans="1:3" x14ac:dyDescent="0.25">
      <c r="A24">
        <v>23</v>
      </c>
      <c r="B24" t="s">
        <v>41</v>
      </c>
      <c r="C24">
        <v>4</v>
      </c>
    </row>
    <row r="25" spans="1:3" x14ac:dyDescent="0.25">
      <c r="A25">
        <v>24</v>
      </c>
      <c r="B25" t="s">
        <v>41</v>
      </c>
      <c r="C25">
        <v>1</v>
      </c>
    </row>
    <row r="26" spans="1:3" x14ac:dyDescent="0.25">
      <c r="A26">
        <v>25</v>
      </c>
      <c r="B26" t="s">
        <v>41</v>
      </c>
      <c r="C26">
        <v>3</v>
      </c>
    </row>
    <row r="27" spans="1:3" x14ac:dyDescent="0.25">
      <c r="A27">
        <v>26</v>
      </c>
      <c r="B27" t="s">
        <v>40</v>
      </c>
      <c r="C27">
        <v>5</v>
      </c>
    </row>
    <row r="28" spans="1:3" x14ac:dyDescent="0.25">
      <c r="A28">
        <v>27</v>
      </c>
      <c r="B28" t="s">
        <v>40</v>
      </c>
      <c r="C28">
        <v>6</v>
      </c>
    </row>
    <row r="29" spans="1:3" x14ac:dyDescent="0.25">
      <c r="A29">
        <v>28</v>
      </c>
      <c r="B29" t="s">
        <v>40</v>
      </c>
      <c r="C29">
        <v>5</v>
      </c>
    </row>
    <row r="30" spans="1:3" x14ac:dyDescent="0.25">
      <c r="A30">
        <v>29</v>
      </c>
      <c r="B30" t="s">
        <v>40</v>
      </c>
      <c r="C30">
        <v>5</v>
      </c>
    </row>
    <row r="31" spans="1:3" x14ac:dyDescent="0.25">
      <c r="A31">
        <v>30</v>
      </c>
      <c r="B31" t="s">
        <v>41</v>
      </c>
      <c r="C31">
        <v>2</v>
      </c>
    </row>
    <row r="32" spans="1:3" x14ac:dyDescent="0.25">
      <c r="A32">
        <v>31</v>
      </c>
      <c r="B32" t="s">
        <v>40</v>
      </c>
      <c r="C32">
        <v>2</v>
      </c>
    </row>
    <row r="33" spans="1:3" x14ac:dyDescent="0.25">
      <c r="A33">
        <v>32</v>
      </c>
      <c r="B33" t="s">
        <v>41</v>
      </c>
      <c r="C33">
        <v>3</v>
      </c>
    </row>
    <row r="34" spans="1:3" x14ac:dyDescent="0.25">
      <c r="A34">
        <v>33</v>
      </c>
      <c r="B34" t="s">
        <v>40</v>
      </c>
      <c r="C34">
        <v>3</v>
      </c>
    </row>
    <row r="35" spans="1:3" x14ac:dyDescent="0.25">
      <c r="A35">
        <v>34</v>
      </c>
      <c r="B35" t="s">
        <v>40</v>
      </c>
      <c r="C35">
        <v>6</v>
      </c>
    </row>
    <row r="36" spans="1:3" x14ac:dyDescent="0.25">
      <c r="A36">
        <v>35</v>
      </c>
      <c r="B36" t="s">
        <v>41</v>
      </c>
      <c r="C36">
        <v>3</v>
      </c>
    </row>
    <row r="37" spans="1:3" x14ac:dyDescent="0.25">
      <c r="A37">
        <v>36</v>
      </c>
      <c r="B37" t="s">
        <v>41</v>
      </c>
      <c r="C37">
        <v>2</v>
      </c>
    </row>
    <row r="38" spans="1:3" x14ac:dyDescent="0.25">
      <c r="A38">
        <v>37</v>
      </c>
      <c r="B38" t="s">
        <v>40</v>
      </c>
      <c r="C38">
        <v>4</v>
      </c>
    </row>
    <row r="39" spans="1:3" x14ac:dyDescent="0.25">
      <c r="A39">
        <v>38</v>
      </c>
      <c r="B39" t="s">
        <v>41</v>
      </c>
      <c r="C39">
        <v>6</v>
      </c>
    </row>
    <row r="40" spans="1:3" x14ac:dyDescent="0.25">
      <c r="A40">
        <v>39</v>
      </c>
      <c r="B40" t="s">
        <v>41</v>
      </c>
      <c r="C40">
        <v>3</v>
      </c>
    </row>
    <row r="41" spans="1:3" x14ac:dyDescent="0.25">
      <c r="A41">
        <v>40</v>
      </c>
      <c r="B41" t="s">
        <v>40</v>
      </c>
      <c r="C41">
        <v>4</v>
      </c>
    </row>
    <row r="42" spans="1:3" x14ac:dyDescent="0.25">
      <c r="A42">
        <v>41</v>
      </c>
      <c r="B42" t="s">
        <v>40</v>
      </c>
      <c r="C42">
        <v>4</v>
      </c>
    </row>
    <row r="43" spans="1:3" x14ac:dyDescent="0.25">
      <c r="A43">
        <v>42</v>
      </c>
      <c r="B43" t="s">
        <v>41</v>
      </c>
      <c r="C43">
        <v>4</v>
      </c>
    </row>
    <row r="44" spans="1:3" x14ac:dyDescent="0.25">
      <c r="A44">
        <v>43</v>
      </c>
      <c r="B44" t="s">
        <v>41</v>
      </c>
      <c r="C44">
        <v>4</v>
      </c>
    </row>
    <row r="45" spans="1:3" x14ac:dyDescent="0.25">
      <c r="A45">
        <v>44</v>
      </c>
      <c r="B45" t="s">
        <v>40</v>
      </c>
      <c r="C45">
        <v>2</v>
      </c>
    </row>
    <row r="46" spans="1:3" x14ac:dyDescent="0.25">
      <c r="A46">
        <v>45</v>
      </c>
      <c r="B46" t="s">
        <v>40</v>
      </c>
      <c r="C46">
        <v>1</v>
      </c>
    </row>
    <row r="47" spans="1:3" x14ac:dyDescent="0.25">
      <c r="A47">
        <v>46</v>
      </c>
      <c r="B47" t="s">
        <v>40</v>
      </c>
      <c r="C47">
        <v>1</v>
      </c>
    </row>
    <row r="48" spans="1:3" x14ac:dyDescent="0.25">
      <c r="A48">
        <v>47</v>
      </c>
      <c r="B48" t="s">
        <v>41</v>
      </c>
      <c r="C48">
        <v>4</v>
      </c>
    </row>
    <row r="49" spans="1:3" x14ac:dyDescent="0.25">
      <c r="A49">
        <v>48</v>
      </c>
      <c r="B49" t="s">
        <v>41</v>
      </c>
      <c r="C49">
        <v>6</v>
      </c>
    </row>
    <row r="50" spans="1:3" x14ac:dyDescent="0.25">
      <c r="A50">
        <v>49</v>
      </c>
      <c r="B50" t="s">
        <v>40</v>
      </c>
      <c r="C50">
        <v>1</v>
      </c>
    </row>
    <row r="51" spans="1:3" x14ac:dyDescent="0.25">
      <c r="A51">
        <v>50</v>
      </c>
      <c r="B51" t="s">
        <v>41</v>
      </c>
      <c r="C5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3C2D-E41B-4487-B1D5-8865A449BE16}">
  <dimension ref="A1:E51"/>
  <sheetViews>
    <sheetView workbookViewId="0">
      <selection activeCell="E7" sqref="E7"/>
    </sheetView>
  </sheetViews>
  <sheetFormatPr defaultRowHeight="15" x14ac:dyDescent="0.25"/>
  <cols>
    <col min="1" max="1" width="11.7109375" customWidth="1"/>
    <col min="5" max="5" width="22.7109375" customWidth="1"/>
  </cols>
  <sheetData>
    <row r="1" spans="1:5" x14ac:dyDescent="0.25">
      <c r="A1" s="2" t="s">
        <v>45</v>
      </c>
      <c r="B1" s="2" t="s">
        <v>46</v>
      </c>
      <c r="E1" s="2"/>
    </row>
    <row r="2" spans="1:5" x14ac:dyDescent="0.25">
      <c r="A2" s="2" cm="1">
        <f t="array" ref="A2:A51">_xlfn.SEQUENCE(50)</f>
        <v>1</v>
      </c>
      <c r="B2" s="2">
        <v>94</v>
      </c>
      <c r="E2" s="2"/>
    </row>
    <row r="3" spans="1:5" ht="15.75" x14ac:dyDescent="0.25">
      <c r="A3" s="2">
        <v>2</v>
      </c>
      <c r="B3" s="2">
        <v>87</v>
      </c>
      <c r="E3" s="3" t="s">
        <v>47</v>
      </c>
    </row>
    <row r="4" spans="1:5" x14ac:dyDescent="0.25">
      <c r="A4" s="2">
        <v>3</v>
      </c>
      <c r="B4" s="2">
        <v>71</v>
      </c>
      <c r="E4" s="2">
        <f>COUNTIF(B:B,"&lt;=70")</f>
        <v>29</v>
      </c>
    </row>
    <row r="5" spans="1:5" ht="15.75" x14ac:dyDescent="0.25">
      <c r="A5" s="2">
        <v>4</v>
      </c>
      <c r="B5" s="2">
        <v>64</v>
      </c>
      <c r="E5" s="3" t="s">
        <v>48</v>
      </c>
    </row>
    <row r="6" spans="1:5" x14ac:dyDescent="0.25">
      <c r="A6" s="2">
        <v>5</v>
      </c>
      <c r="B6" s="2">
        <v>66</v>
      </c>
      <c r="E6" s="5">
        <f>COUNTIF(B:B,"&lt;=70")/50</f>
        <v>0.57999999999999996</v>
      </c>
    </row>
    <row r="7" spans="1:5" x14ac:dyDescent="0.25">
      <c r="A7" s="2">
        <v>6</v>
      </c>
      <c r="B7" s="2">
        <v>50</v>
      </c>
    </row>
    <row r="8" spans="1:5" x14ac:dyDescent="0.25">
      <c r="A8" s="2">
        <v>7</v>
      </c>
      <c r="B8" s="2">
        <v>89</v>
      </c>
    </row>
    <row r="9" spans="1:5" x14ac:dyDescent="0.25">
      <c r="A9" s="2">
        <v>8</v>
      </c>
      <c r="B9" s="2">
        <v>69</v>
      </c>
    </row>
    <row r="10" spans="1:5" x14ac:dyDescent="0.25">
      <c r="A10" s="2">
        <v>9</v>
      </c>
      <c r="B10" s="2">
        <v>73</v>
      </c>
    </row>
    <row r="11" spans="1:5" x14ac:dyDescent="0.25">
      <c r="A11" s="2">
        <v>10</v>
      </c>
      <c r="B11" s="2">
        <v>94</v>
      </c>
    </row>
    <row r="12" spans="1:5" x14ac:dyDescent="0.25">
      <c r="A12" s="2">
        <v>11</v>
      </c>
      <c r="B12" s="2">
        <v>96</v>
      </c>
    </row>
    <row r="13" spans="1:5" x14ac:dyDescent="0.25">
      <c r="A13" s="2">
        <v>12</v>
      </c>
      <c r="B13" s="2">
        <v>43</v>
      </c>
    </row>
    <row r="14" spans="1:5" x14ac:dyDescent="0.25">
      <c r="A14" s="2">
        <v>13</v>
      </c>
      <c r="B14" s="2">
        <v>55</v>
      </c>
    </row>
    <row r="15" spans="1:5" x14ac:dyDescent="0.25">
      <c r="A15" s="2">
        <v>14</v>
      </c>
      <c r="B15" s="2">
        <v>82</v>
      </c>
    </row>
    <row r="16" spans="1:5" x14ac:dyDescent="0.25">
      <c r="A16" s="2">
        <v>15</v>
      </c>
      <c r="B16" s="2">
        <v>59</v>
      </c>
    </row>
    <row r="17" spans="1:2" x14ac:dyDescent="0.25">
      <c r="A17" s="2">
        <v>16</v>
      </c>
      <c r="B17" s="2">
        <v>43</v>
      </c>
    </row>
    <row r="18" spans="1:2" x14ac:dyDescent="0.25">
      <c r="A18" s="2">
        <v>17</v>
      </c>
      <c r="B18" s="2">
        <v>75</v>
      </c>
    </row>
    <row r="19" spans="1:2" x14ac:dyDescent="0.25">
      <c r="A19" s="2">
        <v>18</v>
      </c>
      <c r="B19" s="2">
        <v>82</v>
      </c>
    </row>
    <row r="20" spans="1:2" x14ac:dyDescent="0.25">
      <c r="A20" s="2">
        <v>19</v>
      </c>
      <c r="B20" s="2">
        <v>45</v>
      </c>
    </row>
    <row r="21" spans="1:2" x14ac:dyDescent="0.25">
      <c r="A21" s="2">
        <v>20</v>
      </c>
      <c r="B21" s="2">
        <v>47</v>
      </c>
    </row>
    <row r="22" spans="1:2" x14ac:dyDescent="0.25">
      <c r="A22" s="2">
        <v>21</v>
      </c>
      <c r="B22" s="2">
        <v>41</v>
      </c>
    </row>
    <row r="23" spans="1:2" x14ac:dyDescent="0.25">
      <c r="A23" s="2">
        <v>22</v>
      </c>
      <c r="B23" s="2">
        <v>83</v>
      </c>
    </row>
    <row r="24" spans="1:2" x14ac:dyDescent="0.25">
      <c r="A24" s="2">
        <v>23</v>
      </c>
      <c r="B24" s="2">
        <v>85</v>
      </c>
    </row>
    <row r="25" spans="1:2" x14ac:dyDescent="0.25">
      <c r="A25" s="2">
        <v>24</v>
      </c>
      <c r="B25" s="2">
        <v>51</v>
      </c>
    </row>
    <row r="26" spans="1:2" x14ac:dyDescent="0.25">
      <c r="A26" s="2">
        <v>25</v>
      </c>
      <c r="B26" s="2">
        <v>64</v>
      </c>
    </row>
    <row r="27" spans="1:2" x14ac:dyDescent="0.25">
      <c r="A27" s="2">
        <v>26</v>
      </c>
      <c r="B27" s="2">
        <v>45</v>
      </c>
    </row>
    <row r="28" spans="1:2" x14ac:dyDescent="0.25">
      <c r="A28" s="2">
        <v>27</v>
      </c>
      <c r="B28" s="2">
        <v>52</v>
      </c>
    </row>
    <row r="29" spans="1:2" x14ac:dyDescent="0.25">
      <c r="A29" s="2">
        <v>28</v>
      </c>
      <c r="B29" s="2">
        <v>60</v>
      </c>
    </row>
    <row r="30" spans="1:2" x14ac:dyDescent="0.25">
      <c r="A30" s="2">
        <v>29</v>
      </c>
      <c r="B30" s="2">
        <v>55</v>
      </c>
    </row>
    <row r="31" spans="1:2" x14ac:dyDescent="0.25">
      <c r="A31" s="2">
        <v>30</v>
      </c>
      <c r="B31" s="2">
        <v>67</v>
      </c>
    </row>
    <row r="32" spans="1:2" x14ac:dyDescent="0.25">
      <c r="A32" s="2">
        <v>31</v>
      </c>
      <c r="B32" s="2">
        <v>87</v>
      </c>
    </row>
    <row r="33" spans="1:2" x14ac:dyDescent="0.25">
      <c r="A33" s="2">
        <v>32</v>
      </c>
      <c r="B33" s="2">
        <v>43</v>
      </c>
    </row>
    <row r="34" spans="1:2" x14ac:dyDescent="0.25">
      <c r="A34" s="2">
        <v>33</v>
      </c>
      <c r="B34" s="2">
        <v>52</v>
      </c>
    </row>
    <row r="35" spans="1:2" x14ac:dyDescent="0.25">
      <c r="A35" s="2">
        <v>34</v>
      </c>
      <c r="B35" s="2">
        <v>73</v>
      </c>
    </row>
    <row r="36" spans="1:2" x14ac:dyDescent="0.25">
      <c r="A36" s="2">
        <v>35</v>
      </c>
      <c r="B36" s="2">
        <v>42</v>
      </c>
    </row>
    <row r="37" spans="1:2" x14ac:dyDescent="0.25">
      <c r="A37" s="2">
        <v>36</v>
      </c>
      <c r="B37" s="2">
        <v>99</v>
      </c>
    </row>
    <row r="38" spans="1:2" x14ac:dyDescent="0.25">
      <c r="A38" s="2">
        <v>37</v>
      </c>
      <c r="B38" s="2">
        <v>68</v>
      </c>
    </row>
    <row r="39" spans="1:2" x14ac:dyDescent="0.25">
      <c r="A39" s="2">
        <v>38</v>
      </c>
      <c r="B39" s="2">
        <v>92</v>
      </c>
    </row>
    <row r="40" spans="1:2" x14ac:dyDescent="0.25">
      <c r="A40" s="2">
        <v>39</v>
      </c>
      <c r="B40" s="2">
        <v>72</v>
      </c>
    </row>
    <row r="41" spans="1:2" x14ac:dyDescent="0.25">
      <c r="A41" s="2">
        <v>40</v>
      </c>
      <c r="B41" s="2">
        <v>88</v>
      </c>
    </row>
    <row r="42" spans="1:2" x14ac:dyDescent="0.25">
      <c r="A42" s="2">
        <v>41</v>
      </c>
      <c r="B42" s="2">
        <v>67</v>
      </c>
    </row>
    <row r="43" spans="1:2" x14ac:dyDescent="0.25">
      <c r="A43" s="2">
        <v>42</v>
      </c>
      <c r="B43" s="2">
        <v>70</v>
      </c>
    </row>
    <row r="44" spans="1:2" x14ac:dyDescent="0.25">
      <c r="A44" s="2">
        <v>43</v>
      </c>
      <c r="B44" s="2">
        <v>48</v>
      </c>
    </row>
    <row r="45" spans="1:2" x14ac:dyDescent="0.25">
      <c r="A45" s="2">
        <v>44</v>
      </c>
      <c r="B45" s="2">
        <v>96</v>
      </c>
    </row>
    <row r="46" spans="1:2" x14ac:dyDescent="0.25">
      <c r="A46" s="2">
        <v>45</v>
      </c>
      <c r="B46" s="2">
        <v>64</v>
      </c>
    </row>
    <row r="47" spans="1:2" x14ac:dyDescent="0.25">
      <c r="A47" s="2">
        <v>46</v>
      </c>
      <c r="B47" s="2">
        <v>40</v>
      </c>
    </row>
    <row r="48" spans="1:2" x14ac:dyDescent="0.25">
      <c r="A48" s="2">
        <v>47</v>
      </c>
      <c r="B48" s="2">
        <v>53</v>
      </c>
    </row>
    <row r="49" spans="1:2" x14ac:dyDescent="0.25">
      <c r="A49" s="2">
        <v>48</v>
      </c>
      <c r="B49" s="2">
        <v>97</v>
      </c>
    </row>
    <row r="50" spans="1:2" x14ac:dyDescent="0.25">
      <c r="A50" s="2">
        <v>49</v>
      </c>
      <c r="B50" s="2">
        <v>47</v>
      </c>
    </row>
    <row r="51" spans="1:2" x14ac:dyDescent="0.25">
      <c r="A51" s="2">
        <v>50</v>
      </c>
      <c r="B51" s="2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3417-15AD-4FCD-BD90-28E4C3CB3B30}">
  <dimension ref="A1:H21"/>
  <sheetViews>
    <sheetView workbookViewId="0">
      <selection activeCell="H29" sqref="H29"/>
    </sheetView>
  </sheetViews>
  <sheetFormatPr defaultRowHeight="15" x14ac:dyDescent="0.25"/>
  <cols>
    <col min="1" max="1" width="29" customWidth="1"/>
    <col min="8" max="8" width="49.140625" customWidth="1"/>
  </cols>
  <sheetData>
    <row r="1" spans="1:8" x14ac:dyDescent="0.25">
      <c r="H1" s="2"/>
    </row>
    <row r="2" spans="1:8" ht="15.75" x14ac:dyDescent="0.25">
      <c r="A2" s="2" t="s">
        <v>49</v>
      </c>
      <c r="B2" s="20">
        <v>20000</v>
      </c>
      <c r="H2" s="21" t="s">
        <v>54</v>
      </c>
    </row>
    <row r="3" spans="1:8" x14ac:dyDescent="0.25">
      <c r="A3" s="2" t="s">
        <v>50</v>
      </c>
      <c r="B3" s="2">
        <v>200</v>
      </c>
      <c r="H3" s="2">
        <f>B3/B2</f>
        <v>0.01</v>
      </c>
    </row>
    <row r="4" spans="1:8" x14ac:dyDescent="0.25">
      <c r="A4" s="2" t="s">
        <v>51</v>
      </c>
      <c r="B4" s="20">
        <v>19800</v>
      </c>
      <c r="H4" s="2"/>
    </row>
    <row r="5" spans="1:8" ht="15.75" x14ac:dyDescent="0.25">
      <c r="A5" s="2" t="s">
        <v>52</v>
      </c>
      <c r="B5" s="5">
        <v>0.99</v>
      </c>
      <c r="H5" s="22" t="s">
        <v>55</v>
      </c>
    </row>
    <row r="6" spans="1:8" x14ac:dyDescent="0.25">
      <c r="A6" s="2" t="s">
        <v>53</v>
      </c>
      <c r="B6" s="5">
        <v>0.01</v>
      </c>
      <c r="H6" s="2">
        <f>1-H3</f>
        <v>0.99</v>
      </c>
    </row>
    <row r="7" spans="1:8" x14ac:dyDescent="0.25">
      <c r="H7" s="2"/>
    </row>
    <row r="8" spans="1:8" x14ac:dyDescent="0.25">
      <c r="H8" s="2"/>
    </row>
    <row r="9" spans="1:8" ht="15.75" x14ac:dyDescent="0.25">
      <c r="H9" s="23" t="s">
        <v>58</v>
      </c>
    </row>
    <row r="10" spans="1:8" x14ac:dyDescent="0.25">
      <c r="H10" s="2">
        <f>B5*H3</f>
        <v>9.9000000000000008E-3</v>
      </c>
    </row>
    <row r="11" spans="1:8" x14ac:dyDescent="0.25">
      <c r="H11" s="2"/>
    </row>
    <row r="12" spans="1:8" x14ac:dyDescent="0.25">
      <c r="H12" s="2"/>
    </row>
    <row r="13" spans="1:8" ht="15.75" x14ac:dyDescent="0.25">
      <c r="H13" s="24" t="s">
        <v>59</v>
      </c>
    </row>
    <row r="14" spans="1:8" x14ac:dyDescent="0.25">
      <c r="H14" s="2">
        <f>B6*H6</f>
        <v>9.9000000000000008E-3</v>
      </c>
    </row>
    <row r="15" spans="1:8" x14ac:dyDescent="0.25">
      <c r="H15" s="2"/>
    </row>
    <row r="16" spans="1:8" x14ac:dyDescent="0.25">
      <c r="H16" s="2"/>
    </row>
    <row r="17" spans="8:8" ht="15.75" x14ac:dyDescent="0.25">
      <c r="H17" s="25" t="s">
        <v>56</v>
      </c>
    </row>
    <row r="18" spans="8:8" x14ac:dyDescent="0.25">
      <c r="H18" s="2">
        <f>H10+H14</f>
        <v>1.9800000000000002E-2</v>
      </c>
    </row>
    <row r="19" spans="8:8" x14ac:dyDescent="0.25">
      <c r="H19" s="2"/>
    </row>
    <row r="20" spans="8:8" ht="18.75" x14ac:dyDescent="0.3">
      <c r="H20" s="26" t="s">
        <v>57</v>
      </c>
    </row>
    <row r="21" spans="8:8" x14ac:dyDescent="0.25">
      <c r="H21" s="5">
        <f>H10/H18</f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15E2-E957-403A-9514-764DA3815E93}">
  <dimension ref="A1:N11"/>
  <sheetViews>
    <sheetView zoomScale="95" zoomScaleNormal="95" workbookViewId="0">
      <selection activeCell="J22" sqref="J22"/>
    </sheetView>
  </sheetViews>
  <sheetFormatPr defaultRowHeight="15" x14ac:dyDescent="0.25"/>
  <cols>
    <col min="3" max="3" width="13.28515625" customWidth="1"/>
    <col min="8" max="8" width="18.5703125" customWidth="1"/>
    <col min="14" max="14" width="18.140625" customWidth="1"/>
  </cols>
  <sheetData>
    <row r="1" spans="1:14" x14ac:dyDescent="0.25">
      <c r="A1" s="6" t="s">
        <v>46</v>
      </c>
      <c r="F1" s="6" t="s">
        <v>46</v>
      </c>
    </row>
    <row r="2" spans="1:14" x14ac:dyDescent="0.25">
      <c r="A2" s="2">
        <v>10</v>
      </c>
      <c r="F2" s="2">
        <v>0</v>
      </c>
      <c r="K2">
        <v>10</v>
      </c>
    </row>
    <row r="3" spans="1:14" x14ac:dyDescent="0.25">
      <c r="A3" s="2">
        <v>20</v>
      </c>
      <c r="F3" s="2">
        <v>10</v>
      </c>
      <c r="K3">
        <v>20</v>
      </c>
    </row>
    <row r="4" spans="1:14" x14ac:dyDescent="0.25">
      <c r="A4" s="2">
        <v>30</v>
      </c>
      <c r="F4" s="2">
        <v>20</v>
      </c>
      <c r="K4">
        <v>30</v>
      </c>
    </row>
    <row r="5" spans="1:14" x14ac:dyDescent="0.25">
      <c r="A5" s="2">
        <v>40</v>
      </c>
      <c r="F5" s="2">
        <v>50</v>
      </c>
      <c r="K5">
        <v>40</v>
      </c>
      <c r="M5" s="27" t="s">
        <v>67</v>
      </c>
      <c r="N5" s="27" t="s">
        <v>68</v>
      </c>
    </row>
    <row r="6" spans="1:14" x14ac:dyDescent="0.25">
      <c r="A6" s="2">
        <v>50</v>
      </c>
      <c r="C6" s="27" t="s">
        <v>60</v>
      </c>
      <c r="F6" s="2">
        <v>60</v>
      </c>
      <c r="H6" s="27" t="s">
        <v>61</v>
      </c>
      <c r="K6">
        <v>50</v>
      </c>
      <c r="M6" t="s">
        <v>62</v>
      </c>
      <c r="N6" t="s">
        <v>63</v>
      </c>
    </row>
    <row r="7" spans="1:14" x14ac:dyDescent="0.25">
      <c r="A7" s="2">
        <v>60</v>
      </c>
      <c r="C7">
        <f>SKEW(A2:A8)</f>
        <v>1.0399889851015089</v>
      </c>
      <c r="F7" s="2">
        <v>70</v>
      </c>
      <c r="H7">
        <f>SKEW(F2:F8)</f>
        <v>-0.18413029860550095</v>
      </c>
      <c r="K7">
        <v>60</v>
      </c>
      <c r="M7" t="s">
        <v>64</v>
      </c>
      <c r="N7" t="s">
        <v>65</v>
      </c>
    </row>
    <row r="8" spans="1:14" x14ac:dyDescent="0.25">
      <c r="A8" s="2">
        <v>100</v>
      </c>
      <c r="F8" s="2">
        <v>80</v>
      </c>
      <c r="K8">
        <v>70</v>
      </c>
      <c r="M8">
        <v>0</v>
      </c>
      <c r="N8" t="s">
        <v>66</v>
      </c>
    </row>
    <row r="9" spans="1:14" x14ac:dyDescent="0.25">
      <c r="K9">
        <v>80</v>
      </c>
    </row>
    <row r="10" spans="1:14" x14ac:dyDescent="0.25">
      <c r="K10">
        <v>90</v>
      </c>
    </row>
    <row r="11" spans="1:14" x14ac:dyDescent="0.25">
      <c r="K11">
        <v>100</v>
      </c>
      <c r="L11">
        <f>KURT(K2:K11)</f>
        <v>-1.1999999999999993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F93C1-A4D0-40E9-8242-9935CFF6966B}">
  <dimension ref="A3:Q32"/>
  <sheetViews>
    <sheetView topLeftCell="D1" workbookViewId="0">
      <selection activeCell="R26" sqref="R26"/>
    </sheetView>
  </sheetViews>
  <sheetFormatPr defaultRowHeight="15" x14ac:dyDescent="0.25"/>
  <cols>
    <col min="1" max="1" width="34.85546875" customWidth="1"/>
    <col min="2" max="2" width="12" bestFit="1" customWidth="1"/>
    <col min="3" max="3" width="24.42578125" customWidth="1"/>
    <col min="6" max="6" width="29.42578125" customWidth="1"/>
    <col min="9" max="9" width="14.5703125" customWidth="1"/>
    <col min="10" max="10" width="28" customWidth="1"/>
    <col min="12" max="12" width="21.85546875" customWidth="1"/>
    <col min="16" max="17" width="10.85546875" bestFit="1" customWidth="1"/>
  </cols>
  <sheetData>
    <row r="3" spans="1:17" x14ac:dyDescent="0.25">
      <c r="M3" t="s">
        <v>97</v>
      </c>
      <c r="N3" t="s">
        <v>98</v>
      </c>
    </row>
    <row r="4" spans="1:17" x14ac:dyDescent="0.25">
      <c r="M4" s="1">
        <v>0.03</v>
      </c>
      <c r="N4" s="1">
        <v>0.05</v>
      </c>
      <c r="O4" s="1">
        <f>(M4-M11)</f>
        <v>5.9999999999999984E-3</v>
      </c>
      <c r="P4" s="1">
        <f>(N4-N11)</f>
        <v>9.0000000000000011E-3</v>
      </c>
      <c r="Q4" s="31">
        <f>(O4*P4)</f>
        <v>5.3999999999999991E-5</v>
      </c>
    </row>
    <row r="5" spans="1:17" x14ac:dyDescent="0.25">
      <c r="M5" s="1">
        <v>0.02</v>
      </c>
      <c r="N5" s="30">
        <v>4.4999999999999998E-2</v>
      </c>
      <c r="O5" s="1">
        <f>(M5-M11)</f>
        <v>-4.0000000000000001E-3</v>
      </c>
      <c r="P5" s="1">
        <f>(N5-N11)</f>
        <v>3.9999999999999966E-3</v>
      </c>
      <c r="Q5" s="31">
        <f>(O5*P5)</f>
        <v>-1.5999999999999986E-5</v>
      </c>
    </row>
    <row r="6" spans="1:17" ht="23.25" x14ac:dyDescent="0.35">
      <c r="A6" s="29" t="s">
        <v>76</v>
      </c>
      <c r="B6" s="2"/>
      <c r="C6" s="2"/>
      <c r="F6" s="4" t="s">
        <v>83</v>
      </c>
      <c r="G6" s="2"/>
      <c r="J6" s="4" t="s">
        <v>84</v>
      </c>
      <c r="K6" s="2"/>
      <c r="M6" s="1">
        <v>0.06</v>
      </c>
      <c r="N6" s="1">
        <v>0.09</v>
      </c>
      <c r="O6" s="1">
        <f>(M6-M11)</f>
        <v>3.5999999999999997E-2</v>
      </c>
      <c r="P6" s="1">
        <f>(N6-N11)</f>
        <v>4.8999999999999995E-2</v>
      </c>
      <c r="Q6" s="31">
        <f t="shared" ref="Q5:Q8" si="0">(O6*P6)</f>
        <v>1.7639999999999997E-3</v>
      </c>
    </row>
    <row r="7" spans="1:17" x14ac:dyDescent="0.25">
      <c r="A7" s="2" t="s">
        <v>69</v>
      </c>
      <c r="B7" s="2" t="s">
        <v>70</v>
      </c>
      <c r="C7" s="2"/>
      <c r="F7" s="2" t="s">
        <v>69</v>
      </c>
      <c r="G7" s="2" t="s">
        <v>70</v>
      </c>
      <c r="J7" s="2" t="s">
        <v>85</v>
      </c>
      <c r="K7" s="2">
        <v>10</v>
      </c>
      <c r="M7" s="1">
        <v>0.01</v>
      </c>
      <c r="N7" s="1">
        <v>0.01</v>
      </c>
      <c r="O7" s="1">
        <f>(M7-M11)</f>
        <v>-1.4E-2</v>
      </c>
      <c r="P7" s="1">
        <f>(N7-N11)</f>
        <v>-3.1E-2</v>
      </c>
      <c r="Q7" s="31">
        <f t="shared" si="0"/>
        <v>4.3400000000000003E-4</v>
      </c>
    </row>
    <row r="8" spans="1:17" x14ac:dyDescent="0.25">
      <c r="A8" s="2" t="s">
        <v>71</v>
      </c>
      <c r="B8" s="2">
        <v>10</v>
      </c>
      <c r="C8" s="2"/>
      <c r="F8" s="2" t="s">
        <v>79</v>
      </c>
      <c r="G8" s="2">
        <v>10</v>
      </c>
      <c r="J8" s="2" t="s">
        <v>86</v>
      </c>
      <c r="K8" s="2">
        <v>20</v>
      </c>
      <c r="M8" s="1">
        <v>0</v>
      </c>
      <c r="N8" s="1">
        <v>0.01</v>
      </c>
      <c r="O8" s="1">
        <f>(M8-M11)</f>
        <v>-2.4E-2</v>
      </c>
      <c r="P8" s="1">
        <f>(N8-N11)</f>
        <v>-3.1E-2</v>
      </c>
      <c r="Q8" s="31">
        <f t="shared" si="0"/>
        <v>7.4399999999999998E-4</v>
      </c>
    </row>
    <row r="9" spans="1:17" x14ac:dyDescent="0.25">
      <c r="A9" s="2" t="s">
        <v>74</v>
      </c>
      <c r="B9" s="2">
        <v>3</v>
      </c>
      <c r="C9" s="2"/>
      <c r="F9" s="2" t="s">
        <v>80</v>
      </c>
      <c r="G9" s="2">
        <v>0.5</v>
      </c>
      <c r="J9" s="2" t="s">
        <v>72</v>
      </c>
      <c r="K9" s="2">
        <v>15</v>
      </c>
      <c r="M9">
        <f>_xlfn.COVARIANCE.S(M4:M8,N4:N8)</f>
        <v>7.4499999999999989E-4</v>
      </c>
      <c r="Q9" s="31">
        <f>SUM(Q4:Q8)</f>
        <v>2.9799999999999996E-3</v>
      </c>
    </row>
    <row r="10" spans="1:17" x14ac:dyDescent="0.25">
      <c r="A10" s="2" t="s">
        <v>72</v>
      </c>
      <c r="B10" s="2">
        <v>0</v>
      </c>
      <c r="C10" s="2" t="s">
        <v>78</v>
      </c>
      <c r="F10" s="2" t="s">
        <v>81</v>
      </c>
      <c r="G10" s="2">
        <v>6</v>
      </c>
      <c r="J10" s="2" t="s">
        <v>87</v>
      </c>
      <c r="K10" s="2">
        <f>(K9-K7)/(K8-K7)</f>
        <v>0.5</v>
      </c>
      <c r="Q10" s="31">
        <f>Q9/4</f>
        <v>7.4499999999999989E-4</v>
      </c>
    </row>
    <row r="11" spans="1:17" x14ac:dyDescent="0.25">
      <c r="A11" s="2" t="s">
        <v>73</v>
      </c>
      <c r="B11" s="2">
        <f>EXP(-B8)*(B8^B10)/FACT(B10)</f>
        <v>4.5399929762484854E-5</v>
      </c>
      <c r="C11" s="2">
        <f>_xlfn.POISSON.DIST(B9,B8,FALSE)</f>
        <v>7.5666549604141483E-3</v>
      </c>
      <c r="F11" s="2" t="s">
        <v>82</v>
      </c>
      <c r="G11" s="2">
        <f>_xlfn.BINOM.DIST(G10,G8,G9,FALSE)</f>
        <v>0.20507812500000006</v>
      </c>
      <c r="J11" s="2" t="s">
        <v>88</v>
      </c>
      <c r="K11" s="2">
        <f>1/(K8-K7)</f>
        <v>0.1</v>
      </c>
      <c r="M11" s="1">
        <f>AVERAGE(M4:M8)</f>
        <v>2.4E-2</v>
      </c>
      <c r="N11" s="1">
        <f>AVERAGE(N4:N8)</f>
        <v>4.1000000000000002E-2</v>
      </c>
    </row>
    <row r="12" spans="1:17" x14ac:dyDescent="0.25">
      <c r="A12" s="2" t="s">
        <v>75</v>
      </c>
      <c r="B12" s="2">
        <f>EXP(-B8)*(B8^B9)/FACT(B9)</f>
        <v>7.5666549604141422E-3</v>
      </c>
      <c r="C12" s="2"/>
    </row>
    <row r="13" spans="1:17" x14ac:dyDescent="0.25">
      <c r="A13" s="2"/>
      <c r="B13" s="2" t="s">
        <v>77</v>
      </c>
      <c r="C13" s="2"/>
    </row>
    <row r="14" spans="1:17" x14ac:dyDescent="0.25">
      <c r="A14" s="2"/>
      <c r="B14" s="2"/>
      <c r="C14" s="2"/>
    </row>
    <row r="18" spans="1:13" x14ac:dyDescent="0.25">
      <c r="A18" t="s">
        <v>104</v>
      </c>
    </row>
    <row r="19" spans="1:13" x14ac:dyDescent="0.25">
      <c r="A19" t="s">
        <v>91</v>
      </c>
      <c r="B19">
        <v>100</v>
      </c>
    </row>
    <row r="20" spans="1:13" ht="21" x14ac:dyDescent="0.35">
      <c r="A20" t="s">
        <v>105</v>
      </c>
      <c r="B20">
        <v>15</v>
      </c>
      <c r="E20" s="2"/>
      <c r="F20" s="28" t="s">
        <v>89</v>
      </c>
      <c r="G20" s="2"/>
      <c r="H20" s="2"/>
      <c r="I20" s="2"/>
      <c r="J20" s="2"/>
      <c r="L20" s="28" t="s">
        <v>103</v>
      </c>
      <c r="M20" s="2"/>
    </row>
    <row r="21" spans="1:13" x14ac:dyDescent="0.25">
      <c r="A21" t="s">
        <v>106</v>
      </c>
      <c r="B21">
        <v>120</v>
      </c>
      <c r="E21" s="2"/>
      <c r="F21" s="2" t="s">
        <v>72</v>
      </c>
      <c r="G21" s="2" t="s">
        <v>90</v>
      </c>
      <c r="H21" s="2" t="s">
        <v>92</v>
      </c>
      <c r="I21" s="2" t="s">
        <v>93</v>
      </c>
      <c r="J21" s="2" t="s">
        <v>94</v>
      </c>
      <c r="L21" s="2" t="s">
        <v>99</v>
      </c>
      <c r="M21" s="2" t="s">
        <v>100</v>
      </c>
    </row>
    <row r="22" spans="1:13" x14ac:dyDescent="0.25">
      <c r="A22" t="s">
        <v>107</v>
      </c>
      <c r="B22">
        <f>_xlfn.NORM.DIST(B21,B20,B19,FALSE)</f>
        <v>2.2988214068423302E-3</v>
      </c>
      <c r="E22" s="2"/>
      <c r="F22" s="2">
        <v>2</v>
      </c>
      <c r="G22" s="2">
        <v>4</v>
      </c>
      <c r="H22" s="2">
        <f>(F22-F27)</f>
        <v>-0.39999999999999991</v>
      </c>
      <c r="I22" s="2">
        <f>(G22-G27)</f>
        <v>0.10000000000000009</v>
      </c>
      <c r="J22" s="2">
        <f>(H22*I22)</f>
        <v>-4.0000000000000029E-2</v>
      </c>
      <c r="L22" s="2">
        <f>(H22*H22)</f>
        <v>0.15999999999999992</v>
      </c>
      <c r="M22" s="2">
        <f>(I22*I22)</f>
        <v>1.0000000000000018E-2</v>
      </c>
    </row>
    <row r="23" spans="1:13" x14ac:dyDescent="0.25">
      <c r="E23" s="2"/>
      <c r="F23" s="2">
        <v>3</v>
      </c>
      <c r="G23" s="2">
        <v>4.5</v>
      </c>
      <c r="H23" s="2">
        <f>(F23-F27)</f>
        <v>0.60000000000000009</v>
      </c>
      <c r="I23" s="2">
        <f>(G23-G27)</f>
        <v>0.60000000000000009</v>
      </c>
      <c r="J23" s="2">
        <f>(H23*I23)</f>
        <v>0.3600000000000001</v>
      </c>
      <c r="L23" s="2">
        <f>(H23*H23)</f>
        <v>0.3600000000000001</v>
      </c>
      <c r="M23" s="2">
        <f t="shared" ref="M23:M26" si="1">(I23*I23)</f>
        <v>0.3600000000000001</v>
      </c>
    </row>
    <row r="24" spans="1:13" x14ac:dyDescent="0.25">
      <c r="E24" s="2"/>
      <c r="F24" s="2">
        <v>6</v>
      </c>
      <c r="G24" s="2">
        <v>6</v>
      </c>
      <c r="H24" s="2">
        <f>(F24-F27)</f>
        <v>3.6</v>
      </c>
      <c r="I24" s="2">
        <f>(G24-G27)</f>
        <v>2.1</v>
      </c>
      <c r="J24" s="2">
        <f>(H24*I24)</f>
        <v>7.5600000000000005</v>
      </c>
      <c r="L24" s="2">
        <f>(H24*H24)</f>
        <v>12.96</v>
      </c>
      <c r="M24" s="2">
        <f t="shared" si="1"/>
        <v>4.41</v>
      </c>
    </row>
    <row r="25" spans="1:13" x14ac:dyDescent="0.25">
      <c r="E25" s="2"/>
      <c r="F25" s="2">
        <v>0</v>
      </c>
      <c r="G25" s="2">
        <v>3</v>
      </c>
      <c r="H25" s="2">
        <f>(F25-F27)</f>
        <v>-2.4</v>
      </c>
      <c r="I25" s="2">
        <f>(G25-G27)</f>
        <v>-0.89999999999999991</v>
      </c>
      <c r="J25" s="2">
        <f>(H25*I25)</f>
        <v>2.1599999999999997</v>
      </c>
      <c r="L25" s="2">
        <f>(H25*H25)</f>
        <v>5.76</v>
      </c>
      <c r="M25" s="2">
        <f t="shared" si="1"/>
        <v>0.80999999999999983</v>
      </c>
    </row>
    <row r="26" spans="1:13" x14ac:dyDescent="0.25">
      <c r="E26" s="2"/>
      <c r="F26" s="2">
        <v>1</v>
      </c>
      <c r="G26" s="2">
        <v>2</v>
      </c>
      <c r="H26" s="2">
        <f>(F26-F27)</f>
        <v>-1.4</v>
      </c>
      <c r="I26" s="2">
        <f>(G26-G27)</f>
        <v>-1.9</v>
      </c>
      <c r="J26" s="2">
        <f t="shared" ref="J23:J26" si="2">(H26*I26)</f>
        <v>2.6599999999999997</v>
      </c>
      <c r="L26" s="2">
        <f>(H26*H26)</f>
        <v>1.9599999999999997</v>
      </c>
      <c r="M26" s="2">
        <f t="shared" si="1"/>
        <v>3.61</v>
      </c>
    </row>
    <row r="27" spans="1:13" x14ac:dyDescent="0.25">
      <c r="E27" s="2" t="s">
        <v>91</v>
      </c>
      <c r="F27" s="2">
        <f>AVERAGE(F22:F26)</f>
        <v>2.4</v>
      </c>
      <c r="G27" s="2">
        <f>AVERAGE(G22:G26)</f>
        <v>3.9</v>
      </c>
      <c r="H27" s="2"/>
      <c r="I27" s="2"/>
      <c r="J27" s="2">
        <f>SUM(J22:J26)</f>
        <v>12.700000000000001</v>
      </c>
      <c r="L27" s="2">
        <f>SUM(L22:L26)</f>
        <v>21.200000000000003</v>
      </c>
      <c r="M27" s="2">
        <f>SUM(M22:M26)</f>
        <v>9.1999999999999993</v>
      </c>
    </row>
    <row r="28" spans="1:13" x14ac:dyDescent="0.25">
      <c r="E28" s="2"/>
      <c r="F28" s="2"/>
      <c r="G28" s="2"/>
      <c r="H28" s="2"/>
      <c r="I28" s="2"/>
      <c r="J28" s="2"/>
      <c r="L28" s="2">
        <f>SQRT(L27/4)</f>
        <v>2.3021728866442679</v>
      </c>
      <c r="M28" s="2">
        <f>SQRT(M27/4)</f>
        <v>1.51657508881031</v>
      </c>
    </row>
    <row r="29" spans="1:13" x14ac:dyDescent="0.25">
      <c r="E29" s="2"/>
      <c r="F29" s="2"/>
      <c r="G29" s="2"/>
      <c r="H29" s="2"/>
      <c r="I29" s="2" t="s">
        <v>96</v>
      </c>
      <c r="J29" s="2">
        <f>J27/4</f>
        <v>3.1750000000000003</v>
      </c>
      <c r="L29" s="2"/>
      <c r="M29" s="2"/>
    </row>
    <row r="30" spans="1:13" x14ac:dyDescent="0.25">
      <c r="L30" s="2" t="s">
        <v>101</v>
      </c>
      <c r="M30" s="2">
        <f>J29/(L28*M28)</f>
        <v>0.90937262582535017</v>
      </c>
    </row>
    <row r="31" spans="1:13" x14ac:dyDescent="0.25">
      <c r="E31" s="2"/>
      <c r="F31" s="2"/>
      <c r="G31" s="2"/>
      <c r="H31" s="2"/>
      <c r="I31" s="2" t="s">
        <v>95</v>
      </c>
      <c r="J31" s="2">
        <f>_xlfn.COVARIANCE.S(F22:F26,G22:G26)</f>
        <v>3.1750000000000003</v>
      </c>
      <c r="L31" s="2"/>
      <c r="M31" s="2"/>
    </row>
    <row r="32" spans="1:13" x14ac:dyDescent="0.25">
      <c r="L32" s="2" t="s">
        <v>102</v>
      </c>
      <c r="M32" s="2">
        <f>CORREL(F22:F26,G22:G26)</f>
        <v>0.90937262582535006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9D39B-4E78-41E9-8331-95DEEA718270}">
  <dimension ref="C3:O22"/>
  <sheetViews>
    <sheetView tabSelected="1" workbookViewId="0">
      <selection activeCell="M5" sqref="M5"/>
    </sheetView>
  </sheetViews>
  <sheetFormatPr defaultRowHeight="15" x14ac:dyDescent="0.25"/>
  <cols>
    <col min="9" max="9" width="31.85546875" customWidth="1"/>
    <col min="11" max="11" width="33.5703125" customWidth="1"/>
    <col min="13" max="13" width="44.140625" customWidth="1"/>
  </cols>
  <sheetData>
    <row r="3" spans="3:15" x14ac:dyDescent="0.25">
      <c r="C3" s="2" t="s">
        <v>108</v>
      </c>
      <c r="D3" s="2" t="s">
        <v>109</v>
      </c>
      <c r="E3" s="2" t="s">
        <v>110</v>
      </c>
    </row>
    <row r="4" spans="3:15" x14ac:dyDescent="0.25">
      <c r="C4" s="2">
        <v>25</v>
      </c>
      <c r="D4" s="2">
        <v>23</v>
      </c>
      <c r="E4" s="2">
        <v>0</v>
      </c>
      <c r="I4" t="s">
        <v>111</v>
      </c>
    </row>
    <row r="5" spans="3:15" x14ac:dyDescent="0.25">
      <c r="C5" s="2">
        <v>29</v>
      </c>
      <c r="D5" s="2">
        <v>24</v>
      </c>
      <c r="E5" s="2">
        <v>0</v>
      </c>
    </row>
    <row r="6" spans="3:15" x14ac:dyDescent="0.25">
      <c r="C6" s="2">
        <v>24</v>
      </c>
      <c r="D6" s="2">
        <v>23</v>
      </c>
      <c r="E6" s="2">
        <v>0</v>
      </c>
      <c r="I6" t="s">
        <v>112</v>
      </c>
    </row>
    <row r="7" spans="3:15" ht="15.75" thickBot="1" x14ac:dyDescent="0.3">
      <c r="C7" s="2">
        <v>29</v>
      </c>
      <c r="D7" s="2">
        <v>22</v>
      </c>
      <c r="E7" s="2">
        <v>0</v>
      </c>
    </row>
    <row r="8" spans="3:15" x14ac:dyDescent="0.25">
      <c r="C8" s="2">
        <v>23</v>
      </c>
      <c r="D8" s="2">
        <v>21</v>
      </c>
      <c r="E8" s="2">
        <v>0</v>
      </c>
      <c r="I8" s="34"/>
      <c r="J8" s="34" t="s">
        <v>108</v>
      </c>
      <c r="K8" s="34" t="s">
        <v>109</v>
      </c>
    </row>
    <row r="9" spans="3:15" x14ac:dyDescent="0.25">
      <c r="C9" s="2">
        <v>22</v>
      </c>
      <c r="D9" s="2">
        <v>30</v>
      </c>
      <c r="E9" s="2">
        <v>0</v>
      </c>
      <c r="I9" s="32" t="s">
        <v>113</v>
      </c>
      <c r="J9" s="32">
        <v>26.6</v>
      </c>
      <c r="K9" s="32">
        <v>25.9</v>
      </c>
    </row>
    <row r="10" spans="3:15" x14ac:dyDescent="0.25">
      <c r="C10" s="2">
        <v>21</v>
      </c>
      <c r="D10" s="2">
        <v>32</v>
      </c>
      <c r="E10" s="2">
        <v>0</v>
      </c>
      <c r="I10" s="32" t="s">
        <v>114</v>
      </c>
      <c r="J10" s="32">
        <v>16.266666666666627</v>
      </c>
      <c r="K10" s="32">
        <v>14.322222222222182</v>
      </c>
    </row>
    <row r="11" spans="3:15" x14ac:dyDescent="0.25">
      <c r="C11" s="2">
        <v>31</v>
      </c>
      <c r="D11" s="2">
        <v>27</v>
      </c>
      <c r="E11" s="2">
        <v>0</v>
      </c>
      <c r="I11" s="32" t="s">
        <v>115</v>
      </c>
      <c r="J11" s="32">
        <v>10</v>
      </c>
      <c r="K11" s="32">
        <v>10</v>
      </c>
      <c r="M11" t="s">
        <v>124</v>
      </c>
    </row>
    <row r="12" spans="3:15" ht="15.75" thickBot="1" x14ac:dyDescent="0.3">
      <c r="C12" s="2">
        <v>30</v>
      </c>
      <c r="D12" s="2">
        <v>28</v>
      </c>
      <c r="E12" s="2">
        <v>0</v>
      </c>
      <c r="I12" s="32" t="s">
        <v>116</v>
      </c>
      <c r="J12" s="32">
        <v>15.294444444444403</v>
      </c>
      <c r="K12" s="32"/>
    </row>
    <row r="13" spans="3:15" x14ac:dyDescent="0.25">
      <c r="C13" s="2">
        <v>32</v>
      </c>
      <c r="D13" s="2">
        <v>29</v>
      </c>
      <c r="E13" s="2">
        <v>0</v>
      </c>
      <c r="I13" s="32" t="s">
        <v>117</v>
      </c>
      <c r="J13" s="32">
        <v>0</v>
      </c>
      <c r="K13" s="32"/>
      <c r="M13" s="34"/>
      <c r="N13" s="34" t="s">
        <v>108</v>
      </c>
      <c r="O13" s="34" t="s">
        <v>109</v>
      </c>
    </row>
    <row r="14" spans="3:15" x14ac:dyDescent="0.25">
      <c r="I14" s="32" t="s">
        <v>118</v>
      </c>
      <c r="J14" s="32">
        <v>18</v>
      </c>
      <c r="K14" s="32"/>
      <c r="M14" s="32" t="s">
        <v>113</v>
      </c>
      <c r="N14" s="32">
        <v>26.6</v>
      </c>
      <c r="O14" s="32">
        <v>25.9</v>
      </c>
    </row>
    <row r="15" spans="3:15" x14ac:dyDescent="0.25">
      <c r="I15" s="32" t="s">
        <v>119</v>
      </c>
      <c r="J15" s="32">
        <v>0.40023603642461963</v>
      </c>
      <c r="K15" s="32"/>
      <c r="M15" s="32" t="s">
        <v>125</v>
      </c>
      <c r="N15" s="32">
        <v>16.265999999999998</v>
      </c>
      <c r="O15" s="32">
        <v>14.321999999999999</v>
      </c>
    </row>
    <row r="16" spans="3:15" x14ac:dyDescent="0.25">
      <c r="C16">
        <f>_xlfn.VAR.S(C4:C13)</f>
        <v>16.266666666666627</v>
      </c>
      <c r="D16">
        <f>_xlfn.VAR.S(D4:D13)</f>
        <v>14.322222222222182</v>
      </c>
      <c r="I16" s="32" t="s">
        <v>120</v>
      </c>
      <c r="J16" s="32">
        <v>0.34684640882706796</v>
      </c>
      <c r="K16" s="32"/>
      <c r="M16" s="32" t="s">
        <v>115</v>
      </c>
      <c r="N16" s="32">
        <v>10</v>
      </c>
      <c r="O16" s="32">
        <v>10</v>
      </c>
    </row>
    <row r="17" spans="9:15" x14ac:dyDescent="0.25">
      <c r="I17" s="32" t="s">
        <v>121</v>
      </c>
      <c r="J17" s="32">
        <v>1.7340636066175394</v>
      </c>
      <c r="K17" s="32"/>
      <c r="M17" s="32" t="s">
        <v>117</v>
      </c>
      <c r="N17" s="32">
        <v>0</v>
      </c>
      <c r="O17" s="32"/>
    </row>
    <row r="18" spans="9:15" x14ac:dyDescent="0.25">
      <c r="I18" s="32" t="s">
        <v>122</v>
      </c>
      <c r="J18" s="32">
        <v>0.69369281765413593</v>
      </c>
      <c r="K18" s="32"/>
      <c r="M18" s="32" t="s">
        <v>126</v>
      </c>
      <c r="N18" s="32">
        <v>0.40024185182250571</v>
      </c>
      <c r="O18" s="32"/>
    </row>
    <row r="19" spans="9:15" ht="15.75" thickBot="1" x14ac:dyDescent="0.3">
      <c r="I19" s="33" t="s">
        <v>123</v>
      </c>
      <c r="J19" s="33">
        <v>2.1009220402410378</v>
      </c>
      <c r="K19" s="33"/>
      <c r="M19" s="32" t="s">
        <v>127</v>
      </c>
      <c r="N19" s="32">
        <v>0.34448919589399218</v>
      </c>
      <c r="O19" s="32"/>
    </row>
    <row r="20" spans="9:15" x14ac:dyDescent="0.25">
      <c r="M20" s="32" t="s">
        <v>128</v>
      </c>
      <c r="N20" s="32">
        <v>1.6448536269514715</v>
      </c>
      <c r="O20" s="32"/>
    </row>
    <row r="21" spans="9:15" x14ac:dyDescent="0.25">
      <c r="M21" s="32" t="s">
        <v>129</v>
      </c>
      <c r="N21" s="32">
        <v>0.68897839178798437</v>
      </c>
      <c r="O21" s="32"/>
    </row>
    <row r="22" spans="9:15" ht="15.75" thickBot="1" x14ac:dyDescent="0.3">
      <c r="M22" s="33" t="s">
        <v>130</v>
      </c>
      <c r="N22" s="33">
        <v>1.9599639845400536</v>
      </c>
      <c r="O22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2026-06-24T06:34:21Z</dcterms:created>
  <dcterms:modified xsi:type="dcterms:W3CDTF">2026-06-30T11:18:17Z</dcterms:modified>
</cp:coreProperties>
</file>