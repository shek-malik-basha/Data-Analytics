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7B13980C-B2CD-4B64-885D-EA55F176B7C2}" xr6:coauthVersionLast="47" xr6:coauthVersionMax="47" xr10:uidLastSave="{00000000-0000-0000-0000-000000000000}"/>
  <bookViews>
    <workbookView xWindow="-120" yWindow="-120" windowWidth="29040" windowHeight="15720" activeTab="2" xr2:uid="{20F7682D-0E2A-48DA-9612-FCE44DBE5768}"/>
  </bookViews>
  <sheets>
    <sheet name="Sheet1" sheetId="1" r:id="rId1"/>
    <sheet name="Sheet2" sheetId="7" r:id="rId2"/>
    <sheet name="RANDOM SAMPLING" sheetId="2" r:id="rId3"/>
    <sheet name="SYSTEMATIC SAMPLING" sheetId="3" r:id="rId4"/>
    <sheet name="CLUSTER RANDOM SAMPLING" sheetId="5" r:id="rId5"/>
    <sheet name="STRATIFIED SAMPL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H9" i="6"/>
  <c r="H11" i="6"/>
  <c r="H10" i="6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C2" i="3" a="1"/>
  <c r="C2" i="3" s="1"/>
  <c r="D21" i="1"/>
  <c r="D6" i="1"/>
  <c r="D7" i="1"/>
  <c r="D4" i="1"/>
  <c r="D14" i="1"/>
  <c r="D10" i="1"/>
  <c r="D13" i="1"/>
  <c r="D5" i="1"/>
  <c r="D17" i="1"/>
  <c r="D16" i="1"/>
  <c r="D2" i="1"/>
  <c r="D18" i="1"/>
  <c r="D8" i="1"/>
  <c r="D19" i="1"/>
  <c r="D12" i="1"/>
  <c r="D3" i="1"/>
  <c r="D20" i="1"/>
  <c r="D11" i="1"/>
  <c r="D15" i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<sst xmlns="http://schemas.openxmlformats.org/spreadsheetml/2006/main" count="258" uniqueCount="50">
  <si>
    <t>StudentID</t>
  </si>
  <si>
    <t>Name</t>
  </si>
  <si>
    <t>Gender</t>
  </si>
  <si>
    <t>A</t>
  </si>
  <si>
    <t>Male</t>
  </si>
  <si>
    <t>B</t>
  </si>
  <si>
    <t>Female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</si>
  <si>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</si>
  <si>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</si>
  <si>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</si>
  <si>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</si>
  <si>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</si>
  <si>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</si>
  <si>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</si>
  <si>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</si>
  <si>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</si>
  <si>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</si>
  <si>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</si>
  <si>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</si>
  <si>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</si>
  <si>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</si>
  <si>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</si>
  <si>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</si>
  <si>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</si>
  <si>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</si>
  <si>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Random</t>
  </si>
  <si>
    <t>student_id</t>
  </si>
  <si>
    <t>Population = 20</t>
  </si>
  <si>
    <t>Sample Size = 4</t>
  </si>
  <si>
    <t>Interval = 5</t>
  </si>
  <si>
    <t>Random Start = 4</t>
  </si>
  <si>
    <t>Selected Rows = 4, 9, 14, 19</t>
  </si>
  <si>
    <t>For proper systematic sampling</t>
  </si>
  <si>
    <t>Student Id</t>
  </si>
  <si>
    <t>selected names</t>
  </si>
  <si>
    <t>cluster</t>
  </si>
  <si>
    <t>automatically selecting clusters</t>
  </si>
  <si>
    <t>Cluster with names</t>
  </si>
  <si>
    <t>Deparment</t>
  </si>
  <si>
    <t>COMMERCE</t>
  </si>
  <si>
    <t xml:space="preserve">ARTS </t>
  </si>
  <si>
    <t>Science</t>
  </si>
  <si>
    <t>RAND</t>
  </si>
  <si>
    <t>POPULAION =20</t>
  </si>
  <si>
    <t>SAMPLE =4</t>
  </si>
  <si>
    <t>ARTS</t>
  </si>
  <si>
    <t>COMMERECE</t>
  </si>
  <si>
    <t>SCIENCE</t>
  </si>
  <si>
    <t>SAMPLE</t>
  </si>
  <si>
    <t xml:space="preserve">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</si>
</sst>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43F6-0412-4A52-A034-0E70581F006B}">
  <dimension ref="A1:M21"/>
  <sheetViews>
    <sheetView topLeftCell="B1" workbookViewId="0">
      <selection activeCell="B1" sqref="B1:C21"/>
    </sheetView>
  </sheetViews>
  <sheetFormatPr defaultRowHeight="15" x14ac:dyDescent="0.25"/>
  <cols>
    <col min="1" max="2" width="18.140625" customWidth="1"/>
    <col min="3" max="3" width="30.140625" customWidth="1"/>
    <col min="4" max="4" width="28.140625" customWidth="1"/>
    <col min="7" max="7" width="15.42578125" customWidth="1"/>
    <col min="9" max="9" width="28" customWidth="1"/>
    <col min="12" max="12" width="15.5703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25</v>
      </c>
      <c r="G1" s="4" t="s">
        <v>26</v>
      </c>
      <c r="H1" s="4" t="s">
        <v>1</v>
      </c>
      <c r="I1" s="4" t="s">
        <v>32</v>
      </c>
      <c r="L1" s="4" t="s">
        <v>33</v>
      </c>
      <c r="M1" s="4" t="s">
        <v>1</v>
      </c>
    </row>
    <row r="2" spans="1:13" x14ac:dyDescent="0.25">
      <c r="A2" s="2">
        <v>12</v>
      </c>
      <c r="B2" s="2" t="s">
        <v>16</v>
      </c>
      <c r="C2" s="2" t="s">
        <v>6</v>
      </c>
      <c r="D2" s="3">
        <f t="shared" ref="D2:D21" ca="1" si="0">RAND()</f>
        <v>0.66500963391457524</v>
      </c>
      <c r="G2">
        <v>1</v>
      </c>
      <c r="H2" t="s">
        <v>3</v>
      </c>
      <c r="L2">
        <v>1</v>
      </c>
      <c r="M2" t="s">
        <v>3</v>
      </c>
    </row>
    <row r="3" spans="1:13" x14ac:dyDescent="0.25">
      <c r="A3" s="2">
        <v>17</v>
      </c>
      <c r="B3" s="2" t="s">
        <v>21</v>
      </c>
      <c r="C3" s="2" t="s">
        <v>4</v>
      </c>
      <c r="D3" s="3">
        <f t="shared" ca="1" si="0"/>
        <v>0.30345640640078753</v>
      </c>
      <c r="G3">
        <v>2</v>
      </c>
      <c r="H3" t="s">
        <v>5</v>
      </c>
      <c r="I3" t="s">
        <v>27</v>
      </c>
      <c r="L3">
        <v>2</v>
      </c>
      <c r="M3" t="s">
        <v>5</v>
      </c>
    </row>
    <row r="4" spans="1:13" x14ac:dyDescent="0.25">
      <c r="A4" s="2">
        <v>5</v>
      </c>
      <c r="B4" s="2" t="s">
        <v>9</v>
      </c>
      <c r="C4" s="2" t="s">
        <v>4</v>
      </c>
      <c r="D4" s="3">
        <f t="shared" ca="1" si="0"/>
        <v>0.14304171948467048</v>
      </c>
      <c r="G4">
        <v>3</v>
      </c>
      <c r="H4" t="s">
        <v>7</v>
      </c>
      <c r="I4" t="s">
        <v>28</v>
      </c>
      <c r="L4">
        <v>3</v>
      </c>
      <c r="M4" t="s">
        <v>7</v>
      </c>
    </row>
    <row r="5" spans="1:13" x14ac:dyDescent="0.25">
      <c r="A5" s="2">
        <v>9</v>
      </c>
      <c r="B5" s="2" t="s">
        <v>13</v>
      </c>
      <c r="C5" s="2" t="s">
        <v>6</v>
      </c>
      <c r="D5" s="3">
        <f t="shared" ca="1" si="0"/>
        <v>0.97904223997667261</v>
      </c>
      <c r="G5">
        <v>4</v>
      </c>
      <c r="H5" t="s">
        <v>8</v>
      </c>
      <c r="I5" t="s">
        <v>29</v>
      </c>
      <c r="L5">
        <v>4</v>
      </c>
      <c r="M5" t="s">
        <v>8</v>
      </c>
    </row>
    <row r="6" spans="1:13" x14ac:dyDescent="0.25">
      <c r="A6" s="2">
        <v>3</v>
      </c>
      <c r="B6" s="2" t="s">
        <v>7</v>
      </c>
      <c r="C6" s="2" t="s">
        <v>4</v>
      </c>
      <c r="D6" s="3">
        <f t="shared" ca="1" si="0"/>
        <v>0.83271025367954143</v>
      </c>
      <c r="G6">
        <v>5</v>
      </c>
      <c r="H6" t="s">
        <v>9</v>
      </c>
      <c r="I6" t="s">
        <v>30</v>
      </c>
      <c r="L6">
        <v>5</v>
      </c>
      <c r="M6" t="s">
        <v>9</v>
      </c>
    </row>
    <row r="7" spans="1:13" x14ac:dyDescent="0.25">
      <c r="A7" s="2">
        <v>4</v>
      </c>
      <c r="B7" s="2" t="s">
        <v>8</v>
      </c>
      <c r="C7" s="2" t="s">
        <v>6</v>
      </c>
      <c r="D7" s="3">
        <f t="shared" ca="1" si="0"/>
        <v>0.72556729054958546</v>
      </c>
      <c r="G7">
        <v>6</v>
      </c>
      <c r="H7" t="s">
        <v>10</v>
      </c>
      <c r="I7" t="s">
        <v>31</v>
      </c>
      <c r="L7">
        <v>6</v>
      </c>
      <c r="M7" t="s">
        <v>10</v>
      </c>
    </row>
    <row r="8" spans="1:13" x14ac:dyDescent="0.25">
      <c r="A8" s="2">
        <v>14</v>
      </c>
      <c r="B8" s="2" t="s">
        <v>18</v>
      </c>
      <c r="C8" s="2" t="s">
        <v>6</v>
      </c>
      <c r="D8" s="3">
        <f t="shared" ca="1" si="0"/>
        <v>0.9599061596853401</v>
      </c>
      <c r="G8">
        <v>7</v>
      </c>
      <c r="H8" t="s">
        <v>11</v>
      </c>
      <c r="L8">
        <v>7</v>
      </c>
      <c r="M8" t="s">
        <v>11</v>
      </c>
    </row>
    <row r="9" spans="1:13" x14ac:dyDescent="0.25">
      <c r="A9" s="2">
        <v>1</v>
      </c>
      <c r="B9" s="2" t="s">
        <v>3</v>
      </c>
      <c r="C9" s="2" t="s">
        <v>4</v>
      </c>
      <c r="D9" s="3">
        <f t="shared" ca="1" si="0"/>
        <v>0.66880108847600594</v>
      </c>
      <c r="G9">
        <v>8</v>
      </c>
      <c r="H9" t="s">
        <v>12</v>
      </c>
      <c r="L9">
        <v>8</v>
      </c>
      <c r="M9" t="s">
        <v>12</v>
      </c>
    </row>
    <row r="10" spans="1:13" x14ac:dyDescent="0.25">
      <c r="A10" s="2">
        <v>7</v>
      </c>
      <c r="B10" s="2" t="s">
        <v>11</v>
      </c>
      <c r="C10" s="2" t="s">
        <v>6</v>
      </c>
      <c r="D10" s="3">
        <f t="shared" ca="1" si="0"/>
        <v>0.35644793212553016</v>
      </c>
      <c r="G10">
        <v>9</v>
      </c>
      <c r="H10" t="s">
        <v>13</v>
      </c>
      <c r="L10">
        <v>9</v>
      </c>
      <c r="M10" t="s">
        <v>13</v>
      </c>
    </row>
    <row r="11" spans="1:13" x14ac:dyDescent="0.25">
      <c r="A11" s="2">
        <v>19</v>
      </c>
      <c r="B11" s="2" t="s">
        <v>23</v>
      </c>
      <c r="C11" s="2" t="s">
        <v>6</v>
      </c>
      <c r="D11" s="3">
        <f t="shared" ca="1" si="0"/>
        <v>0.24293839894151581</v>
      </c>
      <c r="G11">
        <v>10</v>
      </c>
      <c r="H11" t="s">
        <v>14</v>
      </c>
      <c r="L11">
        <v>10</v>
      </c>
      <c r="M11" t="s">
        <v>14</v>
      </c>
    </row>
    <row r="12" spans="1:13" x14ac:dyDescent="0.25">
      <c r="A12" s="2">
        <v>16</v>
      </c>
      <c r="B12" s="2" t="s">
        <v>20</v>
      </c>
      <c r="C12" s="2" t="s">
        <v>6</v>
      </c>
      <c r="D12" s="3">
        <f t="shared" ca="1" si="0"/>
        <v>0.69170343658617317</v>
      </c>
      <c r="L12">
        <v>11</v>
      </c>
      <c r="M12" t="s">
        <v>15</v>
      </c>
    </row>
    <row r="13" spans="1:13" x14ac:dyDescent="0.25">
      <c r="A13" s="2">
        <v>8</v>
      </c>
      <c r="B13" s="2" t="s">
        <v>12</v>
      </c>
      <c r="C13" s="2" t="s">
        <v>4</v>
      </c>
      <c r="D13" s="3">
        <f t="shared" ca="1" si="0"/>
        <v>0.76730250446729575</v>
      </c>
      <c r="L13">
        <v>12</v>
      </c>
      <c r="M13" t="s">
        <v>16</v>
      </c>
    </row>
    <row r="14" spans="1:13" x14ac:dyDescent="0.25">
      <c r="A14" s="2">
        <v>6</v>
      </c>
      <c r="B14" s="2" t="s">
        <v>10</v>
      </c>
      <c r="C14" s="2" t="s">
        <v>4</v>
      </c>
      <c r="D14" s="3">
        <f t="shared" ca="1" si="0"/>
        <v>0.30371174056887784</v>
      </c>
      <c r="L14">
        <v>13</v>
      </c>
      <c r="M14" t="s">
        <v>17</v>
      </c>
    </row>
    <row r="15" spans="1:13" x14ac:dyDescent="0.25">
      <c r="A15" s="2">
        <v>20</v>
      </c>
      <c r="B15" s="2" t="s">
        <v>24</v>
      </c>
      <c r="C15" s="2" t="s">
        <v>4</v>
      </c>
      <c r="D15" s="3">
        <f t="shared" ca="1" si="0"/>
        <v>0.15818468847368405</v>
      </c>
      <c r="L15">
        <v>14</v>
      </c>
      <c r="M15" t="s">
        <v>18</v>
      </c>
    </row>
    <row r="16" spans="1:13" x14ac:dyDescent="0.25">
      <c r="A16" s="2">
        <v>11</v>
      </c>
      <c r="B16" s="2" t="s">
        <v>15</v>
      </c>
      <c r="C16" s="2" t="s">
        <v>4</v>
      </c>
      <c r="D16" s="3">
        <f t="shared" ca="1" si="0"/>
        <v>7.766778530505003E-2</v>
      </c>
      <c r="L16">
        <v>15</v>
      </c>
      <c r="M16" t="s">
        <v>19</v>
      </c>
    </row>
    <row r="17" spans="1:13" x14ac:dyDescent="0.25">
      <c r="A17" s="2">
        <v>10</v>
      </c>
      <c r="B17" s="2" t="s">
        <v>14</v>
      </c>
      <c r="C17" s="2" t="s">
        <v>4</v>
      </c>
      <c r="D17" s="3">
        <f t="shared" ca="1" si="0"/>
        <v>0.80620009512032775</v>
      </c>
      <c r="L17">
        <v>16</v>
      </c>
      <c r="M17" t="s">
        <v>20</v>
      </c>
    </row>
    <row r="18" spans="1:13" x14ac:dyDescent="0.25">
      <c r="A18" s="2">
        <v>13</v>
      </c>
      <c r="B18" s="2" t="s">
        <v>17</v>
      </c>
      <c r="C18" s="2" t="s">
        <v>4</v>
      </c>
      <c r="D18" s="3">
        <f t="shared" ca="1" si="0"/>
        <v>0.34427956631776457</v>
      </c>
      <c r="L18">
        <v>17</v>
      </c>
      <c r="M18" t="s">
        <v>21</v>
      </c>
    </row>
    <row r="19" spans="1:13" x14ac:dyDescent="0.25">
      <c r="A19" s="2">
        <v>15</v>
      </c>
      <c r="B19" s="2" t="s">
        <v>19</v>
      </c>
      <c r="C19" s="2" t="s">
        <v>4</v>
      </c>
      <c r="D19" s="3">
        <f t="shared" ca="1" si="0"/>
        <v>0.1808586527709749</v>
      </c>
      <c r="L19">
        <v>18</v>
      </c>
      <c r="M19" t="s">
        <v>22</v>
      </c>
    </row>
    <row r="20" spans="1:13" x14ac:dyDescent="0.25">
      <c r="A20" s="2">
        <v>18</v>
      </c>
      <c r="B20" s="2" t="s">
        <v>22</v>
      </c>
      <c r="C20" s="2" t="s">
        <v>4</v>
      </c>
      <c r="D20" s="3">
        <f t="shared" ca="1" si="0"/>
        <v>0.35078530861290314</v>
      </c>
      <c r="L20">
        <v>19</v>
      </c>
      <c r="M20" t="s">
        <v>23</v>
      </c>
    </row>
    <row r="21" spans="1:13" x14ac:dyDescent="0.25">
      <c r="A21" s="2">
        <v>2</v>
      </c>
      <c r="B21" s="2" t="s">
        <v>5</v>
      </c>
      <c r="C21" s="2" t="s">
        <v>6</v>
      </c>
      <c r="D21" s="3">
        <f t="shared" ca="1" si="0"/>
        <v>0.78317657109789729</v>
      </c>
      <c r="L21">
        <v>20</v>
      </c>
      <c r="M21" t="s">
        <v>24</v>
      </c>
    </row>
  </sheetData>
  <sortState xmlns:xlrd2="http://schemas.microsoft.com/office/spreadsheetml/2017/richdata2" ref="A2:D21">
    <sortCondition descending="1" ref="D2:D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7E65-CB6B-41A1-A9D8-563BBF30C3FA}">
  <dimension ref="XFD1048576"/>
  <sheetViews>
    <sheetView workbookViewId="0"/>
  </sheetViews>
  <sheetFormatPr defaultRowHeight="15" x14ac:dyDescent="0.25"/>
  <sheetData>
    <row r="1048576" spans="16384:16384" x14ac:dyDescent="0.25">
      <c r="XFD104857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D40-A2D1-4BE7-9A8D-93FDB8870A1E}">
  <dimension ref="A1:C21"/>
  <sheetViews>
    <sheetView tabSelected="1" workbookViewId="0">
      <selection activeCell="E21" sqref="E21"/>
    </sheetView>
  </sheetViews>
  <sheetFormatPr defaultRowHeight="15" x14ac:dyDescent="0.25"/>
  <cols>
    <col min="1" max="1" width="17.140625" customWidth="1"/>
    <col min="2" max="2" width="17.7109375" customWidth="1"/>
  </cols>
  <sheetData>
    <row r="1" spans="1:3" x14ac:dyDescent="0.25">
      <c r="A1" s="1" t="s">
        <v>33</v>
      </c>
      <c r="B1" s="1" t="s">
        <v>1</v>
      </c>
      <c r="C1" s="3" t="s">
        <v>25</v>
      </c>
    </row>
    <row r="2" spans="1:3" x14ac:dyDescent="0.25">
      <c r="A2" s="3">
        <v>1</v>
      </c>
      <c r="B2" s="3" t="s">
        <v>3</v>
      </c>
      <c r="C2" s="3">
        <v>2.4148454188558155E-2</v>
      </c>
    </row>
    <row r="3" spans="1:3" x14ac:dyDescent="0.25">
      <c r="A3" s="3">
        <v>2</v>
      </c>
      <c r="B3" s="3" t="s">
        <v>5</v>
      </c>
      <c r="C3" s="3">
        <v>7.9696130400395471E-2</v>
      </c>
    </row>
    <row r="4" spans="1:3" x14ac:dyDescent="0.25">
      <c r="A4" s="3">
        <v>3</v>
      </c>
      <c r="B4" s="3" t="s">
        <v>7</v>
      </c>
      <c r="C4" s="3">
        <v>8.1118089394951021E-2</v>
      </c>
    </row>
    <row r="5" spans="1:3" x14ac:dyDescent="0.25">
      <c r="A5" s="3">
        <v>4</v>
      </c>
      <c r="B5" s="3" t="s">
        <v>8</v>
      </c>
      <c r="C5" s="3">
        <v>9.2031037186001918E-2</v>
      </c>
    </row>
    <row r="6" spans="1:3" x14ac:dyDescent="0.25">
      <c r="A6" s="3">
        <v>5</v>
      </c>
      <c r="B6" s="3" t="s">
        <v>9</v>
      </c>
      <c r="C6" s="3">
        <v>0.19405472658904999</v>
      </c>
    </row>
    <row r="7" spans="1:3" x14ac:dyDescent="0.25">
      <c r="A7" s="3">
        <v>6</v>
      </c>
      <c r="B7" s="3" t="s">
        <v>10</v>
      </c>
      <c r="C7" s="3">
        <v>0.20341759720195296</v>
      </c>
    </row>
    <row r="8" spans="1:3" x14ac:dyDescent="0.25">
      <c r="A8" s="3">
        <v>7</v>
      </c>
      <c r="B8" s="3" t="s">
        <v>11</v>
      </c>
      <c r="C8" s="3">
        <v>0.21374392228805683</v>
      </c>
    </row>
    <row r="9" spans="1:3" x14ac:dyDescent="0.25">
      <c r="A9" s="3">
        <v>8</v>
      </c>
      <c r="B9" s="3" t="s">
        <v>12</v>
      </c>
      <c r="C9" s="3">
        <v>0.37640888579762088</v>
      </c>
    </row>
    <row r="10" spans="1:3" x14ac:dyDescent="0.25">
      <c r="A10" s="3">
        <v>9</v>
      </c>
      <c r="B10" s="3" t="s">
        <v>13</v>
      </c>
      <c r="C10" s="3">
        <v>0.40452769741789696</v>
      </c>
    </row>
    <row r="11" spans="1:3" x14ac:dyDescent="0.25">
      <c r="A11" s="3">
        <v>10</v>
      </c>
      <c r="B11" s="3" t="s">
        <v>14</v>
      </c>
      <c r="C11" s="3">
        <v>0.48479991256609078</v>
      </c>
    </row>
    <row r="12" spans="1:3" x14ac:dyDescent="0.25">
      <c r="A12" s="3">
        <v>11</v>
      </c>
      <c r="B12" s="3" t="s">
        <v>15</v>
      </c>
      <c r="C12" s="3">
        <v>0.51286538383621783</v>
      </c>
    </row>
    <row r="13" spans="1:3" x14ac:dyDescent="0.25">
      <c r="A13" s="3">
        <v>12</v>
      </c>
      <c r="B13" s="3" t="s">
        <v>16</v>
      </c>
      <c r="C13" s="3">
        <v>0.57691660214812834</v>
      </c>
    </row>
    <row r="14" spans="1:3" x14ac:dyDescent="0.25">
      <c r="A14" s="3">
        <v>13</v>
      </c>
      <c r="B14" s="3" t="s">
        <v>17</v>
      </c>
      <c r="C14" s="3">
        <v>0.64907866814323034</v>
      </c>
    </row>
    <row r="15" spans="1:3" x14ac:dyDescent="0.25">
      <c r="A15" s="3">
        <v>14</v>
      </c>
      <c r="B15" s="3" t="s">
        <v>18</v>
      </c>
      <c r="C15" s="3">
        <v>0.6495524978066739</v>
      </c>
    </row>
    <row r="16" spans="1:3" x14ac:dyDescent="0.25">
      <c r="A16" s="3">
        <v>15</v>
      </c>
      <c r="B16" s="3" t="s">
        <v>19</v>
      </c>
      <c r="C16" s="3">
        <v>0.70318911529225026</v>
      </c>
    </row>
    <row r="17" spans="1:3" x14ac:dyDescent="0.25">
      <c r="A17" s="3">
        <v>16</v>
      </c>
      <c r="B17" s="3" t="s">
        <v>20</v>
      </c>
      <c r="C17" s="3">
        <v>0.70614541256172758</v>
      </c>
    </row>
    <row r="18" spans="1:3" x14ac:dyDescent="0.25">
      <c r="A18" s="3">
        <v>17</v>
      </c>
      <c r="B18" s="3" t="s">
        <v>21</v>
      </c>
      <c r="C18" s="3">
        <v>0.77423072470844034</v>
      </c>
    </row>
    <row r="19" spans="1:3" x14ac:dyDescent="0.25">
      <c r="A19" s="3">
        <v>18</v>
      </c>
      <c r="B19" s="3" t="s">
        <v>22</v>
      </c>
      <c r="C19" s="3">
        <v>0.82111607463076031</v>
      </c>
    </row>
    <row r="20" spans="1:3" x14ac:dyDescent="0.25">
      <c r="A20" s="3">
        <v>19</v>
      </c>
      <c r="B20" s="3" t="s">
        <v>23</v>
      </c>
      <c r="C20" s="3">
        <v>0.90398425253181702</v>
      </c>
    </row>
    <row r="21" spans="1:3" x14ac:dyDescent="0.25">
      <c r="A21" s="3">
        <v>20</v>
      </c>
      <c r="B21" s="3" t="s">
        <v>24</v>
      </c>
      <c r="C21" s="3">
        <v>0.98720584489284158</v>
      </c>
    </row>
  </sheetData>
  <sortState xmlns:xlrd2="http://schemas.microsoft.com/office/spreadsheetml/2017/richdata2" ref="C2:C21">
    <sortCondition ref="C2:C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FB99-24F8-4509-8835-95CCA3F06773}">
  <dimension ref="A1:F21"/>
  <sheetViews>
    <sheetView workbookViewId="0">
      <selection activeCell="G24" sqref="G24"/>
    </sheetView>
  </sheetViews>
  <sheetFormatPr defaultRowHeight="15" x14ac:dyDescent="0.25"/>
  <cols>
    <col min="1" max="1" width="17.7109375" customWidth="1"/>
    <col min="2" max="2" width="13.85546875" customWidth="1"/>
    <col min="3" max="3" width="17.28515625" customWidth="1"/>
    <col min="5" max="5" width="14.140625" customWidth="1"/>
  </cols>
  <sheetData>
    <row r="1" spans="1:6" ht="30" x14ac:dyDescent="0.25">
      <c r="A1" s="1" t="s">
        <v>33</v>
      </c>
      <c r="B1" s="1" t="s">
        <v>1</v>
      </c>
      <c r="C1" s="3" t="s">
        <v>34</v>
      </c>
      <c r="D1" s="3"/>
      <c r="E1" s="3"/>
      <c r="F1" s="3"/>
    </row>
    <row r="2" spans="1:6" x14ac:dyDescent="0.25">
      <c r="A2" s="3">
        <v>1</v>
      </c>
      <c r="B2" s="3" t="s">
        <v>3</v>
      </c>
      <c r="C2" s="3" t="str" cm="1">
        <f t="array" ref="C2:C21">IF(MOD(A2:A21,10)=0,"selected","")</f>
        <v/>
      </c>
      <c r="D2" s="3"/>
      <c r="E2" s="3" t="str" cm="1">
        <f t="array" ref="E2:E20">IF(MOD(A2:A20-4,8)=0,"interval of 4","")</f>
        <v/>
      </c>
      <c r="F2" s="3"/>
    </row>
    <row r="3" spans="1:6" x14ac:dyDescent="0.25">
      <c r="A3" s="3">
        <v>2</v>
      </c>
      <c r="B3" s="3" t="s">
        <v>5</v>
      </c>
      <c r="C3" s="3" t="str">
        <v/>
      </c>
      <c r="D3" s="3"/>
      <c r="E3" s="3" t="str">
        <v/>
      </c>
      <c r="F3" s="3"/>
    </row>
    <row r="4" spans="1:6" x14ac:dyDescent="0.25">
      <c r="A4" s="3">
        <v>3</v>
      </c>
      <c r="B4" s="3" t="s">
        <v>7</v>
      </c>
      <c r="C4" s="3" t="str">
        <v/>
      </c>
      <c r="D4" s="3"/>
      <c r="E4" s="3" t="str">
        <v/>
      </c>
      <c r="F4" s="3"/>
    </row>
    <row r="5" spans="1:6" x14ac:dyDescent="0.25">
      <c r="A5" s="3">
        <v>4</v>
      </c>
      <c r="B5" s="3" t="s">
        <v>8</v>
      </c>
      <c r="C5" s="3" t="str">
        <v/>
      </c>
      <c r="D5" s="3"/>
      <c r="E5" s="3" t="str">
        <v>interval of 4</v>
      </c>
      <c r="F5" s="3"/>
    </row>
    <row r="6" spans="1:6" x14ac:dyDescent="0.25">
      <c r="A6" s="3">
        <v>5</v>
      </c>
      <c r="B6" s="3" t="s">
        <v>9</v>
      </c>
      <c r="C6" s="3" t="str">
        <v/>
      </c>
      <c r="D6" s="3"/>
      <c r="E6" s="3" t="str">
        <v/>
      </c>
      <c r="F6" s="3"/>
    </row>
    <row r="7" spans="1:6" x14ac:dyDescent="0.25">
      <c r="A7" s="3">
        <v>6</v>
      </c>
      <c r="B7" s="3" t="s">
        <v>10</v>
      </c>
      <c r="C7" s="3" t="str">
        <v/>
      </c>
      <c r="D7" s="3"/>
      <c r="E7" s="3" t="str">
        <v/>
      </c>
      <c r="F7" s="3"/>
    </row>
    <row r="8" spans="1:6" x14ac:dyDescent="0.25">
      <c r="A8" s="3">
        <v>7</v>
      </c>
      <c r="B8" s="3" t="s">
        <v>11</v>
      </c>
      <c r="C8" s="3" t="str">
        <v/>
      </c>
      <c r="D8" s="3"/>
      <c r="E8" s="3" t="str">
        <v/>
      </c>
      <c r="F8" s="3"/>
    </row>
    <row r="9" spans="1:6" x14ac:dyDescent="0.25">
      <c r="A9" s="3">
        <v>8</v>
      </c>
      <c r="B9" s="3" t="s">
        <v>12</v>
      </c>
      <c r="C9" s="3" t="str">
        <v/>
      </c>
      <c r="D9" s="3"/>
      <c r="E9" s="3" t="str">
        <v/>
      </c>
      <c r="F9" s="3"/>
    </row>
    <row r="10" spans="1:6" x14ac:dyDescent="0.25">
      <c r="A10" s="3">
        <v>9</v>
      </c>
      <c r="B10" s="3" t="s">
        <v>13</v>
      </c>
      <c r="C10" s="3" t="str">
        <v/>
      </c>
      <c r="D10" s="3"/>
      <c r="E10" s="3" t="str">
        <v/>
      </c>
      <c r="F10" s="3"/>
    </row>
    <row r="11" spans="1:6" x14ac:dyDescent="0.25">
      <c r="A11" s="3">
        <v>10</v>
      </c>
      <c r="B11" s="3" t="s">
        <v>14</v>
      </c>
      <c r="C11" s="3" t="str">
        <v>selected</v>
      </c>
      <c r="D11" s="3"/>
      <c r="E11" s="3" t="str">
        <v/>
      </c>
      <c r="F11" s="3"/>
    </row>
    <row r="12" spans="1:6" x14ac:dyDescent="0.25">
      <c r="A12" s="3">
        <v>11</v>
      </c>
      <c r="B12" s="3" t="s">
        <v>15</v>
      </c>
      <c r="C12" s="3" t="str">
        <v/>
      </c>
      <c r="D12" s="3"/>
      <c r="E12" s="3" t="str">
        <v/>
      </c>
      <c r="F12" s="3"/>
    </row>
    <row r="13" spans="1:6" x14ac:dyDescent="0.25">
      <c r="A13" s="3">
        <v>12</v>
      </c>
      <c r="B13" s="3" t="s">
        <v>16</v>
      </c>
      <c r="C13" s="3" t="str">
        <v/>
      </c>
      <c r="D13" s="3"/>
      <c r="E13" s="3" t="str">
        <v>interval of 4</v>
      </c>
      <c r="F13" s="3"/>
    </row>
    <row r="14" spans="1:6" x14ac:dyDescent="0.25">
      <c r="A14" s="3">
        <v>13</v>
      </c>
      <c r="B14" s="3" t="s">
        <v>17</v>
      </c>
      <c r="C14" s="3" t="str">
        <v/>
      </c>
      <c r="D14" s="3"/>
      <c r="E14" s="3" t="str">
        <v/>
      </c>
      <c r="F14" s="3"/>
    </row>
    <row r="15" spans="1:6" x14ac:dyDescent="0.25">
      <c r="A15" s="3">
        <v>14</v>
      </c>
      <c r="B15" s="3" t="s">
        <v>18</v>
      </c>
      <c r="C15" s="3" t="str">
        <v/>
      </c>
      <c r="D15" s="3"/>
      <c r="E15" s="3" t="str">
        <v/>
      </c>
      <c r="F15" s="3"/>
    </row>
    <row r="16" spans="1:6" x14ac:dyDescent="0.25">
      <c r="A16" s="3">
        <v>15</v>
      </c>
      <c r="B16" s="3" t="s">
        <v>19</v>
      </c>
      <c r="C16" s="3" t="str">
        <v/>
      </c>
      <c r="D16" s="3"/>
      <c r="E16" s="3" t="str">
        <v/>
      </c>
      <c r="F16" s="3"/>
    </row>
    <row r="17" spans="1:6" x14ac:dyDescent="0.25">
      <c r="A17" s="3">
        <v>16</v>
      </c>
      <c r="B17" s="3" t="s">
        <v>20</v>
      </c>
      <c r="C17" s="3" t="str">
        <v/>
      </c>
      <c r="D17" s="3"/>
      <c r="E17" s="3" t="str">
        <v/>
      </c>
      <c r="F17" s="3"/>
    </row>
    <row r="18" spans="1:6" x14ac:dyDescent="0.25">
      <c r="A18" s="3">
        <v>17</v>
      </c>
      <c r="B18" s="3" t="s">
        <v>21</v>
      </c>
      <c r="C18" s="3" t="str">
        <v/>
      </c>
      <c r="D18" s="3"/>
      <c r="E18" s="3" t="str">
        <v/>
      </c>
      <c r="F18" s="3"/>
    </row>
    <row r="19" spans="1:6" x14ac:dyDescent="0.25">
      <c r="A19" s="3">
        <v>18</v>
      </c>
      <c r="B19" s="3" t="s">
        <v>22</v>
      </c>
      <c r="C19" s="3" t="str">
        <v/>
      </c>
      <c r="D19" s="3"/>
      <c r="E19" s="3" t="str">
        <v/>
      </c>
      <c r="F19" s="3"/>
    </row>
    <row r="20" spans="1:6" x14ac:dyDescent="0.25">
      <c r="A20" s="3">
        <v>19</v>
      </c>
      <c r="B20" s="3" t="s">
        <v>23</v>
      </c>
      <c r="C20" s="3" t="str">
        <v/>
      </c>
      <c r="D20" s="3"/>
      <c r="E20" s="3" t="str">
        <v/>
      </c>
      <c r="F20" s="3"/>
    </row>
    <row r="21" spans="1:6" x14ac:dyDescent="0.25">
      <c r="A21" s="3">
        <v>20</v>
      </c>
      <c r="B21" s="3" t="s">
        <v>24</v>
      </c>
      <c r="C21" s="3" t="str">
        <v>selected</v>
      </c>
      <c r="D21" s="3"/>
      <c r="E21" s="3"/>
      <c r="F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8AB5-BE56-4E6A-8DA3-A86E3A2CE5DC}">
  <dimension ref="A1:F21"/>
  <sheetViews>
    <sheetView workbookViewId="0">
      <selection activeCell="G27" sqref="G27"/>
    </sheetView>
  </sheetViews>
  <sheetFormatPr defaultRowHeight="15" x14ac:dyDescent="0.25"/>
  <cols>
    <col min="1" max="1" width="12.5703125" customWidth="1"/>
    <col min="2" max="2" width="20" customWidth="1"/>
    <col min="4" max="4" width="31.5703125" customWidth="1"/>
    <col min="5" max="5" width="20.140625" customWidth="1"/>
  </cols>
  <sheetData>
    <row r="1" spans="1:6" ht="30" x14ac:dyDescent="0.25">
      <c r="A1" s="1" t="s">
        <v>33</v>
      </c>
      <c r="B1" s="1" t="s">
        <v>1</v>
      </c>
      <c r="C1" s="3" t="s">
        <v>35</v>
      </c>
      <c r="D1" s="3" t="s">
        <v>36</v>
      </c>
      <c r="E1" s="3" t="s">
        <v>37</v>
      </c>
    </row>
    <row r="2" spans="1:6" x14ac:dyDescent="0.25">
      <c r="A2" s="3">
        <v>1</v>
      </c>
      <c r="B2" s="3" t="s">
        <v>3</v>
      </c>
      <c r="C2" s="3" t="s">
        <v>3</v>
      </c>
      <c r="D2" s="3">
        <f>INT((A2-1)/5)+1</f>
        <v>1</v>
      </c>
      <c r="E2" s="3" t="str">
        <f>CHAR(INT((A2-1)/5)+65)</f>
        <v>A</v>
      </c>
    </row>
    <row r="3" spans="1:6" x14ac:dyDescent="0.25">
      <c r="A3" s="3">
        <v>2</v>
      </c>
      <c r="B3" s="3" t="s">
        <v>5</v>
      </c>
      <c r="C3" s="3" t="s">
        <v>3</v>
      </c>
      <c r="D3" s="3">
        <f t="shared" ref="D3:D21" si="0">INT((A3-1)/5)+1</f>
        <v>1</v>
      </c>
      <c r="E3" s="3" t="str">
        <f t="shared" ref="E3:E21" si="1">CHAR(INT((A3-1)/5)+65)</f>
        <v>A</v>
      </c>
    </row>
    <row r="4" spans="1:6" x14ac:dyDescent="0.25">
      <c r="A4" s="3">
        <v>3</v>
      </c>
      <c r="B4" s="3" t="s">
        <v>7</v>
      </c>
      <c r="C4" s="3" t="s">
        <v>3</v>
      </c>
      <c r="D4" s="3">
        <f t="shared" si="0"/>
        <v>1</v>
      </c>
      <c r="E4" s="3" t="str">
        <f t="shared" si="1"/>
        <v>A</v>
      </c>
      <c r="F4" t="str">
        <f t="shared" ref="F4:F21" si="2">IF(C3=F3,"selected","")</f>
        <v/>
      </c>
    </row>
    <row r="5" spans="1:6" x14ac:dyDescent="0.25">
      <c r="A5" s="3">
        <v>4</v>
      </c>
      <c r="B5" s="3" t="s">
        <v>8</v>
      </c>
      <c r="C5" s="3" t="s">
        <v>3</v>
      </c>
      <c r="D5" s="3">
        <f t="shared" si="0"/>
        <v>1</v>
      </c>
      <c r="E5" s="3" t="str">
        <f t="shared" si="1"/>
        <v>A</v>
      </c>
      <c r="F5" t="str">
        <f t="shared" si="2"/>
        <v/>
      </c>
    </row>
    <row r="6" spans="1:6" x14ac:dyDescent="0.25">
      <c r="A6" s="3">
        <v>5</v>
      </c>
      <c r="B6" s="3" t="s">
        <v>9</v>
      </c>
      <c r="C6" s="3" t="s">
        <v>3</v>
      </c>
      <c r="D6" s="3">
        <f t="shared" si="0"/>
        <v>1</v>
      </c>
      <c r="E6" s="3" t="str">
        <f t="shared" si="1"/>
        <v>A</v>
      </c>
      <c r="F6" t="str">
        <f t="shared" si="2"/>
        <v/>
      </c>
    </row>
    <row r="7" spans="1:6" x14ac:dyDescent="0.25">
      <c r="A7" s="3">
        <v>6</v>
      </c>
      <c r="B7" s="3" t="s">
        <v>10</v>
      </c>
      <c r="C7" s="3" t="s">
        <v>5</v>
      </c>
      <c r="D7" s="3">
        <f t="shared" si="0"/>
        <v>2</v>
      </c>
      <c r="E7" s="3" t="str">
        <f t="shared" si="1"/>
        <v>B</v>
      </c>
      <c r="F7" t="str">
        <f t="shared" si="2"/>
        <v/>
      </c>
    </row>
    <row r="8" spans="1:6" x14ac:dyDescent="0.25">
      <c r="A8" s="3">
        <v>7</v>
      </c>
      <c r="B8" s="3" t="s">
        <v>11</v>
      </c>
      <c r="C8" s="3" t="s">
        <v>5</v>
      </c>
      <c r="D8" s="3">
        <f t="shared" si="0"/>
        <v>2</v>
      </c>
      <c r="E8" s="3" t="str">
        <f t="shared" si="1"/>
        <v>B</v>
      </c>
      <c r="F8" t="str">
        <f t="shared" si="2"/>
        <v/>
      </c>
    </row>
    <row r="9" spans="1:6" x14ac:dyDescent="0.25">
      <c r="A9" s="3">
        <v>8</v>
      </c>
      <c r="B9" s="3" t="s">
        <v>12</v>
      </c>
      <c r="C9" s="3" t="s">
        <v>5</v>
      </c>
      <c r="D9" s="3">
        <f t="shared" si="0"/>
        <v>2</v>
      </c>
      <c r="E9" s="3" t="str">
        <f t="shared" si="1"/>
        <v>B</v>
      </c>
      <c r="F9" t="str">
        <f t="shared" si="2"/>
        <v/>
      </c>
    </row>
    <row r="10" spans="1:6" x14ac:dyDescent="0.25">
      <c r="A10" s="3">
        <v>9</v>
      </c>
      <c r="B10" s="3" t="s">
        <v>13</v>
      </c>
      <c r="C10" s="3" t="s">
        <v>5</v>
      </c>
      <c r="D10" s="3">
        <f t="shared" si="0"/>
        <v>2</v>
      </c>
      <c r="E10" s="3" t="str">
        <f t="shared" si="1"/>
        <v>B</v>
      </c>
      <c r="F10" t="str">
        <f t="shared" si="2"/>
        <v/>
      </c>
    </row>
    <row r="11" spans="1:6" x14ac:dyDescent="0.25">
      <c r="A11" s="3">
        <v>10</v>
      </c>
      <c r="B11" s="3" t="s">
        <v>14</v>
      </c>
      <c r="C11" s="3" t="s">
        <v>5</v>
      </c>
      <c r="D11" s="3">
        <f t="shared" si="0"/>
        <v>2</v>
      </c>
      <c r="E11" s="3" t="str">
        <f t="shared" si="1"/>
        <v>B</v>
      </c>
      <c r="F11" t="str">
        <f t="shared" si="2"/>
        <v/>
      </c>
    </row>
    <row r="12" spans="1:6" x14ac:dyDescent="0.25">
      <c r="A12" s="3">
        <v>11</v>
      </c>
      <c r="B12" s="3" t="s">
        <v>15</v>
      </c>
      <c r="C12" s="3" t="s">
        <v>7</v>
      </c>
      <c r="D12" s="3">
        <f t="shared" si="0"/>
        <v>3</v>
      </c>
      <c r="E12" s="3" t="str">
        <f t="shared" si="1"/>
        <v>C</v>
      </c>
      <c r="F12" t="str">
        <f t="shared" si="2"/>
        <v/>
      </c>
    </row>
    <row r="13" spans="1:6" x14ac:dyDescent="0.25">
      <c r="A13" s="3">
        <v>12</v>
      </c>
      <c r="B13" s="3" t="s">
        <v>16</v>
      </c>
      <c r="C13" s="3" t="s">
        <v>7</v>
      </c>
      <c r="D13" s="3">
        <f t="shared" si="0"/>
        <v>3</v>
      </c>
      <c r="E13" s="3" t="str">
        <f t="shared" si="1"/>
        <v>C</v>
      </c>
      <c r="F13" t="str">
        <f t="shared" si="2"/>
        <v/>
      </c>
    </row>
    <row r="14" spans="1:6" x14ac:dyDescent="0.25">
      <c r="A14" s="3">
        <v>13</v>
      </c>
      <c r="B14" s="3" t="s">
        <v>17</v>
      </c>
      <c r="C14" s="3" t="s">
        <v>7</v>
      </c>
      <c r="D14" s="3">
        <f t="shared" si="0"/>
        <v>3</v>
      </c>
      <c r="E14" s="3" t="str">
        <f t="shared" si="1"/>
        <v>C</v>
      </c>
      <c r="F14" t="str">
        <f t="shared" si="2"/>
        <v/>
      </c>
    </row>
    <row r="15" spans="1:6" x14ac:dyDescent="0.25">
      <c r="A15" s="3">
        <v>14</v>
      </c>
      <c r="B15" s="3" t="s">
        <v>18</v>
      </c>
      <c r="C15" s="3" t="s">
        <v>7</v>
      </c>
      <c r="D15" s="3">
        <f t="shared" si="0"/>
        <v>3</v>
      </c>
      <c r="E15" s="3" t="str">
        <f t="shared" si="1"/>
        <v>C</v>
      </c>
      <c r="F15" t="str">
        <f t="shared" si="2"/>
        <v/>
      </c>
    </row>
    <row r="16" spans="1:6" x14ac:dyDescent="0.25">
      <c r="A16" s="3">
        <v>15</v>
      </c>
      <c r="B16" s="3" t="s">
        <v>19</v>
      </c>
      <c r="C16" s="3" t="s">
        <v>7</v>
      </c>
      <c r="D16" s="3">
        <f t="shared" si="0"/>
        <v>3</v>
      </c>
      <c r="E16" s="3" t="str">
        <f t="shared" si="1"/>
        <v>C</v>
      </c>
      <c r="F16" t="str">
        <f t="shared" si="2"/>
        <v/>
      </c>
    </row>
    <row r="17" spans="1:6" x14ac:dyDescent="0.25">
      <c r="A17" s="3">
        <v>16</v>
      </c>
      <c r="B17" s="3" t="s">
        <v>20</v>
      </c>
      <c r="C17" s="3" t="s">
        <v>8</v>
      </c>
      <c r="D17" s="3">
        <f t="shared" si="0"/>
        <v>4</v>
      </c>
      <c r="E17" s="3" t="str">
        <f t="shared" si="1"/>
        <v>D</v>
      </c>
      <c r="F17" t="str">
        <f t="shared" si="2"/>
        <v/>
      </c>
    </row>
    <row r="18" spans="1:6" x14ac:dyDescent="0.25">
      <c r="A18" s="3">
        <v>17</v>
      </c>
      <c r="B18" s="3" t="s">
        <v>21</v>
      </c>
      <c r="C18" s="3" t="s">
        <v>8</v>
      </c>
      <c r="D18" s="3">
        <f t="shared" si="0"/>
        <v>4</v>
      </c>
      <c r="E18" s="3" t="str">
        <f t="shared" si="1"/>
        <v>D</v>
      </c>
      <c r="F18" t="str">
        <f t="shared" si="2"/>
        <v/>
      </c>
    </row>
    <row r="19" spans="1:6" x14ac:dyDescent="0.25">
      <c r="A19" s="3">
        <v>18</v>
      </c>
      <c r="B19" s="3" t="s">
        <v>22</v>
      </c>
      <c r="C19" s="3" t="s">
        <v>8</v>
      </c>
      <c r="D19" s="3">
        <f t="shared" si="0"/>
        <v>4</v>
      </c>
      <c r="E19" s="3" t="str">
        <f t="shared" si="1"/>
        <v>D</v>
      </c>
      <c r="F19" t="str">
        <f t="shared" si="2"/>
        <v/>
      </c>
    </row>
    <row r="20" spans="1:6" x14ac:dyDescent="0.25">
      <c r="A20" s="3">
        <v>19</v>
      </c>
      <c r="B20" s="3" t="s">
        <v>23</v>
      </c>
      <c r="C20" s="3" t="s">
        <v>8</v>
      </c>
      <c r="D20" s="3">
        <f t="shared" si="0"/>
        <v>4</v>
      </c>
      <c r="E20" s="3" t="str">
        <f t="shared" si="1"/>
        <v>D</v>
      </c>
      <c r="F20" t="str">
        <f t="shared" si="2"/>
        <v/>
      </c>
    </row>
    <row r="21" spans="1:6" x14ac:dyDescent="0.25">
      <c r="A21" s="3">
        <v>20</v>
      </c>
      <c r="B21" s="3" t="s">
        <v>24</v>
      </c>
      <c r="C21" s="3" t="s">
        <v>8</v>
      </c>
      <c r="D21" s="3">
        <f t="shared" si="0"/>
        <v>4</v>
      </c>
      <c r="E21" s="3" t="str">
        <f t="shared" si="1"/>
        <v>D</v>
      </c>
      <c r="F21" t="str">
        <f t="shared" si="2"/>
        <v/>
      </c>
    </row>
  </sheetData>
  <sortState xmlns:xlrd2="http://schemas.microsoft.com/office/spreadsheetml/2017/richdata2" ref="B2:B21">
    <sortCondition ref="B1:B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F6E2-59D8-4CD8-A5F2-B9074D88F492}">
  <dimension ref="A1:P21"/>
  <sheetViews>
    <sheetView workbookViewId="0">
      <selection activeCell="I21" sqref="I21"/>
    </sheetView>
  </sheetViews>
  <sheetFormatPr defaultRowHeight="15" x14ac:dyDescent="0.25"/>
  <cols>
    <col min="2" max="2" width="23.28515625" customWidth="1"/>
    <col min="3" max="3" width="19" customWidth="1"/>
    <col min="8" max="8" width="23.5703125" customWidth="1"/>
    <col min="9" max="9" width="13.85546875" customWidth="1"/>
  </cols>
  <sheetData>
    <row r="1" spans="1:16" ht="21" x14ac:dyDescent="0.35">
      <c r="A1" s="5" t="s">
        <v>1</v>
      </c>
      <c r="B1" s="5" t="s">
        <v>2</v>
      </c>
      <c r="C1" s="6" t="s">
        <v>38</v>
      </c>
      <c r="D1" s="6" t="s">
        <v>42</v>
      </c>
    </row>
    <row r="2" spans="1:16" x14ac:dyDescent="0.25">
      <c r="A2" s="2" t="s">
        <v>16</v>
      </c>
      <c r="B2" s="2" t="s">
        <v>6</v>
      </c>
      <c r="C2" s="3" t="s">
        <v>40</v>
      </c>
      <c r="D2" s="3">
        <v>9.7034565712355025E-3</v>
      </c>
    </row>
    <row r="3" spans="1:16" x14ac:dyDescent="0.25">
      <c r="A3" s="2" t="s">
        <v>21</v>
      </c>
      <c r="B3" s="2" t="s">
        <v>4</v>
      </c>
      <c r="C3" s="3" t="s">
        <v>40</v>
      </c>
      <c r="D3" s="3">
        <v>0.11277875454826569</v>
      </c>
    </row>
    <row r="4" spans="1:16" x14ac:dyDescent="0.25">
      <c r="A4" s="2" t="s">
        <v>9</v>
      </c>
      <c r="B4" s="2" t="s">
        <v>4</v>
      </c>
      <c r="C4" s="3" t="s">
        <v>40</v>
      </c>
      <c r="D4" s="3">
        <v>0.1318613563457155</v>
      </c>
    </row>
    <row r="5" spans="1:16" x14ac:dyDescent="0.25">
      <c r="A5" s="2" t="s">
        <v>13</v>
      </c>
      <c r="B5" s="2" t="s">
        <v>6</v>
      </c>
      <c r="C5" s="3" t="s">
        <v>40</v>
      </c>
      <c r="D5" s="3">
        <v>0.18109284519578506</v>
      </c>
    </row>
    <row r="6" spans="1:16" x14ac:dyDescent="0.25">
      <c r="A6" s="2" t="s">
        <v>7</v>
      </c>
      <c r="B6" s="2" t="s">
        <v>4</v>
      </c>
      <c r="C6" s="3" t="s">
        <v>40</v>
      </c>
      <c r="D6" s="3">
        <v>0.24635858627728868</v>
      </c>
      <c r="H6" s="3" t="s">
        <v>43</v>
      </c>
      <c r="I6" s="3"/>
      <c r="M6" t="s">
        <v>48</v>
      </c>
    </row>
    <row r="7" spans="1:16" x14ac:dyDescent="0.25">
      <c r="A7" s="2" t="s">
        <v>8</v>
      </c>
      <c r="B7" s="2" t="s">
        <v>6</v>
      </c>
      <c r="C7" s="3" t="s">
        <v>40</v>
      </c>
      <c r="D7" s="3">
        <v>0.33419480122329559</v>
      </c>
      <c r="H7" s="3" t="s">
        <v>44</v>
      </c>
      <c r="I7" s="3"/>
    </row>
    <row r="8" spans="1:16" x14ac:dyDescent="0.25">
      <c r="A8" s="2" t="s">
        <v>18</v>
      </c>
      <c r="B8" s="2" t="s">
        <v>6</v>
      </c>
      <c r="C8" s="3" t="s">
        <v>40</v>
      </c>
      <c r="D8" s="3">
        <v>0.39097061114180698</v>
      </c>
      <c r="M8" s="2" t="s">
        <v>21</v>
      </c>
      <c r="N8" s="2" t="s">
        <v>4</v>
      </c>
      <c r="O8" s="3" t="s">
        <v>40</v>
      </c>
      <c r="P8" s="3">
        <v>0.11277875454826569</v>
      </c>
    </row>
    <row r="9" spans="1:16" x14ac:dyDescent="0.25">
      <c r="A9" s="2" t="s">
        <v>3</v>
      </c>
      <c r="B9" s="2" t="s">
        <v>4</v>
      </c>
      <c r="C9" s="3" t="s">
        <v>40</v>
      </c>
      <c r="D9" s="3">
        <v>0.4740835257925381</v>
      </c>
      <c r="H9" s="3">
        <f>(9/20)*4</f>
        <v>1.8</v>
      </c>
      <c r="I9" s="3" t="s">
        <v>45</v>
      </c>
      <c r="M9" s="2" t="s">
        <v>9</v>
      </c>
      <c r="N9" s="2" t="s">
        <v>4</v>
      </c>
      <c r="O9" s="3" t="s">
        <v>40</v>
      </c>
      <c r="P9" s="3">
        <v>0.1318613563457155</v>
      </c>
    </row>
    <row r="10" spans="1:16" x14ac:dyDescent="0.25">
      <c r="A10" s="2" t="s">
        <v>11</v>
      </c>
      <c r="B10" s="2" t="s">
        <v>6</v>
      </c>
      <c r="C10" s="3" t="s">
        <v>40</v>
      </c>
      <c r="D10" s="3">
        <v>0.53555189396972713</v>
      </c>
      <c r="H10" s="3">
        <f>(7/20)*4</f>
        <v>1.4</v>
      </c>
      <c r="I10" s="3" t="s">
        <v>46</v>
      </c>
      <c r="M10" s="2" t="s">
        <v>20</v>
      </c>
      <c r="N10" s="2" t="s">
        <v>6</v>
      </c>
      <c r="O10" s="3" t="s">
        <v>39</v>
      </c>
      <c r="P10" s="3">
        <v>0.67210937552508077</v>
      </c>
    </row>
    <row r="11" spans="1:16" x14ac:dyDescent="0.25">
      <c r="A11" s="2" t="s">
        <v>23</v>
      </c>
      <c r="B11" s="2" t="s">
        <v>6</v>
      </c>
      <c r="C11" s="3" t="s">
        <v>39</v>
      </c>
      <c r="D11" s="3">
        <v>0.59602524198809193</v>
      </c>
      <c r="H11" s="3">
        <f>(4/20)*4</f>
        <v>0.8</v>
      </c>
      <c r="I11" s="3" t="s">
        <v>47</v>
      </c>
      <c r="M11" s="2" t="s">
        <v>19</v>
      </c>
      <c r="N11" s="2" t="s">
        <v>4</v>
      </c>
      <c r="O11" s="3" t="s">
        <v>41</v>
      </c>
      <c r="P11" s="3">
        <v>0.91768614906352075</v>
      </c>
    </row>
    <row r="12" spans="1:16" x14ac:dyDescent="0.25">
      <c r="A12" s="2" t="s">
        <v>20</v>
      </c>
      <c r="B12" s="2" t="s">
        <v>6</v>
      </c>
      <c r="C12" s="3" t="s">
        <v>39</v>
      </c>
      <c r="D12" s="3">
        <v>0.67210937552508077</v>
      </c>
    </row>
    <row r="13" spans="1:16" x14ac:dyDescent="0.25">
      <c r="A13" s="2" t="s">
        <v>12</v>
      </c>
      <c r="B13" s="2" t="s">
        <v>4</v>
      </c>
      <c r="C13" s="3" t="s">
        <v>39</v>
      </c>
      <c r="D13" s="3">
        <v>0.6935237827120877</v>
      </c>
    </row>
    <row r="14" spans="1:16" x14ac:dyDescent="0.25">
      <c r="A14" s="2" t="s">
        <v>10</v>
      </c>
      <c r="B14" s="2" t="s">
        <v>4</v>
      </c>
      <c r="C14" s="3" t="s">
        <v>39</v>
      </c>
      <c r="D14" s="3">
        <v>0.82447129399340102</v>
      </c>
    </row>
    <row r="15" spans="1:16" x14ac:dyDescent="0.25">
      <c r="A15" s="2" t="s">
        <v>24</v>
      </c>
      <c r="B15" s="2" t="s">
        <v>4</v>
      </c>
      <c r="C15" s="3" t="s">
        <v>39</v>
      </c>
      <c r="D15" s="3">
        <v>0.83831119943282162</v>
      </c>
    </row>
    <row r="16" spans="1:16" x14ac:dyDescent="0.25">
      <c r="A16" s="2" t="s">
        <v>15</v>
      </c>
      <c r="B16" s="2" t="s">
        <v>4</v>
      </c>
      <c r="C16" s="3" t="s">
        <v>39</v>
      </c>
      <c r="D16" s="3">
        <v>0.86742503363858103</v>
      </c>
    </row>
    <row r="17" spans="1:4" x14ac:dyDescent="0.25">
      <c r="A17" s="2" t="s">
        <v>14</v>
      </c>
      <c r="B17" s="2" t="s">
        <v>4</v>
      </c>
      <c r="C17" s="3" t="s">
        <v>39</v>
      </c>
      <c r="D17" s="3">
        <v>0.86887310416172281</v>
      </c>
    </row>
    <row r="18" spans="1:4" x14ac:dyDescent="0.25">
      <c r="A18" s="2" t="s">
        <v>17</v>
      </c>
      <c r="B18" s="2" t="s">
        <v>4</v>
      </c>
      <c r="C18" s="3" t="s">
        <v>41</v>
      </c>
      <c r="D18" s="3">
        <v>0.89357722830572828</v>
      </c>
    </row>
    <row r="19" spans="1:4" x14ac:dyDescent="0.25">
      <c r="A19" s="2" t="s">
        <v>19</v>
      </c>
      <c r="B19" s="2" t="s">
        <v>4</v>
      </c>
      <c r="C19" s="3" t="s">
        <v>41</v>
      </c>
      <c r="D19" s="3">
        <v>0.91768614906352075</v>
      </c>
    </row>
    <row r="20" spans="1:4" x14ac:dyDescent="0.25">
      <c r="A20" s="2" t="s">
        <v>22</v>
      </c>
      <c r="B20" s="2" t="s">
        <v>4</v>
      </c>
      <c r="C20" s="3" t="s">
        <v>41</v>
      </c>
      <c r="D20" s="3">
        <v>0.92168859319236474</v>
      </c>
    </row>
    <row r="21" spans="1:4" x14ac:dyDescent="0.25">
      <c r="A21" s="2" t="s">
        <v>5</v>
      </c>
      <c r="B21" s="2" t="s">
        <v>6</v>
      </c>
      <c r="C21" s="3" t="s">
        <v>41</v>
      </c>
      <c r="D21" s="3">
        <v>0.96261506679423769</v>
      </c>
    </row>
  </sheetData>
  <sortState xmlns:xlrd2="http://schemas.microsoft.com/office/spreadsheetml/2017/richdata2" ref="D2:D21">
    <sortCondition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RANDOM SAMPLING</vt:lpstr>
      <vt:lpstr>SYSTEMATIC SAMPLING</vt:lpstr>
      <vt:lpstr>CLUSTER RANDOM SAMPLING</vt:lpstr>
      <vt:lpstr>STRATIFIED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2026-06-23T09:02:50Z</dcterms:created>
  <dcterms:modified xsi:type="dcterms:W3CDTF">2026-06-24T11:14:54Z</dcterms:modified>
</cp:coreProperties>
</file>