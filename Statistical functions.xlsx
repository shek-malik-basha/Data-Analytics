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ITS\Documents\"/>
    </mc:Choice>
  </mc:AlternateContent>
  <xr:revisionPtr revIDLastSave="0" documentId="13_ncr:1_{EC8926F0-F7B4-49C5-8818-7595074E60F4}" xr6:coauthVersionLast="47" xr6:coauthVersionMax="47" xr10:uidLastSave="{00000000-0000-0000-0000-000000000000}"/>
  <bookViews>
    <workbookView xWindow="-120" yWindow="-120" windowWidth="29040" windowHeight="15720" tabRatio="681" activeTab="1" xr2:uid="{C35D8E76-B501-4FC3-AD19-211323D926F4}"/>
  </bookViews>
  <sheets>
    <sheet name="Sheet1" sheetId="1" r:id="rId1"/>
    <sheet name="Sheet2" sheetId="2" r:id="rId2"/>
  </sheets>
  <calcPr calcId="191029"/>
  <pivotCaches>
    <pivotCache cacheId="46"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4" i="2" l="1"/>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Y43" i="1" l="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L39" i="1"/>
  <c r="L38" i="1"/>
  <c r="L6" i="1"/>
  <c r="L35" i="1"/>
  <c r="L34" i="1"/>
  <c r="L31" i="1"/>
  <c r="L30" i="1"/>
  <c r="L27" i="1"/>
  <c r="L26" i="1"/>
  <c r="L23" i="1"/>
  <c r="L20" i="1"/>
  <c r="L17" i="1"/>
  <c r="L16" i="1"/>
  <c r="L13" i="1"/>
  <c r="L12" i="1"/>
  <c r="L9" i="1"/>
  <c r="L8" i="1"/>
  <c r="L5" i="1"/>
  <c r="L4" i="1"/>
  <c r="J25" i="1"/>
  <c r="J24" i="1"/>
  <c r="J16" i="1"/>
  <c r="J21" i="1"/>
  <c r="J20" i="1"/>
  <c r="J17" i="1"/>
  <c r="J13" i="1"/>
  <c r="J12" i="1"/>
  <c r="J9" i="1"/>
  <c r="J8" i="1"/>
  <c r="J5" i="1"/>
  <c r="J4" i="1"/>
</calcChain>
</file>

<file path=xl/sharedStrings.xml><?xml version="1.0" encoding="utf-8"?>
<sst xmlns="http://schemas.openxmlformats.org/spreadsheetml/2006/main" count="618" uniqueCount="346">
  <si>
    <t>product_id</t>
  </si>
  <si>
    <t>product_name</t>
  </si>
  <si>
    <t>category</t>
  </si>
  <si>
    <t>discounted_price</t>
  </si>
  <si>
    <t>actual_price</t>
  </si>
  <si>
    <t>discount_percentage</t>
  </si>
  <si>
    <t>rating</t>
  </si>
  <si>
    <t>rating_count</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</si>
  <si>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</si>
  <si>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</si>
  <si>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</si>
  <si>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</si>
  <si>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</si>
  <si>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B098NS6PVG</t>
  </si>
  <si>
    <t>â‚¹199</t>
  </si>
  <si>
    <t>â‚¹349</t>
  </si>
  <si>
    <t>B096MSW6CT</t>
  </si>
  <si>
    <t>Sounce Fast Phone Charging Cable &amp; Data Sync USB Cable Compatible for iPhone 13, 12,11, X, 8, 7, 6, 5, iPad Air, Pro, Mini &amp; iOS Devices</t>
  </si>
  <si>
    <t>â‚¹1,899</t>
  </si>
  <si>
    <t>B08HDJ86NZ</t>
  </si>
  <si>
    <t>â‚¹329</t>
  </si>
  <si>
    <t>â‚¹699</t>
  </si>
  <si>
    <t>B08CF3B7N1</t>
  </si>
  <si>
    <t>Portronics Konnect L 1.2M Fast Charging 3A 8 Pin USB Cable with Charge &amp; Sync Function for iPhone, iPad (Grey)</t>
  </si>
  <si>
    <t>â‚¹154</t>
  </si>
  <si>
    <t>B08Y1TFSP6</t>
  </si>
  <si>
    <t>pTron Solero TB301 3A Type-C Data and Fast Charging Cable, Made in India, 480Mbps Data Sync, Strong and Durable 1.5-Meter Nylon Braided USB Cable for Type-C Devices for Charging Adapter (Black)</t>
  </si>
  <si>
    <t>â‚¹149</t>
  </si>
  <si>
    <t>â‚¹1,000</t>
  </si>
  <si>
    <t>B08WRWPM22</t>
  </si>
  <si>
    <t>boAt Micro USB 55 Tangle-free, Sturdy Micro USB Cable with 3A Fast Charging &amp; 480mbps Data Transmission (Black)</t>
  </si>
  <si>
    <t>â‚¹176.63</t>
  </si>
  <si>
    <t>â‚¹499</t>
  </si>
  <si>
    <t>B08DDRGWTJ</t>
  </si>
  <si>
    <t>MI Usb Type-C Cable Smartphone (Black)</t>
  </si>
  <si>
    <t>â‚¹229</t>
  </si>
  <si>
    <t>â‚¹299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</si>
  <si>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</si>
  <si>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</si>
  <si>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</si>
  <si>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</si>
  <si>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</si>
  <si>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</si>
  <si>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</si>
  <si>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</si>
  <si>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â‚¹339</t>
  </si>
  <si>
    <t>B0789LZTCJ</t>
  </si>
  <si>
    <t>boAt Rugged v3 Extra Tough Unbreakable Braided Micro USB Cable 1.5 Meter (Black)</t>
  </si>
  <si>
    <t>â‚¹799</t>
  </si>
  <si>
    <t>B07KSMBL2H</t>
  </si>
  <si>
    <t>AmazonBasics Flexible Premium HDMI Cable (Black, 4K@60Hz, 18Gbps), 3-Foot</t>
  </si>
  <si>
    <t>Electronics|HomeTheater,TV&amp;Video|Accessories|Cables|HDMICables</t>
  </si>
  <si>
    <t>â‚¹219</t>
  </si>
  <si>
    <t>â‚¹700</t>
  </si>
  <si>
    <t>B085DTN6R2</t>
  </si>
  <si>
    <t>Portronics Konnect CL 20W POR-1067 Type-C to 8 Pin USB 1.2M Cable with Power Delivery &amp; 3A Quick Charge Support, Nylon Braided for All Type-C and 8 Pin Devices, Green</t>
  </si>
  <si>
    <t>â‚¹350</t>
  </si>
  <si>
    <t>â‚¹899</t>
  </si>
  <si>
    <t>B09KLVMZ3B</t>
  </si>
  <si>
    <t>Portronics Konnect L 1.2M POR-1401 Fast Charging 3A 8 Pin USB Cable with Charge &amp; Sync Function (White)</t>
  </si>
  <si>
    <t>â‚¹159</t>
  </si>
  <si>
    <t>B083342NKJ</t>
  </si>
  <si>
    <t>MI Braided USB Type-C Cable for Charging Adapter (Red)</t>
  </si>
  <si>
    <t>B0B6F7LX4C</t>
  </si>
  <si>
    <t>MI 80 cm (32 inches) 5A Series HD Ready Smart Android LED TV L32M7-5AIN (Black)</t>
  </si>
  <si>
    <t>Electronics|HomeTheater,TV&amp;Video|Televisions|SmartTelevisions</t>
  </si>
  <si>
    <t>â‚¹13,999</t>
  </si>
  <si>
    <t>â‚¹24,999</t>
  </si>
  <si>
    <t>B082LSVT4B</t>
  </si>
  <si>
    <t>Ambrane Unbreakable 60W / 3A Fast Charging 1.5m Braided Type C to Type C Cable for Smartphones, Tablets, Laptops &amp; Other Type C Devices, PD Technology, 480Mbps Data Sync (RCTT15, Black)</t>
  </si>
  <si>
    <t>â‚¹249</t>
  </si>
  <si>
    <t>B08WRBG3XW</t>
  </si>
  <si>
    <t>B08DPLCM6T</t>
  </si>
  <si>
    <t>LG 80 cm (32 inches) HD Ready Smart LED TV 32LM563BPTC (Dark Iron Gray)</t>
  </si>
  <si>
    <t>â‚¹13,490</t>
  </si>
  <si>
    <t>â‚¹21,990</t>
  </si>
  <si>
    <t>B09C6HXFC1</t>
  </si>
  <si>
    <t>Duracell USB Lightning Apple Certified (Mfi) Braided Sync &amp; Charge Cable For Iphone, Ipad And Ipod. Fast Charging Lightning Cable, 3.9 Feet (1.2M) - Black</t>
  </si>
  <si>
    <t>â‚¹970</t>
  </si>
  <si>
    <t>â‚¹1,799</t>
  </si>
  <si>
    <t>B085194JFL</t>
  </si>
  <si>
    <t>tizum HDMI to VGA Adapter Cable 1080P for Projector, Computer, Laptop, TV, Projectors &amp; TV</t>
  </si>
  <si>
    <t>â‚¹279</t>
  </si>
  <si>
    <t>B09F6S8BT6</t>
  </si>
  <si>
    <t>Samsung 80 cm (32 Inches) Wondertainment Series HD Ready LED Smart TV UA32T4340BKXXL (Glossy Black)</t>
  </si>
  <si>
    <t>â‚¹22,900</t>
  </si>
  <si>
    <t>B09NHVCHS9</t>
  </si>
  <si>
    <t>Flix Micro Usb Cable For Smartphone (Black)</t>
  </si>
  <si>
    <t>â‚¹59</t>
  </si>
  <si>
    <t>B0B1YVCJ2Y</t>
  </si>
  <si>
    <t>Acer 80 cm (32 inches) I Series HD Ready Android Smart LED TV AR32AR2841HDFL (Black)</t>
  </si>
  <si>
    <t>â‚¹11,499</t>
  </si>
  <si>
    <t>â‚¹19,990</t>
  </si>
  <si>
    <t>B01M4GGIVU</t>
  </si>
  <si>
    <t>Tizum High Speed HDMI Cable with Ethernet | Supports 3D 4K | for All HDMI Devices Laptop Computer Gaming Console TV Set Top Box (1.5 Meter/ 5 Feet)</t>
  </si>
  <si>
    <t>B08B42LWKN</t>
  </si>
  <si>
    <t>OnePlus 80 cm (32 inches) Y Series HD Ready LED Smart Android TV 32Y1 (Black)</t>
  </si>
  <si>
    <t>â‚¹14,999</t>
  </si>
  <si>
    <t>â‚¹19,999</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</si>
  <si>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</si>
  <si>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</si>
  <si>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</si>
  <si>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</si>
  <si>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â‚¹1,999</t>
  </si>
  <si>
    <t>B077Z65HSD</t>
  </si>
  <si>
    <t>boAt A400 USB Type-C to USB-A 2.0 Male Data Cable, 2 Meter (Black)</t>
  </si>
  <si>
    <t>B00NH11PEY</t>
  </si>
  <si>
    <t>AmazonBasics USB 2.0 - A-Male to A-Female Extension Cable for Personal Computer, Printer (Black, 9.8 Feet/3 Meters)</t>
  </si>
  <si>
    <t>â‚¹750</t>
  </si>
  <si>
    <t>B09CMM3VGK</t>
  </si>
  <si>
    <t>Ambrane 60W / 3A Type C Fast Charging Unbreakable 1.5m L Shaped Braided Cable, PD Technology, 480Mbps Data Transfer for Smartphones, Tablet, Laptops &amp; other type c devices (ABLC10, Black)</t>
  </si>
  <si>
    <t>â‚¹179</t>
  </si>
  <si>
    <t>B08QSC1XY8</t>
  </si>
  <si>
    <t>â‚¹389</t>
  </si>
  <si>
    <t>B008FWZGSG</t>
  </si>
  <si>
    <t>Samsung Original Type C to C Cable - 3.28 Feet (1 Meter), White</t>
  </si>
  <si>
    <t>â‚¹599</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</si>
  <si>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</si>
  <si>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</si>
  <si>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</si>
  <si>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</si>
  <si>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â‚¹99</t>
  </si>
  <si>
    <t>â‚¹666.66</t>
  </si>
  <si>
    <t>B07XLCFSSN</t>
  </si>
  <si>
    <t>Amazonbasics Nylon Braided Usb-C To Lightning Cable, Fast Charging Mfi Certified Smartphone, Iphone Charger (6-Foot, Dark Grey)</t>
  </si>
  <si>
    <t>â‚¹1,900</t>
  </si>
  <si>
    <t>B09RZS1NQT</t>
  </si>
  <si>
    <t>Sounce 65W OnePlus Dash Warp Charge Cable, 6.5A Type-C to USB C PD Data Sync Fast Charging Cable Compatible with One Plus 8T/ 9/ 9R/ 9 pro/ 9RT/ 10R/ Nord &amp; for All Type C Devices â€“ Red, 1 Meter</t>
  </si>
  <si>
    <t>B0B3MMYHYW</t>
  </si>
  <si>
    <t>OnePlus 126 cm (50 inches) Y Series 4K Ultra HD Smart Android LED TV 50Y1S Pro (Black)</t>
  </si>
  <si>
    <t>â‚¹32,999</t>
  </si>
  <si>
    <t>â‚¹45,999</t>
  </si>
  <si>
    <t>B09C6HWG18</t>
  </si>
  <si>
    <t>Duracell Type C To Type C 5A (100W) Braided Sync &amp; Fast Charging Cable, 3.9 Feet (1.2M). USB C to C Cable, Supports PD &amp; QC 3.0 Charging, 5 GBPS Data Transmission â€“ Black</t>
  </si>
  <si>
    <t>B00NH11KIK</t>
  </si>
  <si>
    <t>AmazonBasics USB 2.0 Cable - A-Male to B-Male - for Personal Computer, Printer- 6 Feet (1.8 Meters), Black</t>
  </si>
  <si>
    <t>â‚¹209</t>
  </si>
  <si>
    <t>â‚¹695</t>
  </si>
  <si>
    <t>B09JPC82QC</t>
  </si>
  <si>
    <t>Mi 108 cm (43 inches) Full HD Android LED TV 4C | L43M6-INC (Black)</t>
  </si>
  <si>
    <t>â‚¹34,999</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</si>
  <si>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</si>
  <si>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</si>
  <si>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</si>
  <si>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</si>
  <si>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â‚¹1,599</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</si>
  <si>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</si>
  <si>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</si>
  <si>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</si>
  <si>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</si>
  <si>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â‚¹333</t>
  </si>
  <si>
    <t>B002PD61Y4</t>
  </si>
  <si>
    <t>D-Link DWA-131 300 Mbps Wireless Nano USB Adapter (Black)</t>
  </si>
  <si>
    <t>â‚¹507</t>
  </si>
  <si>
    <t>â‚¹1,208</t>
  </si>
  <si>
    <t>B014I8SSD0</t>
  </si>
  <si>
    <t>Amazon Basics High-Speed HDMI Cable, 6 Feet - Supports Ethernet, 3D, 4K video,Black</t>
  </si>
  <si>
    <t>â‚¹309</t>
  </si>
  <si>
    <t>â‚¹475</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</si>
  <si>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</si>
  <si>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</si>
  <si>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</si>
  <si>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LOOKUP FUNCTIONS</t>
  </si>
  <si>
    <t>VLOOKUP#</t>
  </si>
  <si>
    <t xml:space="preserve">Ambrane Unbreakable 60W / 3A </t>
  </si>
  <si>
    <t>Computers&amp;Accessories</t>
  </si>
  <si>
    <t>HLOOKUP#</t>
  </si>
  <si>
    <t>MATCH#</t>
  </si>
  <si>
    <t>INDEX#</t>
  </si>
  <si>
    <t>boAt Deuce USB 300 2 in 1 Type-C</t>
  </si>
  <si>
    <t>Accessories&amp;Peripherals</t>
  </si>
  <si>
    <t>INDEX + MATCH</t>
  </si>
  <si>
    <t>boAt Type C A325 Tangle-free</t>
  </si>
  <si>
    <t xml:space="preserve">Zoul USB C 60W Fast Charging 3A </t>
  </si>
  <si>
    <t>XLOOKUP#</t>
  </si>
  <si>
    <t>#IF</t>
  </si>
  <si>
    <t>#AND</t>
  </si>
  <si>
    <t>LOGICAL &amp; ERROR FUNCTIONS</t>
  </si>
  <si>
    <t>#OR</t>
  </si>
  <si>
    <t>#NOT</t>
  </si>
  <si>
    <t>#AND + IF</t>
  </si>
  <si>
    <t>#OR+IF</t>
  </si>
  <si>
    <t>ISERROR#</t>
  </si>
  <si>
    <t>ISNUMBER#</t>
  </si>
  <si>
    <t>ISBLANK#</t>
  </si>
  <si>
    <t>IFERROR#</t>
  </si>
  <si>
    <t>S.NO</t>
  </si>
  <si>
    <t>ID</t>
  </si>
  <si>
    <t>DISCOUNT</t>
  </si>
  <si>
    <t>COUNT</t>
  </si>
  <si>
    <t>LOSS</t>
  </si>
  <si>
    <t>PROFIT</t>
  </si>
  <si>
    <t>Column1</t>
  </si>
  <si>
    <t>FORMATTING</t>
  </si>
  <si>
    <t>ORDERNUMBER</t>
  </si>
  <si>
    <t>PRICEEACH</t>
  </si>
  <si>
    <t>ORDERLINENUMBER</t>
  </si>
  <si>
    <t>SALES</t>
  </si>
  <si>
    <t>ORDERDATE</t>
  </si>
  <si>
    <t>STATUS</t>
  </si>
  <si>
    <t>2/24/2003 0:00</t>
  </si>
  <si>
    <t>Shipped</t>
  </si>
  <si>
    <t>2/24/2003 0:01</t>
  </si>
  <si>
    <t>2/24/2003 0:02</t>
  </si>
  <si>
    <t>2/24/2003 0:03</t>
  </si>
  <si>
    <t>2/24/2003 0:04</t>
  </si>
  <si>
    <t>2/24/2003 0:05</t>
  </si>
  <si>
    <t>11/18/2003 0:00</t>
  </si>
  <si>
    <t>1/15/2004 0:00</t>
  </si>
  <si>
    <t>2/20/2004 0:00</t>
  </si>
  <si>
    <t>5/18/2004 0:00</t>
  </si>
  <si>
    <t>6/28/2004 0:00</t>
  </si>
  <si>
    <t>7/23/2004 0:00</t>
  </si>
  <si>
    <t>8/27/2004 0:00</t>
  </si>
  <si>
    <t>9/30/2004 0:00</t>
  </si>
  <si>
    <t>10/15/2004 0:00</t>
  </si>
  <si>
    <t>11/15/2004 0:00</t>
  </si>
  <si>
    <t>11/24/2004 0:00</t>
  </si>
  <si>
    <t>12/17/2004 0:00</t>
  </si>
  <si>
    <t>5/13/2005 0:00</t>
  </si>
  <si>
    <t>Disputed</t>
  </si>
  <si>
    <t>1/29/2003 0:00</t>
  </si>
  <si>
    <t>3/24/2003 0:00</t>
  </si>
  <si>
    <t>5/28/2003 0:00</t>
  </si>
  <si>
    <t>ORDERNUMBER2</t>
  </si>
  <si>
    <t xml:space="preserve"> </t>
  </si>
  <si>
    <t>Date</t>
  </si>
  <si>
    <t>Weekly_Sales</t>
  </si>
  <si>
    <t>Holiday_Flag</t>
  </si>
  <si>
    <t>Temperature</t>
  </si>
  <si>
    <t>Fuel_Price</t>
  </si>
  <si>
    <t>CPI</t>
  </si>
  <si>
    <t>Unemployment</t>
  </si>
  <si>
    <t>Store</t>
  </si>
  <si>
    <t>STATISTICAL ANALYSIS</t>
  </si>
  <si>
    <t>CORRELATION#</t>
  </si>
  <si>
    <t>Mean</t>
  </si>
  <si>
    <t>Standard Error</t>
  </si>
  <si>
    <t>Median</t>
  </si>
  <si>
    <t>Mode</t>
  </si>
  <si>
    <t>Standard Deviation</t>
  </si>
  <si>
    <t>Sample Variance</t>
  </si>
  <si>
    <t>Kurtosis</t>
  </si>
  <si>
    <t>Skewness</t>
  </si>
  <si>
    <t>Range</t>
  </si>
  <si>
    <t>Minimum</t>
  </si>
  <si>
    <t>Maximum</t>
  </si>
  <si>
    <t>Sum</t>
  </si>
  <si>
    <t>Count</t>
  </si>
  <si>
    <t>DESCRIPTIVE STATISTICS#</t>
  </si>
  <si>
    <t>Bin</t>
  </si>
  <si>
    <t>More</t>
  </si>
  <si>
    <t>Frequency</t>
  </si>
  <si>
    <t>HISTOGRAM#</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</si>
  <si>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</si>
  <si>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</si>
  <si>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</si>
  <si>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</si>
  <si>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</si>
  <si>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</si>
  <si>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</si>
  <si>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</si>
  <si>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</si>
  <si>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</si>
  <si>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</si>
  <si>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</si>
  <si>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</si>
  <si>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</si>
  <si>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</si>
  <si>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</si>
  <si>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</si>
  <si>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</si>
  <si>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</si>
  <si>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</si>
  <si>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</si>
  <si>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</si>
  <si>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</si>
  <si>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</si>
  <si>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REGRESSION#</t>
  </si>
  <si>
    <t>MOVING AVERAGE</t>
  </si>
  <si>
    <t>z-Test: Two Sample for Means</t>
  </si>
  <si>
    <t>Variable 1</t>
  </si>
  <si>
    <t>Variable 2</t>
  </si>
  <si>
    <t>Known Variance</t>
  </si>
  <si>
    <t>Hypothesized Mean Difference</t>
  </si>
  <si>
    <t>z</t>
  </si>
  <si>
    <t>P(Z&lt;=z) one-tail</t>
  </si>
  <si>
    <t>z Critical one-tail</t>
  </si>
  <si>
    <t>P(Z&lt;=z) two-tail</t>
  </si>
  <si>
    <t>z Critical two-tail</t>
  </si>
  <si>
    <t>Point</t>
  </si>
  <si>
    <t>Rank</t>
  </si>
  <si>
    <t>Percent</t>
  </si>
  <si>
    <t>RANK AND PERCENTILE</t>
  </si>
  <si>
    <t>Anova: Single Factor</t>
  </si>
  <si>
    <t>SUMMARY</t>
  </si>
  <si>
    <t>Groups</t>
  </si>
  <si>
    <t>Average</t>
  </si>
  <si>
    <t>Variance</t>
  </si>
  <si>
    <t>Source of Variation</t>
  </si>
  <si>
    <t>F crit</t>
  </si>
  <si>
    <t>Between Groups</t>
  </si>
  <si>
    <t>Within Groups</t>
  </si>
  <si>
    <t>SINGLE FACTOR#</t>
  </si>
  <si>
    <t>Column Labels</t>
  </si>
  <si>
    <t>Sum of Weekly_Sales</t>
  </si>
  <si>
    <t>Grand Total</t>
  </si>
  <si>
    <t>Row Labels</t>
  </si>
  <si>
    <t>CITY</t>
  </si>
  <si>
    <t>MALE</t>
  </si>
  <si>
    <t>FEMALE</t>
  </si>
  <si>
    <t>MUMBAI</t>
  </si>
  <si>
    <t>Chennai</t>
  </si>
  <si>
    <t>HYD</t>
  </si>
  <si>
    <t>Chenna</t>
  </si>
  <si>
    <t>Anova: Two-Factor With Replication</t>
  </si>
  <si>
    <t>Sample</t>
  </si>
  <si>
    <t>Columns</t>
  </si>
  <si>
    <t>Interaction</t>
  </si>
  <si>
    <t>Within</t>
  </si>
  <si>
    <t>Banglore</t>
  </si>
  <si>
    <t>Delhi</t>
  </si>
  <si>
    <t>Kolkata</t>
  </si>
  <si>
    <t>Srinagar</t>
  </si>
  <si>
    <t>Amaravati</t>
  </si>
  <si>
    <t>2 FACTOR#</t>
  </si>
  <si>
    <t>Anova: Two-Factor Without Replication</t>
  </si>
  <si>
    <t>Rows</t>
  </si>
  <si>
    <t>Error</t>
  </si>
  <si>
    <t>WITHOUT REPLICATION#</t>
  </si>
  <si>
    <t>Store1 Non-Holiday</t>
  </si>
  <si>
    <t>Store1 Holiday</t>
  </si>
  <si>
    <t>Store2 Non-Holiday</t>
  </si>
  <si>
    <t>Store2 Holiday</t>
  </si>
  <si>
    <t>Non-Holiday</t>
  </si>
  <si>
    <t>Holiday</t>
  </si>
  <si>
    <t>Store1</t>
  </si>
  <si>
    <t>Store2</t>
  </si>
  <si>
    <t>Store3</t>
  </si>
  <si>
    <t>Store4</t>
  </si>
  <si>
    <t>Store5</t>
  </si>
  <si>
    <t>Store6</t>
  </si>
  <si>
    <t>Store7</t>
  </si>
  <si>
    <t>Store8</t>
  </si>
  <si>
    <t>Store9</t>
  </si>
  <si>
    <t>Store10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</si>
</sst>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quot;₹&quot;\ #,##0.00"/>
    <numFmt numFmtId="165" formatCode="&quot;₹&quot;#,##0.00"/>
    <numFmt numFmtId="166" formatCode="0\ &quot;Items&quot;"/>
    <numFmt numFmtId="167" formatCode="[Green]&quot;✓ Shipped&quot;;[Red]&quot;✗ Disputed&quot;"/>
    <numFmt numFmtId="168" formatCode="[Red]&quot;✗ Disputed&quot;"/>
    <numFmt numFmtId="169" formatCode="0.0%"/>
  </numFmts>
  <fonts count="12" x14ac:knownFonts="1">
    <font>
      <sz val="11"/>
      <color theme="1"/>
      <name val="Calibri"/>
      <family val="2"/>
      <scheme val="minor"/>
    </font>
    <font>
      <b/>
      <sz val="11"/>
      <color theme="4"/>
      <name val="Calibri"/>
      <family val="2"/>
      <scheme val="minor"/>
    </font>
    <font>
      <b/>
      <sz val="11"/>
      <color rgb="FFFA7D00"/>
      <name val="Calibri"/>
      <family val="2"/>
      <scheme val="minor"/>
    </font>
    <font>
      <sz val="11"/>
      <color rgb="FF000000"/>
      <name val="Times New Roman"/>
      <family val="1"/>
    </font>
    <font>
      <b/>
      <sz val="11"/>
      <color rgb="FFC34200"/>
      <name val="Calibri"/>
      <family val="2"/>
      <scheme val="minor"/>
    </font>
    <font>
      <b/>
      <sz val="11"/>
      <color theme="1"/>
      <name val="Calibri"/>
      <family val="2"/>
      <scheme val="minor"/>
    </font>
    <font>
      <i/>
      <sz val="11"/>
      <color theme="1"/>
      <name val="Calibri"/>
      <family val="2"/>
      <scheme val="minor"/>
    </font>
    <font>
      <b/>
      <sz val="14"/>
      <color theme="4"/>
      <name val="Calibri"/>
      <family val="2"/>
      <scheme val="minor"/>
    </font>
    <font>
      <b/>
      <sz val="16"/>
      <color theme="4"/>
      <name val="Calibri"/>
      <family val="2"/>
      <scheme val="minor"/>
    </font>
    <font>
      <b/>
      <sz val="18"/>
      <color theme="4"/>
      <name val="Calibri"/>
      <family val="2"/>
      <scheme val="minor"/>
    </font>
    <font>
      <b/>
      <sz val="22"/>
      <color theme="4"/>
      <name val="Calibri"/>
      <family val="2"/>
      <scheme val="minor"/>
    </font>
    <font>
      <i/>
      <sz val="10"/>
      <color theme="1"/>
      <name val="Calibri"/>
      <family val="2"/>
      <scheme val="minor"/>
    </font>
  </fonts>
  <fills count="5">
    <fill>
      <patternFill patternType="none"/>
    </fill>
    <fill>
      <patternFill patternType="gray125"/>
    </fill>
    <fill>
      <patternFill patternType="solid">
        <fgColor rgb="FFFFFF66"/>
        <bgColor indexed="64"/>
      </patternFill>
    </fill>
    <fill>
      <patternFill patternType="solid">
        <fgColor rgb="FF99DF45"/>
        <bgColor indexed="64"/>
      </patternFill>
    </fill>
    <fill>
      <patternFill patternType="solid">
        <fgColor rgb="FFF2F2F2"/>
      </patternFill>
    </fill>
  </fills>
  <borders count="5">
    <border>
      <left/>
      <right/>
      <top/>
      <bottom/>
      <diagonal/>
    </border>
    <border>
      <left style="thin">
        <color rgb="FF7F7F7F"/>
      </left>
      <right style="thin">
        <color rgb="FF7F7F7F"/>
      </right>
      <top style="thin">
        <color rgb="FF7F7F7F"/>
      </top>
      <bottom style="thin">
        <color rgb="FF7F7F7F"/>
      </bottom>
      <diagonal/>
    </border>
    <border>
      <left/>
      <right/>
      <top/>
      <bottom style="medium">
        <color indexed="64"/>
      </bottom>
      <diagonal/>
    </border>
    <border>
      <left/>
      <right/>
      <top style="medium">
        <color indexed="64"/>
      </top>
      <bottom style="thin">
        <color indexed="64"/>
      </bottom>
      <diagonal/>
    </border>
    <border>
      <left/>
      <right/>
      <top/>
      <bottom style="medium">
        <color indexed="18"/>
      </bottom>
      <diagonal/>
    </border>
  </borders>
  <cellStyleXfs count="2">
    <xf numFmtId="0" fontId="0" fillId="0" borderId="0"/>
    <xf numFmtId="0" fontId="2" fillId="4" borderId="1" applyNumberFormat="0" applyAlignment="0" applyProtection="0"/>
  </cellStyleXfs>
  <cellXfs count="36">
    <xf numFmtId="0" fontId="0" fillId="0" borderId="0" xfId="0"/>
    <xf numFmtId="9" fontId="0" fillId="0" borderId="0" xfId="0" applyNumberFormat="1"/>
    <xf numFmtId="3" fontId="0" fillId="0" borderId="0" xfId="0" applyNumberFormat="1"/>
    <xf numFmtId="0" fontId="0" fillId="2" borderId="0" xfId="0" applyFill="1"/>
    <xf numFmtId="0" fontId="0" fillId="3" borderId="0" xfId="0" applyFill="1"/>
    <xf numFmtId="0" fontId="0" fillId="3" borderId="0" xfId="0" applyFill="1" applyAlignment="1">
      <alignment horizontal="center"/>
    </xf>
    <xf numFmtId="0" fontId="1" fillId="0" borderId="0" xfId="0" applyFont="1"/>
    <xf numFmtId="10" fontId="3" fillId="0" borderId="0" xfId="0" applyNumberFormat="1" applyFont="1"/>
    <xf numFmtId="14" fontId="0" fillId="0" borderId="0" xfId="0" applyNumberFormat="1"/>
    <xf numFmtId="2" fontId="0" fillId="0" borderId="0" xfId="0" applyNumberFormat="1"/>
    <xf numFmtId="44"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4" fillId="4" borderId="1" xfId="1" applyFont="1" applyAlignment="1">
      <alignment horizontal="center"/>
    </xf>
    <xf numFmtId="0" fontId="0" fillId="0" borderId="2" xfId="0" applyFill="1" applyBorder="1" applyAlignment="1"/>
    <xf numFmtId="0" fontId="6" fillId="0" borderId="3" xfId="0" applyFont="1" applyFill="1" applyBorder="1" applyAlignment="1">
      <alignment horizontal="center"/>
    </xf>
    <xf numFmtId="0" fontId="8" fillId="0" borderId="0" xfId="0" applyFont="1"/>
    <xf numFmtId="0" fontId="0" fillId="0" borderId="0" xfId="0" applyFill="1" applyBorder="1" applyAlignment="1"/>
    <xf numFmtId="0" fontId="6" fillId="0" borderId="3" xfId="0" applyFont="1" applyFill="1" applyBorder="1" applyAlignment="1">
      <alignment horizontal="centerContinuous"/>
    </xf>
    <xf numFmtId="0" fontId="7" fillId="0" borderId="0" xfId="0" applyFont="1"/>
    <xf numFmtId="0" fontId="10" fillId="0" borderId="0" xfId="0" applyFont="1"/>
    <xf numFmtId="0" fontId="9" fillId="0" borderId="0" xfId="0" applyFont="1"/>
    <xf numFmtId="0" fontId="0" fillId="0" borderId="0" xfId="0" applyNumberFormat="1"/>
    <xf numFmtId="0" fontId="0" fillId="0" borderId="0" xfId="0" applyNumberFormat="1" applyFill="1" applyBorder="1" applyAlignment="1"/>
    <xf numFmtId="10" fontId="0" fillId="0" borderId="0" xfId="0" applyNumberFormat="1" applyFill="1" applyBorder="1" applyAlignment="1"/>
    <xf numFmtId="0" fontId="0" fillId="0" borderId="2" xfId="0" applyNumberFormat="1" applyFill="1" applyBorder="1" applyAlignment="1"/>
    <xf numFmtId="10" fontId="0" fillId="0" borderId="2" xfId="0" applyNumberFormat="1" applyFill="1" applyBorder="1" applyAlignment="1"/>
    <xf numFmtId="0" fontId="0" fillId="0" borderId="0" xfId="0" pivotButton="1"/>
    <xf numFmtId="0" fontId="0" fillId="0" borderId="0" xfId="0" applyAlignment="1">
      <alignment horizontal="left"/>
    </xf>
    <xf numFmtId="0" fontId="11" fillId="0" borderId="4" xfId="0" applyFont="1" applyFill="1" applyBorder="1" applyAlignment="1">
      <alignment horizontal="right"/>
    </xf>
    <xf numFmtId="0" fontId="5" fillId="0" borderId="0" xfId="0" applyFont="1" applyAlignment="1">
      <alignment horizontal="center" vertical="center" wrapText="1"/>
    </xf>
    <xf numFmtId="0" fontId="0" fillId="0" borderId="0" xfId="0" applyAlignment="1">
      <alignment vertical="center" wrapText="1"/>
    </xf>
  </cellXfs>
  <cellStyles count="2">
    <cellStyle name="Calculation" xfId="1" builtinId="22"/>
    <cellStyle name="Normal" xfId="0" builtinId="0"/>
  </cellStyles>
  <dxfs count="29">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dxf>
    <dxf>
      <numFmt numFmtId="167" formatCode="[Green]&quot;✓ Shipped&quot;;[Red]&quot;✗ Disputed&quot;"/>
    </dxf>
    <dxf>
      <numFmt numFmtId="34" formatCode="_ &quot;₹&quot;\ * #,##0.00_ ;_ &quot;₹&quot;\ * \-#,##0.00_ ;_ &quot;₹&quot;\ * &quot;-&quot;??_ ;_ @_ "/>
    </dxf>
    <dxf>
      <numFmt numFmtId="19" formatCode="dd/mm/yyyy"/>
    </dxf>
    <dxf>
      <numFmt numFmtId="165" formatCode="&quot;₹&quot;#,##0.00"/>
    </dxf>
    <dxf>
      <numFmt numFmtId="166" formatCode="0\ &quot;Items&quot;"/>
    </dxf>
    <dxf>
      <numFmt numFmtId="165" formatCode="&quot;₹&quot;#,##0.00"/>
    </dxf>
    <dxf>
      <numFmt numFmtId="0" formatCode="General"/>
    </dxf>
    <dxf>
      <numFmt numFmtId="164" formatCode="&quot;₹&quot;\ #,##0.00"/>
    </dxf>
    <dxf>
      <numFmt numFmtId="169" formatCode="0.0%"/>
    </dxf>
  </dxfs>
  <tableStyles count="1" defaultTableStyle="TableStyleMedium2" defaultPivotStyle="PivotStyleLight16">
    <tableStyle name="Table Style 1" pivot="0" count="0" xr9:uid="{F65864C4-C9F8-4B37-B110-283785EF3D38}"/>
  </tableStyles>
  <colors>
    <mruColors>
      <color rgb="FFFFFF66"/>
      <color rgb="FF99DF45"/>
      <color rgb="FF8BCD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Sheet1!$H$1</c:f>
              <c:strCache>
                <c:ptCount val="1"/>
                <c:pt idx="0">
                  <c:v>rating_count</c:v>
                </c:pt>
              </c:strCache>
            </c:strRef>
          </c:tx>
          <c:spPr>
            <a:ln w="9525" cap="flat" cmpd="sng" algn="ctr">
              <a:solidFill>
                <a:schemeClr val="accent1">
                  <a:alpha val="70000"/>
                </a:schemeClr>
              </a:solid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yVal>
            <c:numRef>
              <c:f>Sheet1!$H$2:$H$50</c:f>
              <c:numCache>
                <c:formatCode>#,##0</c:formatCode>
                <c:ptCount val="49"/>
                <c:pt idx="0">
                  <c:v>24269</c:v>
                </c:pt>
                <c:pt idx="1">
                  <c:v>43994</c:v>
                </c:pt>
                <c:pt idx="2">
                  <c:v>7928</c:v>
                </c:pt>
                <c:pt idx="3">
                  <c:v>94363</c:v>
                </c:pt>
                <c:pt idx="4">
                  <c:v>16905</c:v>
                </c:pt>
                <c:pt idx="5">
                  <c:v>24871</c:v>
                </c:pt>
                <c:pt idx="6">
                  <c:v>15188</c:v>
                </c:pt>
                <c:pt idx="7">
                  <c:v>30411</c:v>
                </c:pt>
                <c:pt idx="8">
                  <c:v>179691</c:v>
                </c:pt>
                <c:pt idx="9">
                  <c:v>43994</c:v>
                </c:pt>
                <c:pt idx="10">
                  <c:v>13391</c:v>
                </c:pt>
                <c:pt idx="11">
                  <c:v>94363</c:v>
                </c:pt>
                <c:pt idx="12">
                  <c:v>426973</c:v>
                </c:pt>
                <c:pt idx="13">
                  <c:v>2262</c:v>
                </c:pt>
                <c:pt idx="14">
                  <c:v>4768</c:v>
                </c:pt>
                <c:pt idx="15">
                  <c:v>18757</c:v>
                </c:pt>
                <c:pt idx="16">
                  <c:v>32840</c:v>
                </c:pt>
                <c:pt idx="17">
                  <c:v>43994</c:v>
                </c:pt>
                <c:pt idx="18">
                  <c:v>13045</c:v>
                </c:pt>
                <c:pt idx="19">
                  <c:v>11976</c:v>
                </c:pt>
                <c:pt idx="20" formatCode="General">
                  <c:v>815</c:v>
                </c:pt>
                <c:pt idx="21">
                  <c:v>10962</c:v>
                </c:pt>
                <c:pt idx="22">
                  <c:v>16299</c:v>
                </c:pt>
                <c:pt idx="23">
                  <c:v>9378</c:v>
                </c:pt>
                <c:pt idx="24">
                  <c:v>4703</c:v>
                </c:pt>
                <c:pt idx="25">
                  <c:v>12153</c:v>
                </c:pt>
                <c:pt idx="26">
                  <c:v>34899</c:v>
                </c:pt>
                <c:pt idx="27">
                  <c:v>2766</c:v>
                </c:pt>
                <c:pt idx="28" formatCode="General">
                  <c:v>184</c:v>
                </c:pt>
                <c:pt idx="29">
                  <c:v>20850</c:v>
                </c:pt>
                <c:pt idx="30">
                  <c:v>74976</c:v>
                </c:pt>
                <c:pt idx="31">
                  <c:v>1934</c:v>
                </c:pt>
                <c:pt idx="32" formatCode="General">
                  <c:v>974</c:v>
                </c:pt>
                <c:pt idx="33" formatCode="General">
                  <c:v>355</c:v>
                </c:pt>
                <c:pt idx="34">
                  <c:v>1075</c:v>
                </c:pt>
                <c:pt idx="35">
                  <c:v>24871</c:v>
                </c:pt>
                <c:pt idx="36">
                  <c:v>13552</c:v>
                </c:pt>
                <c:pt idx="37" formatCode="General">
                  <c:v>576</c:v>
                </c:pt>
                <c:pt idx="38">
                  <c:v>7298</c:v>
                </c:pt>
                <c:pt idx="39" formatCode="General">
                  <c:v>462</c:v>
                </c:pt>
                <c:pt idx="40">
                  <c:v>107687</c:v>
                </c:pt>
                <c:pt idx="41">
                  <c:v>27151</c:v>
                </c:pt>
                <c:pt idx="42">
                  <c:v>24269</c:v>
                </c:pt>
                <c:pt idx="43">
                  <c:v>12093</c:v>
                </c:pt>
                <c:pt idx="44">
                  <c:v>9378</c:v>
                </c:pt>
                <c:pt idx="45">
                  <c:v>9792</c:v>
                </c:pt>
                <c:pt idx="46">
                  <c:v>8131</c:v>
                </c:pt>
                <c:pt idx="47">
                  <c:v>426973</c:v>
                </c:pt>
                <c:pt idx="48" formatCode="General">
                  <c:v>493</c:v>
                </c:pt>
              </c:numCache>
            </c:numRef>
          </c:yVal>
          <c:smooth val="0"/>
          <c:extLst>
            <c:ext xmlns:c16="http://schemas.microsoft.com/office/drawing/2014/chart" uri="{C3380CC4-5D6E-409C-BE32-E72D297353CC}">
              <c16:uniqueId val="{00000000-A990-46BF-88F1-3044C1190456}"/>
            </c:ext>
          </c:extLst>
        </c:ser>
        <c:dLbls>
          <c:showLegendKey val="0"/>
          <c:showVal val="0"/>
          <c:showCatName val="0"/>
          <c:showSerName val="0"/>
          <c:showPercent val="0"/>
          <c:showBubbleSize val="0"/>
        </c:dLbls>
        <c:axId val="1964960640"/>
        <c:axId val="1964969760"/>
      </c:scatterChart>
      <c:valAx>
        <c:axId val="1964960640"/>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64969760"/>
        <c:crosses val="autoZero"/>
        <c:crossBetween val="midCat"/>
      </c:valAx>
      <c:valAx>
        <c:axId val="1964969760"/>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964960640"/>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Sheet1!$F$1</c:f>
              <c:strCache>
                <c:ptCount val="1"/>
                <c:pt idx="0">
                  <c:v>discount_percentage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val>
            <c:numRef>
              <c:f>Sheet1!$F$2:$F$50</c:f>
              <c:numCache>
                <c:formatCode>0%</c:formatCode>
                <c:ptCount val="49"/>
                <c:pt idx="0">
                  <c:v>0.64</c:v>
                </c:pt>
                <c:pt idx="1">
                  <c:v>0.43</c:v>
                </c:pt>
                <c:pt idx="2">
                  <c:v>0.9</c:v>
                </c:pt>
                <c:pt idx="3">
                  <c:v>0.53</c:v>
                </c:pt>
                <c:pt idx="4">
                  <c:v>0.61</c:v>
                </c:pt>
                <c:pt idx="5">
                  <c:v>0.85</c:v>
                </c:pt>
                <c:pt idx="6">
                  <c:v>0.65</c:v>
                </c:pt>
                <c:pt idx="7">
                  <c:v>0.23</c:v>
                </c:pt>
                <c:pt idx="8">
                  <c:v>0.5</c:v>
                </c:pt>
                <c:pt idx="9">
                  <c:v>0.33</c:v>
                </c:pt>
                <c:pt idx="10">
                  <c:v>0.55000000000000004</c:v>
                </c:pt>
                <c:pt idx="11">
                  <c:v>0.63</c:v>
                </c:pt>
                <c:pt idx="12">
                  <c:v>0.69</c:v>
                </c:pt>
                <c:pt idx="13">
                  <c:v>0.61</c:v>
                </c:pt>
                <c:pt idx="14">
                  <c:v>0.6</c:v>
                </c:pt>
                <c:pt idx="15">
                  <c:v>0.13</c:v>
                </c:pt>
                <c:pt idx="16">
                  <c:v>0.44</c:v>
                </c:pt>
                <c:pt idx="17">
                  <c:v>0.38</c:v>
                </c:pt>
                <c:pt idx="18">
                  <c:v>0.6</c:v>
                </c:pt>
                <c:pt idx="19">
                  <c:v>0.39</c:v>
                </c:pt>
                <c:pt idx="20">
                  <c:v>0.46</c:v>
                </c:pt>
                <c:pt idx="21">
                  <c:v>0.44</c:v>
                </c:pt>
                <c:pt idx="22">
                  <c:v>0.41</c:v>
                </c:pt>
                <c:pt idx="23">
                  <c:v>0.7</c:v>
                </c:pt>
                <c:pt idx="24">
                  <c:v>0.42</c:v>
                </c:pt>
                <c:pt idx="25">
                  <c:v>0.72</c:v>
                </c:pt>
                <c:pt idx="26">
                  <c:v>0.25</c:v>
                </c:pt>
                <c:pt idx="27">
                  <c:v>0.25</c:v>
                </c:pt>
                <c:pt idx="28">
                  <c:v>0.51</c:v>
                </c:pt>
                <c:pt idx="29">
                  <c:v>0.7</c:v>
                </c:pt>
                <c:pt idx="30">
                  <c:v>0.73</c:v>
                </c:pt>
                <c:pt idx="31">
                  <c:v>0.64</c:v>
                </c:pt>
                <c:pt idx="32">
                  <c:v>0.65</c:v>
                </c:pt>
                <c:pt idx="33">
                  <c:v>0</c:v>
                </c:pt>
                <c:pt idx="34">
                  <c:v>0.8</c:v>
                </c:pt>
                <c:pt idx="35">
                  <c:v>0.85</c:v>
                </c:pt>
                <c:pt idx="36">
                  <c:v>0.53</c:v>
                </c:pt>
                <c:pt idx="37">
                  <c:v>0.8</c:v>
                </c:pt>
                <c:pt idx="38">
                  <c:v>0.28000000000000003</c:v>
                </c:pt>
                <c:pt idx="39">
                  <c:v>0.51</c:v>
                </c:pt>
                <c:pt idx="40">
                  <c:v>0.7</c:v>
                </c:pt>
                <c:pt idx="41">
                  <c:v>0.43</c:v>
                </c:pt>
                <c:pt idx="42">
                  <c:v>0.64</c:v>
                </c:pt>
                <c:pt idx="43">
                  <c:v>0.38</c:v>
                </c:pt>
                <c:pt idx="44">
                  <c:v>0.7</c:v>
                </c:pt>
                <c:pt idx="45">
                  <c:v>0.67</c:v>
                </c:pt>
                <c:pt idx="46">
                  <c:v>0.57999999999999996</c:v>
                </c:pt>
                <c:pt idx="47">
                  <c:v>0.35</c:v>
                </c:pt>
                <c:pt idx="48">
                  <c:v>0.6</c:v>
                </c:pt>
              </c:numCache>
            </c:numRef>
          </c:val>
          <c:extLst>
            <c:ext xmlns:c16="http://schemas.microsoft.com/office/drawing/2014/chart" uri="{C3380CC4-5D6E-409C-BE32-E72D297353CC}">
              <c16:uniqueId val="{00000000-7424-47AC-A21E-E9AC9809337D}"/>
            </c:ext>
          </c:extLst>
        </c:ser>
        <c:dLbls>
          <c:showLegendKey val="0"/>
          <c:showVal val="0"/>
          <c:showCatName val="0"/>
          <c:showSerName val="0"/>
          <c:showPercent val="0"/>
          <c:showBubbleSize val="0"/>
        </c:dLbls>
        <c:gapWidth val="100"/>
        <c:overlap val="-24"/>
        <c:axId val="1964967840"/>
        <c:axId val="1964968320"/>
      </c:barChart>
      <c:catAx>
        <c:axId val="196496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64968320"/>
        <c:crosses val="autoZero"/>
        <c:auto val="1"/>
        <c:lblAlgn val="ctr"/>
        <c:lblOffset val="100"/>
        <c:noMultiLvlLbl val="0"/>
      </c:catAx>
      <c:valAx>
        <c:axId val="1964968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64967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overlay val="0"/>
    </c:title>
    <c:autoTitleDeleted val="0"/>
    <c:plotArea>
      <c:layout/>
      <c:barChart>
        <c:barDir val="col"/>
        <c:grouping val="clustered"/>
        <c:varyColors val="0"/>
        <c:ser>
          <c:idx val="0"/>
          <c:order val="0"/>
          <c:tx>
            <c:v>Frequency</c:v>
          </c:tx>
          <c:invertIfNegative val="0"/>
          <c:val>
            <c:numRef>
              <c:f>#REF!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#REF!</c15:sqref>
                        </c15:formulaRef>
                      </c:ext>
                    </c:extLst>
                  </c:strRef>
                </c15:cat>
              </c15:filteredCategoryTitle>
            </c:ext>
            <c:ext xmlns:c16="http://schemas.microsoft.com/office/drawing/2014/chart" uri="{C3380CC4-5D6E-409C-BE32-E72D297353CC}">
              <c16:uniqueId val="{00000000-9A70-4122-813C-79AD0F8E5304}"/>
            </c:ext>
          </c:extLst>
        </c:ser>
        <c:dLbls>
          <c:showLegendKey val="0"/>
          <c:showVal val="0"/>
          <c:showCatName val="0"/>
          <c:showSerName val="0"/>
          <c:showPercent val="0"/>
          <c:showBubbleSize val="0"/>
        </c:dLbls>
        <c:gapWidth val="150"/>
        <c:axId val="1236711872"/>
        <c:axId val="1236715712"/>
      </c:barChart>
      <c:catAx>
        <c:axId val="1236711872"/>
        <c:scaling>
          <c:orientation val="minMax"/>
        </c:scaling>
        <c:delete val="0"/>
        <c:axPos val="b"/>
        <c:title>
          <c:tx>
            <c:rich>
              <a:bodyPr/>
              <a:lstStyle/>
              <a:p>
                <a:pPr>
                  <a:defRPr/>
                </a:pPr>
                <a:r>
                  <a:rPr lang="en-IN"/>
                  <a:t>Bin</a:t>
                </a:r>
              </a:p>
            </c:rich>
          </c:tx>
          <c:overlay val="0"/>
        </c:title>
        <c:numFmt formatCode="General" sourceLinked="1"/>
        <c:majorTickMark val="out"/>
        <c:minorTickMark val="none"/>
        <c:tickLblPos val="nextTo"/>
        <c:crossAx val="1236715712"/>
        <c:crosses val="autoZero"/>
        <c:auto val="1"/>
        <c:lblAlgn val="ctr"/>
        <c:lblOffset val="100"/>
        <c:noMultiLvlLbl val="0"/>
      </c:catAx>
      <c:valAx>
        <c:axId val="1236715712"/>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1236711872"/>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133351</xdr:colOff>
      <xdr:row>53</xdr:row>
      <xdr:rowOff>0</xdr:rowOff>
    </xdr:from>
    <xdr:to>
      <xdr:col>4</xdr:col>
      <xdr:colOff>6569</xdr:colOff>
      <xdr:row>67</xdr:row>
      <xdr:rowOff>180975</xdr:rowOff>
    </xdr:to>
    <xdr:graphicFrame macro="">
      <xdr:nvGraphicFramePr>
        <xdr:cNvPr id="3" name="Chart 2">
          <a:extLst>
            <a:ext uri="{FF2B5EF4-FFF2-40B4-BE49-F238E27FC236}">
              <a16:creationId xmlns:a16="http://schemas.microsoft.com/office/drawing/2014/main" id="{2CA16957-41D2-B03D-6592-BBF1F3D2C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243051</xdr:colOff>
      <xdr:row>53</xdr:row>
      <xdr:rowOff>0</xdr:rowOff>
    </xdr:from>
    <xdr:to>
      <xdr:col>9</xdr:col>
      <xdr:colOff>1504950</xdr:colOff>
      <xdr:row>67</xdr:row>
      <xdr:rowOff>177362</xdr:rowOff>
    </xdr:to>
    <xdr:graphicFrame macro="">
      <xdr:nvGraphicFramePr>
        <xdr:cNvPr id="4" name="Chart 3">
          <a:extLst>
            <a:ext uri="{FF2B5EF4-FFF2-40B4-BE49-F238E27FC236}">
              <a16:creationId xmlns:a16="http://schemas.microsoft.com/office/drawing/2014/main" id="{DD4A92B6-905D-DE61-BFE4-95779A235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257174</xdr:colOff>
      <xdr:row>38</xdr:row>
      <xdr:rowOff>0</xdr:rowOff>
    </xdr:from>
    <xdr:to>
      <xdr:col>28</xdr:col>
      <xdr:colOff>19050</xdr:colOff>
      <xdr:row>51</xdr:row>
      <xdr:rowOff>171450</xdr:rowOff>
    </xdr:to>
    <xdr:graphicFrame macro="">
      <xdr:nvGraphicFramePr>
        <xdr:cNvPr id="4" name="Chart 3">
          <a:extLst>
            <a:ext uri="{FF2B5EF4-FFF2-40B4-BE49-F238E27FC236}">
              <a16:creationId xmlns:a16="http://schemas.microsoft.com/office/drawing/2014/main" id="{81B7AE12-C8B2-42B1-A518-69903C059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8.461471759256" createdVersion="8" refreshedVersion="8" minRefreshableVersion="3" recordCount="53" xr:uid="{6C7A517B-6C6E-4515-9CE8-591CCABFE0CC}">
  <cacheSource type="worksheet">
    <worksheetSource name="Table14[[Store]:[Holiday_Flag]]"/>
  </cacheSource>
  <cacheFields count="4">
    <cacheField name="Store" numFmtId="0">
      <sharedItems containsSemiMixedTypes="0" containsString="0" containsNumber="1" containsInteger="1" minValue="1" maxValue="3" count="3">
        <n v="1"/>
        <n v="2"/>
        <n v="3"/>
      </sharedItems>
    </cacheField>
    <cacheField name="Date" numFmtId="14">
      <sharedItems containsSemiMixedTypes="0" containsNonDate="0" containsDate="1" containsString="0" minDate="2010-02-05T00:00:00" maxDate="2010-08-14T00:00:00"/>
    </cacheField>
    <cacheField name="Weekly_Sales" numFmtId="0">
      <sharedItems containsSemiMixedTypes="0" containsString="0" containsNumber="1" minValue="339976.65" maxValue="2124451.54" count="53">
        <n v="1643690.9"/>
        <n v="1641957.44"/>
        <n v="1611968.17"/>
        <n v="1409727.59"/>
        <n v="1554806.68"/>
        <n v="1439541.59"/>
        <n v="1472515.79"/>
        <n v="1404429.92"/>
        <n v="1594968.28"/>
        <n v="1545418.53"/>
        <n v="1466058.28"/>
        <n v="1391256.12"/>
        <n v="1425100.71"/>
        <n v="1603955.12"/>
        <n v="1494251.5"/>
        <n v="1399662.07"/>
        <n v="1432069.95"/>
        <n v="1615524.71"/>
        <n v="1542561.09"/>
        <n v="2124451.54"/>
        <n v="1865097.27"/>
        <n v="1991013.13"/>
        <n v="1990483.78"/>
        <n v="1946070.88"/>
        <n v="1750197.81"/>
        <n v="2066187.72"/>
        <n v="1954689.21"/>
        <n v="1874957.94"/>
        <n v="1821990.93"/>
        <n v="2001636.96"/>
        <n v="1939927.09"/>
        <n v="2003940.64"/>
        <n v="1880902.62"/>
        <n v="1845879.79"/>
        <n v="1781717.71"/>
        <n v="1804246.16"/>
        <n v="1991909.98"/>
        <n v="1895601.05"/>
        <n v="354993.26"/>
        <n v="339976.65"/>
        <n v="361248.39"/>
        <n v="399323.86"/>
        <n v="384357.94"/>
        <n v="343763.17"/>
        <n v="350089.23"/>
        <n v="396968.8"/>
        <n v="355017.09"/>
        <n v="364076.85"/>
        <n v="357346.48"/>
        <n v="381151.72"/>
        <n v="349214.18"/>
        <n v="352728.78"/>
        <n v="352864.49"/>
      </sharedItems>
    </cacheField>
    <cacheField name="Holiday_Flag"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d v="2010-02-05T00:00:00"/>
    <x v="0"/>
    <x v="0"/>
  </r>
  <r>
    <x v="0"/>
    <d v="2010-02-12T00:00:00"/>
    <x v="1"/>
    <x v="1"/>
  </r>
  <r>
    <x v="0"/>
    <d v="2010-02-19T00:00:00"/>
    <x v="2"/>
    <x v="0"/>
  </r>
  <r>
    <x v="0"/>
    <d v="2010-02-26T00:00:00"/>
    <x v="3"/>
    <x v="0"/>
  </r>
  <r>
    <x v="0"/>
    <d v="2010-03-05T00:00:00"/>
    <x v="4"/>
    <x v="0"/>
  </r>
  <r>
    <x v="0"/>
    <d v="2010-03-12T00:00:00"/>
    <x v="5"/>
    <x v="0"/>
  </r>
  <r>
    <x v="0"/>
    <d v="2010-03-19T00:00:00"/>
    <x v="6"/>
    <x v="0"/>
  </r>
  <r>
    <x v="0"/>
    <d v="2010-03-26T00:00:00"/>
    <x v="7"/>
    <x v="0"/>
  </r>
  <r>
    <x v="0"/>
    <d v="2010-04-02T00:00:00"/>
    <x v="8"/>
    <x v="0"/>
  </r>
  <r>
    <x v="0"/>
    <d v="2010-04-09T00:00:00"/>
    <x v="9"/>
    <x v="0"/>
  </r>
  <r>
    <x v="0"/>
    <d v="2010-04-16T00:00:00"/>
    <x v="10"/>
    <x v="0"/>
  </r>
  <r>
    <x v="0"/>
    <d v="2010-04-23T00:00:00"/>
    <x v="11"/>
    <x v="0"/>
  </r>
  <r>
    <x v="0"/>
    <d v="2010-04-30T00:00:00"/>
    <x v="12"/>
    <x v="0"/>
  </r>
  <r>
    <x v="0"/>
    <d v="2010-05-07T00:00:00"/>
    <x v="13"/>
    <x v="0"/>
  </r>
  <r>
    <x v="0"/>
    <d v="2010-05-14T00:00:00"/>
    <x v="14"/>
    <x v="0"/>
  </r>
  <r>
    <x v="0"/>
    <d v="2010-05-21T00:00:00"/>
    <x v="15"/>
    <x v="0"/>
  </r>
  <r>
    <x v="0"/>
    <d v="2010-05-28T00:00:00"/>
    <x v="16"/>
    <x v="0"/>
  </r>
  <r>
    <x v="0"/>
    <d v="2010-06-04T00:00:00"/>
    <x v="17"/>
    <x v="0"/>
  </r>
  <r>
    <x v="0"/>
    <d v="2010-06-11T00:00:00"/>
    <x v="18"/>
    <x v="0"/>
  </r>
  <r>
    <x v="1"/>
    <d v="2010-02-19T00:00:00"/>
    <x v="19"/>
    <x v="0"/>
  </r>
  <r>
    <x v="1"/>
    <d v="2010-02-26T00:00:00"/>
    <x v="20"/>
    <x v="0"/>
  </r>
  <r>
    <x v="1"/>
    <d v="2010-03-05T00:00:00"/>
    <x v="21"/>
    <x v="0"/>
  </r>
  <r>
    <x v="1"/>
    <d v="2010-03-12T00:00:00"/>
    <x v="22"/>
    <x v="0"/>
  </r>
  <r>
    <x v="1"/>
    <d v="2010-03-19T00:00:00"/>
    <x v="23"/>
    <x v="0"/>
  </r>
  <r>
    <x v="1"/>
    <d v="2010-03-26T00:00:00"/>
    <x v="24"/>
    <x v="0"/>
  </r>
  <r>
    <x v="1"/>
    <d v="2010-04-02T00:00:00"/>
    <x v="25"/>
    <x v="0"/>
  </r>
  <r>
    <x v="1"/>
    <d v="2010-04-09T00:00:00"/>
    <x v="26"/>
    <x v="0"/>
  </r>
  <r>
    <x v="1"/>
    <d v="2010-04-16T00:00:00"/>
    <x v="27"/>
    <x v="0"/>
  </r>
  <r>
    <x v="1"/>
    <d v="2010-04-23T00:00:00"/>
    <x v="28"/>
    <x v="0"/>
  </r>
  <r>
    <x v="1"/>
    <d v="2010-06-18T00:00:00"/>
    <x v="29"/>
    <x v="0"/>
  </r>
  <r>
    <x v="1"/>
    <d v="2010-06-25T00:00:00"/>
    <x v="30"/>
    <x v="0"/>
  </r>
  <r>
    <x v="1"/>
    <d v="2010-07-02T00:00:00"/>
    <x v="31"/>
    <x v="0"/>
  </r>
  <r>
    <x v="1"/>
    <d v="2010-07-09T00:00:00"/>
    <x v="32"/>
    <x v="0"/>
  </r>
  <r>
    <x v="1"/>
    <d v="2010-07-16T00:00:00"/>
    <x v="33"/>
    <x v="0"/>
  </r>
  <r>
    <x v="1"/>
    <d v="2010-07-23T00:00:00"/>
    <x v="34"/>
    <x v="0"/>
  </r>
  <r>
    <x v="1"/>
    <d v="2010-07-30T00:00:00"/>
    <x v="35"/>
    <x v="0"/>
  </r>
  <r>
    <x v="1"/>
    <d v="2010-08-06T00:00:00"/>
    <x v="36"/>
    <x v="0"/>
  </r>
  <r>
    <x v="1"/>
    <d v="2010-08-13T00:00:00"/>
    <x v="37"/>
    <x v="0"/>
  </r>
  <r>
    <x v="2"/>
    <d v="2010-04-16T00:00:00"/>
    <x v="38"/>
    <x v="0"/>
  </r>
  <r>
    <x v="2"/>
    <d v="2010-04-23T00:00:00"/>
    <x v="39"/>
    <x v="0"/>
  </r>
  <r>
    <x v="2"/>
    <d v="2010-04-30T00:00:00"/>
    <x v="40"/>
    <x v="0"/>
  </r>
  <r>
    <x v="2"/>
    <d v="2010-05-07T00:00:00"/>
    <x v="41"/>
    <x v="0"/>
  </r>
  <r>
    <x v="2"/>
    <d v="2010-05-14T00:00:00"/>
    <x v="42"/>
    <x v="0"/>
  </r>
  <r>
    <x v="2"/>
    <d v="2010-05-21T00:00:00"/>
    <x v="43"/>
    <x v="0"/>
  </r>
  <r>
    <x v="2"/>
    <d v="2010-05-28T00:00:00"/>
    <x v="44"/>
    <x v="0"/>
  </r>
  <r>
    <x v="2"/>
    <d v="2010-06-04T00:00:00"/>
    <x v="45"/>
    <x v="0"/>
  </r>
  <r>
    <x v="2"/>
    <d v="2010-06-11T00:00:00"/>
    <x v="46"/>
    <x v="0"/>
  </r>
  <r>
    <x v="2"/>
    <d v="2010-06-18T00:00:00"/>
    <x v="47"/>
    <x v="0"/>
  </r>
  <r>
    <x v="2"/>
    <d v="2010-06-25T00:00:00"/>
    <x v="48"/>
    <x v="0"/>
  </r>
  <r>
    <x v="2"/>
    <d v="2010-07-02T00:00:00"/>
    <x v="49"/>
    <x v="0"/>
  </r>
  <r>
    <x v="2"/>
    <d v="2010-07-09T00:00:00"/>
    <x v="50"/>
    <x v="0"/>
  </r>
  <r>
    <x v="2"/>
    <d v="2010-07-16T00:00:00"/>
    <x v="51"/>
    <x v="0"/>
  </r>
  <r>
    <x v="2"/>
    <d v="2010-07-23T00:00:00"/>
    <x v="5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3BCB00-468C-4703-9213-794496DFEDD2}" name="PivotTable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60:R65" firstHeaderRow="1" firstDataRow="2" firstDataCol="1"/>
  <pivotFields count="4">
    <pivotField axis="axisRow" showAll="0">
      <items count="4">
        <item x="0"/>
        <item x="1"/>
        <item x="2"/>
        <item t="default"/>
      </items>
    </pivotField>
    <pivotField numFmtId="14" showAll="0"/>
    <pivotField dataField="1" showAll="0">
      <items count="54">
        <item x="39"/>
        <item x="43"/>
        <item x="50"/>
        <item x="44"/>
        <item x="51"/>
        <item x="52"/>
        <item x="38"/>
        <item x="46"/>
        <item x="48"/>
        <item x="40"/>
        <item x="47"/>
        <item x="49"/>
        <item x="42"/>
        <item x="45"/>
        <item x="41"/>
        <item x="11"/>
        <item x="15"/>
        <item x="7"/>
        <item x="3"/>
        <item x="12"/>
        <item x="16"/>
        <item x="5"/>
        <item x="10"/>
        <item x="6"/>
        <item x="14"/>
        <item x="18"/>
        <item x="9"/>
        <item x="4"/>
        <item x="8"/>
        <item x="13"/>
        <item x="2"/>
        <item x="17"/>
        <item x="1"/>
        <item x="0"/>
        <item x="24"/>
        <item x="34"/>
        <item x="35"/>
        <item x="28"/>
        <item x="33"/>
        <item x="20"/>
        <item x="27"/>
        <item x="32"/>
        <item x="37"/>
        <item x="30"/>
        <item x="23"/>
        <item x="26"/>
        <item x="22"/>
        <item x="21"/>
        <item x="36"/>
        <item x="29"/>
        <item x="31"/>
        <item x="25"/>
        <item x="19"/>
        <item t="default"/>
      </items>
    </pivotField>
    <pivotField axis="axisCol" showAll="0">
      <items count="3">
        <item x="0"/>
        <item x="1"/>
        <item t="default"/>
      </items>
    </pivotField>
  </pivotFields>
  <rowFields count="1">
    <field x="0"/>
  </rowFields>
  <rowItems count="4">
    <i>
      <x/>
    </i>
    <i>
      <x v="1"/>
    </i>
    <i>
      <x v="2"/>
    </i>
    <i t="grand">
      <x/>
    </i>
  </rowItems>
  <colFields count="1">
    <field x="3"/>
  </colFields>
  <colItems count="3">
    <i>
      <x/>
    </i>
    <i>
      <x v="1"/>
    </i>
    <i t="grand">
      <x/>
    </i>
  </colItems>
  <dataFields count="1">
    <dataField name="Sum of Weekly_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304B65-2C21-4CBB-BF11-A0FD28945A2B}" name="Table1" displayName="Table1" ref="R4:W12" headerRowCount="0" totalsRowShown="0">
  <tableColumns count="6">
    <tableColumn id="1" xr3:uid="{6B461010-C316-4716-BED2-E9036C272B58}" name="Column1"/>
    <tableColumn id="2" xr3:uid="{60661F4C-77AE-4A0A-A0D6-95F28E39E95C}" name="Column2"/>
    <tableColumn id="3" xr3:uid="{DEC7EEAE-65F2-421C-B679-E71F523627D5}" name="Column3" dataDxfId="28"/>
    <tableColumn id="4" xr3:uid="{6F08A5A5-ECA3-4FBE-8422-7E1752885579}" name="Column4"/>
    <tableColumn id="5" xr3:uid="{C72D90A4-EB6A-48C7-82A1-5ABAFEDE1DFA}" name="Column5"/>
    <tableColumn id="6" xr3:uid="{D0DF15F6-0332-4B73-9330-51B463AF4C09}" name="Column6" dataDxfId="27"/>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38203C-558D-47EC-92BD-CEFDD66B7F9D}" name="Table2" displayName="Table2" ref="R14:Y43" totalsRowShown="0">
  <autoFilter ref="R14:Y43" xr:uid="{AC38203C-558D-47EC-92BD-CEFDD66B7F9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BC523DD-D5E6-4346-BCBE-ABFC01FFCAE1}" name="ORDERNUMBER"/>
    <tableColumn id="2" xr3:uid="{043E30F1-2E9E-4AA7-8FEA-5D45609F25E9}" name="ORDERNUMBER2" dataDxfId="26"/>
    <tableColumn id="3" xr3:uid="{FD2D2AD1-D65F-41E6-A940-747CC75E3C44}" name="PRICEEACH" dataDxfId="25"/>
    <tableColumn id="4" xr3:uid="{F1ECADA7-2F40-490C-9EBB-898CF370AB31}" name="ORDERLINENUMBER" dataDxfId="24"/>
    <tableColumn id="5" xr3:uid="{3AAE5627-2EFF-4A60-808D-DBD84AD9674C}" name="SALES" dataDxfId="23"/>
    <tableColumn id="6" xr3:uid="{E2CE823F-FAAA-4EB7-8B9F-8B6D4C727145}" name="ORDERDATE" dataDxfId="22"/>
    <tableColumn id="7" xr3:uid="{12C45AA7-578A-4244-AF3B-83E418AFE27A}" name="STATUS" dataDxfId="21"/>
    <tableColumn id="8" xr3:uid="{0ED13A6B-B6D3-412B-901B-FB72B322CC60}" name="Column1" dataDxfId="20">
      <calculatedColumnFormula>IF(Table2[[#This Row],[STATUS]]="Shipped",1,0)</calculatedColumnFormula>
    </tableColumn>
  </tableColumns>
  <tableStyleInfo name="TableStyleDark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D07AC2-9CDA-4698-BC75-0D55F588229F}" name="Table14" displayName="Table14" ref="J1:R54" totalsRowShown="0">
  <autoFilter ref="J1:R54" xr:uid="{DDD07AC2-9CDA-4698-BC75-0D55F588229F}"/>
  <tableColumns count="9">
    <tableColumn id="1" xr3:uid="{FBA195AF-C266-41C7-B39B-E029F381FC1A}" name="Store"/>
    <tableColumn id="2" xr3:uid="{1FB0F631-E803-4368-A76E-7FB67FCD9F66}" name="Date" dataDxfId="19"/>
    <tableColumn id="3" xr3:uid="{2E463363-65DE-4B45-B499-5A44A3DACB48}" name="Weekly_Sales"/>
    <tableColumn id="4" xr3:uid="{D0BA4E2B-18F8-4EA1-9FF4-8C9D5B792280}" name="Holiday_Flag"/>
    <tableColumn id="5" xr3:uid="{3F3C2CDF-3798-4543-923F-4D5470D31DFE}" name="Temperature"/>
    <tableColumn id="6" xr3:uid="{10DD5148-8C49-4481-8E4B-C7D784D3C628}" name="Fuel_Price"/>
    <tableColumn id="7" xr3:uid="{3B05E800-8F05-4F2C-A9E0-BC82E1215DBA}" name="CPI"/>
    <tableColumn id="8" xr3:uid="{5A784536-2E77-4FF9-AFDF-FEF17D446AEA}" name="Unemployment"/>
    <tableColumn id="9" xr3:uid="{6C114352-5D57-43E6-A78C-DCA5DAB29D01}" name="MOVING AVERAGE"/>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B7BD15-747B-435C-A4B6-40BD8BC6F03C}" name="Table4" displayName="Table4" ref="Z57:AB65" totalsRowShown="0">
  <autoFilter ref="Z57:AB65" xr:uid="{84B7BD15-747B-435C-A4B6-40BD8BC6F03C}">
    <filterColumn colId="0" hiddenButton="1"/>
    <filterColumn colId="1" hiddenButton="1"/>
    <filterColumn colId="2" hiddenButton="1"/>
  </autoFilter>
  <tableColumns count="3">
    <tableColumn id="1" xr3:uid="{33263471-D0A0-4352-BAF5-2D9E6921EC6C}" name="CITY"/>
    <tableColumn id="2" xr3:uid="{11AFB0C8-DF9D-4F12-981D-32592ECBFB47}" name="MALE"/>
    <tableColumn id="3" xr3:uid="{06EB4B70-10CE-440C-A725-B130F36028F0}" name="FEMALE"/>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5657A9-95DF-4C2D-92DC-62A4BACF7BEB}" name="Table5" displayName="Table5" ref="U57:W63" totalsRowShown="0">
  <autoFilter ref="U57:W63" xr:uid="{275657A9-95DF-4C2D-92DC-62A4BACF7BEB}">
    <filterColumn colId="0" hiddenButton="1"/>
    <filterColumn colId="1" hiddenButton="1"/>
    <filterColumn colId="2" hiddenButton="1"/>
  </autoFilter>
  <tableColumns count="3">
    <tableColumn id="1" xr3:uid="{389E0F48-325F-490F-86E6-F1C901A9C43F}" name="CITY"/>
    <tableColumn id="2" xr3:uid="{1C1D7A86-A9FE-41BA-B5C2-AE644C27AB6A}" name="MALE"/>
    <tableColumn id="3" xr3:uid="{26121E72-3A64-4113-AD10-BDB6A0719597}" name="FEMALE"/>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35E6EC-2313-4FBA-8C45-AF5E026DDCFC}" name="Table7" displayName="Table7" ref="J89:M99" totalsRowShown="0" headerRowDxfId="5" dataDxfId="6">
  <autoFilter ref="J89:M99" xr:uid="{8335E6EC-2313-4FBA-8C45-AF5E026DDCFC}">
    <filterColumn colId="0" hiddenButton="1"/>
    <filterColumn colId="1" hiddenButton="1"/>
    <filterColumn colId="2" hiddenButton="1"/>
    <filterColumn colId="3" hiddenButton="1"/>
  </autoFilter>
  <tableColumns count="4">
    <tableColumn id="1" xr3:uid="{46A54D18-598B-45CF-914C-9BB31B825F32}" name="Store1 Non-Holiday" dataDxfId="10"/>
    <tableColumn id="2" xr3:uid="{3B7DB685-F025-40B2-8734-2053F6AF102D}" name="Store1 Holiday" dataDxfId="9"/>
    <tableColumn id="3" xr3:uid="{82DC9D09-9260-456A-8C34-4A958A63BD8B}" name="Store2 Non-Holiday" dataDxfId="8"/>
    <tableColumn id="4" xr3:uid="{48DDA310-26C9-4C01-9978-9CF00B5BD599}" name="Store2 Holiday" dataDxfId="7"/>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006DB61-4684-4F2C-A9FB-F4C549731B60}" name="Table8" displayName="Table8" ref="Q89:S99" totalsRowShown="0" headerRowDxfId="0" dataDxfId="1">
  <autoFilter ref="Q89:S99" xr:uid="{2006DB61-4684-4F2C-A9FB-F4C549731B60}">
    <filterColumn colId="0" hiddenButton="1"/>
    <filterColumn colId="1" hiddenButton="1"/>
    <filterColumn colId="2" hiddenButton="1"/>
  </autoFilter>
  <tableColumns count="3">
    <tableColumn id="1" xr3:uid="{2E8ACB7F-0093-48C3-92B9-947D661DD5DC}" name="Column1" dataDxfId="4"/>
    <tableColumn id="2" xr3:uid="{4B240B00-CDC4-4E75-B49B-3A28C72E66C4}" name="Non-Holiday" dataDxfId="3"/>
    <tableColumn id="3" xr3:uid="{30B0FC72-15F0-470B-9FA3-64969495FA58}" name="Holiday"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drawing" Target="../drawings/drawing2.xml"/><Relationship Id="rId7" Type="http://schemas.openxmlformats.org/officeDocument/2006/relationships/table" Target="../tables/table6.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DB1FC-1B61-4284-973C-0159A399E8FF}">
  <dimension ref="A1:Y50"/>
  <sheetViews>
    <sheetView topLeftCell="G1" zoomScaleNormal="100" workbookViewId="0">
      <selection activeCell="N2" sqref="N2"/>
    </sheetView>
  </sheetViews>
  <sheetFormatPr defaultRowHeight="15" x14ac:dyDescent="0.25"/>
  <cols>
    <col min="1" max="1" width="14.28515625" customWidth="1"/>
    <col min="2" max="2" width="28.28515625" customWidth="1"/>
    <col min="3" max="3" width="17.85546875" customWidth="1"/>
    <col min="6" max="6" width="11.28515625" customWidth="1"/>
    <col min="8" max="8" width="11.85546875" customWidth="1"/>
    <col min="10" max="10" width="29.85546875" customWidth="1"/>
    <col min="12" max="12" width="16.5703125" customWidth="1"/>
    <col min="13" max="13" width="14.28515625" customWidth="1"/>
    <col min="14" max="14" width="11.42578125" customWidth="1"/>
    <col min="15" max="15" width="11.5703125" customWidth="1"/>
    <col min="17" max="17" width="12.140625" customWidth="1"/>
    <col min="18" max="18" width="17.140625" customWidth="1"/>
    <col min="19" max="19" width="18.140625" customWidth="1"/>
    <col min="20" max="20" width="12.85546875" customWidth="1"/>
    <col min="21" max="21" width="21" customWidth="1"/>
    <col min="22" max="22" width="11" customWidth="1"/>
    <col min="23" max="23" width="14.85546875" customWidth="1"/>
    <col min="24" max="24" width="9.85546875" customWidth="1"/>
    <col min="25" max="25" width="11.140625" bestFit="1" customWidth="1"/>
  </cols>
  <sheetData>
    <row r="1" spans="1:25" x14ac:dyDescent="0.25">
      <c r="A1" t="s">
        <v>0</v>
      </c>
      <c r="B1" t="s">
        <v>1</v>
      </c>
      <c r="C1" t="s">
        <v>2</v>
      </c>
      <c r="D1" t="s">
        <v>3</v>
      </c>
      <c r="E1" t="s">
        <v>4</v>
      </c>
      <c r="F1" t="s">
        <v>5</v>
      </c>
      <c r="G1" t="s">
        <v>6</v>
      </c>
      <c r="H1" t="s">
        <v>7</v>
      </c>
      <c r="J1" s="6" t="s">
        <v>162</v>
      </c>
      <c r="L1" s="6" t="s">
        <v>177</v>
      </c>
      <c r="N1" s="6"/>
    </row>
    <row r="2" spans="1:25" x14ac:dyDescent="0.25">
      <c r="A2" t="s">
        <v>8</v>
      </c>
      <c r="B2" t="s">
        <v>9</v>
      </c>
      <c r="C2" t="s">
        <v>10</v>
      </c>
      <c r="D2" t="s">
        <v>11</v>
      </c>
      <c r="E2" t="s">
        <v>12</v>
      </c>
      <c r="F2" s="1">
        <v>0.64</v>
      </c>
      <c r="G2">
        <v>4.2</v>
      </c>
      <c r="H2" s="2">
        <v>24269</v>
      </c>
    </row>
    <row r="3" spans="1:25" x14ac:dyDescent="0.25">
      <c r="A3" t="s">
        <v>13</v>
      </c>
      <c r="B3" t="s">
        <v>164</v>
      </c>
      <c r="C3" t="s">
        <v>10</v>
      </c>
      <c r="D3" t="s">
        <v>14</v>
      </c>
      <c r="E3" t="s">
        <v>15</v>
      </c>
      <c r="F3" s="1">
        <v>0.43</v>
      </c>
      <c r="G3">
        <v>4</v>
      </c>
      <c r="H3" s="2">
        <v>43994</v>
      </c>
      <c r="J3" t="s">
        <v>163</v>
      </c>
      <c r="L3" t="s">
        <v>175</v>
      </c>
      <c r="R3" s="17" t="s">
        <v>193</v>
      </c>
      <c r="S3" s="17"/>
      <c r="T3" s="17"/>
      <c r="U3" s="17"/>
      <c r="V3" s="17"/>
      <c r="W3" s="17"/>
    </row>
    <row r="4" spans="1:25" x14ac:dyDescent="0.25">
      <c r="A4" t="s">
        <v>16</v>
      </c>
      <c r="B4" t="s">
        <v>17</v>
      </c>
      <c r="C4" t="s">
        <v>10</v>
      </c>
      <c r="D4" t="s">
        <v>14</v>
      </c>
      <c r="E4" t="s">
        <v>18</v>
      </c>
      <c r="F4" s="1">
        <v>0.9</v>
      </c>
      <c r="G4">
        <v>3.9</v>
      </c>
      <c r="H4" s="2">
        <v>7928</v>
      </c>
      <c r="J4" s="4" t="str">
        <f>VLOOKUP("B098NS6PVG",A:H,2,FALSE)</f>
        <v xml:space="preserve">Ambrane Unbreakable 60W / 3A </v>
      </c>
      <c r="L4" s="3" t="str">
        <f>IF(G2&gt;=5,"Good","Average")</f>
        <v>Average</v>
      </c>
      <c r="Q4" s="1"/>
      <c r="R4" t="s">
        <v>186</v>
      </c>
      <c r="S4" t="s">
        <v>187</v>
      </c>
      <c r="T4" s="16" t="s">
        <v>188</v>
      </c>
      <c r="U4" t="s">
        <v>189</v>
      </c>
      <c r="V4" t="s">
        <v>190</v>
      </c>
      <c r="W4" s="11" t="s">
        <v>191</v>
      </c>
    </row>
    <row r="5" spans="1:25" x14ac:dyDescent="0.25">
      <c r="A5" t="s">
        <v>19</v>
      </c>
      <c r="B5" t="s">
        <v>169</v>
      </c>
      <c r="C5" t="s">
        <v>165</v>
      </c>
      <c r="D5" t="s">
        <v>20</v>
      </c>
      <c r="E5" t="s">
        <v>21</v>
      </c>
      <c r="F5" s="1">
        <v>0.53</v>
      </c>
      <c r="G5">
        <v>4.2</v>
      </c>
      <c r="H5" s="2">
        <v>94363</v>
      </c>
      <c r="J5" s="3" t="str">
        <f>VLOOKUP("B08HDJ86NZ",A:H,3,FALSE)</f>
        <v>Computers&amp;Accessories</v>
      </c>
      <c r="L5" s="4" t="str">
        <f>IF(G2&gt;=4,"Good","Average")</f>
        <v>Good</v>
      </c>
      <c r="Q5" s="7"/>
      <c r="R5">
        <v>1</v>
      </c>
      <c r="S5">
        <v>23</v>
      </c>
      <c r="T5" s="16">
        <v>4</v>
      </c>
      <c r="U5">
        <v>27</v>
      </c>
      <c r="V5">
        <v>19</v>
      </c>
      <c r="W5" s="11">
        <v>2</v>
      </c>
    </row>
    <row r="6" spans="1:25" x14ac:dyDescent="0.25">
      <c r="A6" t="s">
        <v>22</v>
      </c>
      <c r="B6" t="s">
        <v>23</v>
      </c>
      <c r="C6" t="s">
        <v>10</v>
      </c>
      <c r="D6" t="s">
        <v>24</v>
      </c>
      <c r="E6" t="s">
        <v>11</v>
      </c>
      <c r="F6" s="1">
        <v>0.61</v>
      </c>
      <c r="G6">
        <v>4.2</v>
      </c>
      <c r="H6" s="2">
        <v>16905</v>
      </c>
      <c r="L6" s="3" t="str">
        <f>IF(G2&gt;=4.5,"Excellent",IF(G2&gt;=4,"Good",IF(G2&gt;=3,"Average","Poor")))</f>
        <v>Good</v>
      </c>
      <c r="Q6" s="7"/>
      <c r="R6">
        <v>2</v>
      </c>
      <c r="S6">
        <v>23</v>
      </c>
      <c r="T6" s="16">
        <v>54</v>
      </c>
      <c r="U6">
        <v>77</v>
      </c>
      <c r="V6">
        <v>-31</v>
      </c>
      <c r="W6" s="11">
        <v>7.3484692279999999</v>
      </c>
    </row>
    <row r="7" spans="1:25" x14ac:dyDescent="0.25">
      <c r="A7" t="s">
        <v>25</v>
      </c>
      <c r="B7" t="s">
        <v>26</v>
      </c>
      <c r="C7" t="s">
        <v>10</v>
      </c>
      <c r="D7" t="s">
        <v>27</v>
      </c>
      <c r="E7" t="s">
        <v>28</v>
      </c>
      <c r="F7" s="1">
        <v>0.85</v>
      </c>
      <c r="G7">
        <v>3.9</v>
      </c>
      <c r="H7" s="2">
        <v>24871</v>
      </c>
      <c r="J7" t="s">
        <v>166</v>
      </c>
      <c r="L7" t="s">
        <v>176</v>
      </c>
      <c r="Q7" s="7"/>
      <c r="R7">
        <v>3</v>
      </c>
      <c r="S7">
        <v>45</v>
      </c>
      <c r="T7" s="16">
        <v>32</v>
      </c>
      <c r="U7">
        <v>77</v>
      </c>
      <c r="V7">
        <v>13</v>
      </c>
      <c r="W7" s="11">
        <v>5.6568542490000002</v>
      </c>
    </row>
    <row r="8" spans="1:25" x14ac:dyDescent="0.25">
      <c r="A8" t="s">
        <v>29</v>
      </c>
      <c r="B8" t="s">
        <v>30</v>
      </c>
      <c r="C8" t="s">
        <v>10</v>
      </c>
      <c r="D8" t="s">
        <v>31</v>
      </c>
      <c r="E8" t="s">
        <v>32</v>
      </c>
      <c r="F8" s="1">
        <v>0.65</v>
      </c>
      <c r="G8">
        <v>4.0999999999999996</v>
      </c>
      <c r="H8" s="2">
        <v>15188</v>
      </c>
      <c r="J8">
        <f>HLOOKUP("Rating",A1:G2,2,FALSE)</f>
        <v>4.2</v>
      </c>
      <c r="L8" s="3" t="b">
        <f>AND(G2&gt;=L94,H2&gt;=10000)</f>
        <v>1</v>
      </c>
      <c r="Q8" s="7"/>
      <c r="R8">
        <v>4</v>
      </c>
      <c r="S8">
        <v>22</v>
      </c>
      <c r="T8" s="16">
        <v>34</v>
      </c>
      <c r="U8">
        <v>56</v>
      </c>
      <c r="V8">
        <v>-12</v>
      </c>
      <c r="W8" s="11">
        <v>5.8309518950000001</v>
      </c>
    </row>
    <row r="9" spans="1:25" x14ac:dyDescent="0.25">
      <c r="A9" t="s">
        <v>33</v>
      </c>
      <c r="B9" t="s">
        <v>34</v>
      </c>
      <c r="C9" t="s">
        <v>10</v>
      </c>
      <c r="D9" t="s">
        <v>35</v>
      </c>
      <c r="E9" t="s">
        <v>36</v>
      </c>
      <c r="F9" s="1">
        <v>0.23</v>
      </c>
      <c r="G9">
        <v>4.3</v>
      </c>
      <c r="H9" s="2">
        <v>30411</v>
      </c>
      <c r="J9" s="3" t="str">
        <f>HLOOKUP("discounted_price",A1:D2,2,FALSE)</f>
        <v>â‚¹399</v>
      </c>
      <c r="L9" s="4" t="b">
        <f>AND(G2&gt;=4,H2&lt;=10000)</f>
        <v>0</v>
      </c>
      <c r="Q9" s="7"/>
      <c r="R9">
        <v>5</v>
      </c>
      <c r="S9">
        <v>67</v>
      </c>
      <c r="T9" s="16">
        <v>132</v>
      </c>
      <c r="U9">
        <v>199</v>
      </c>
      <c r="V9">
        <v>-65</v>
      </c>
      <c r="W9" s="11">
        <v>11.48912529</v>
      </c>
    </row>
    <row r="10" spans="1:25" x14ac:dyDescent="0.25">
      <c r="A10" t="s">
        <v>37</v>
      </c>
      <c r="B10" t="s">
        <v>38</v>
      </c>
      <c r="C10" t="s">
        <v>39</v>
      </c>
      <c r="D10" t="s">
        <v>32</v>
      </c>
      <c r="E10" t="s">
        <v>40</v>
      </c>
      <c r="F10" s="1">
        <v>0.5</v>
      </c>
      <c r="G10">
        <v>4.2</v>
      </c>
      <c r="H10" s="2">
        <v>179691</v>
      </c>
      <c r="Q10" s="7"/>
      <c r="R10">
        <v>6</v>
      </c>
      <c r="S10">
        <v>75</v>
      </c>
      <c r="T10" s="16">
        <v>54</v>
      </c>
      <c r="U10">
        <v>129</v>
      </c>
      <c r="V10">
        <v>21</v>
      </c>
      <c r="W10" s="11">
        <v>7.3484692279999999</v>
      </c>
    </row>
    <row r="11" spans="1:25" x14ac:dyDescent="0.25">
      <c r="A11" t="s">
        <v>41</v>
      </c>
      <c r="B11" t="s">
        <v>42</v>
      </c>
      <c r="C11" t="s">
        <v>10</v>
      </c>
      <c r="D11" t="s">
        <v>14</v>
      </c>
      <c r="E11" t="s">
        <v>36</v>
      </c>
      <c r="F11" s="1">
        <v>0.33</v>
      </c>
      <c r="G11">
        <v>4</v>
      </c>
      <c r="H11" s="2">
        <v>43994</v>
      </c>
      <c r="J11" t="s">
        <v>167</v>
      </c>
      <c r="L11" t="s">
        <v>178</v>
      </c>
      <c r="Q11" s="7"/>
      <c r="R11">
        <v>7</v>
      </c>
      <c r="S11">
        <v>754</v>
      </c>
      <c r="T11" s="16">
        <v>224</v>
      </c>
      <c r="U11">
        <v>978</v>
      </c>
      <c r="V11">
        <v>530</v>
      </c>
      <c r="W11" s="11">
        <v>14.96662955</v>
      </c>
    </row>
    <row r="12" spans="1:25" x14ac:dyDescent="0.25">
      <c r="A12" t="s">
        <v>43</v>
      </c>
      <c r="B12" t="s">
        <v>44</v>
      </c>
      <c r="C12" t="s">
        <v>10</v>
      </c>
      <c r="D12" t="s">
        <v>24</v>
      </c>
      <c r="E12" t="s">
        <v>45</v>
      </c>
      <c r="F12" s="1">
        <v>0.55000000000000004</v>
      </c>
      <c r="G12">
        <v>4.3</v>
      </c>
      <c r="H12" s="2">
        <v>13391</v>
      </c>
      <c r="J12">
        <f>MATCH("B098NS6PVG",A:A,0)</f>
        <v>3</v>
      </c>
      <c r="L12" s="3" t="b">
        <f>OR(G2&gt;=4.5,H2&gt;=50000)</f>
        <v>0</v>
      </c>
      <c r="Q12" s="7"/>
      <c r="R12">
        <v>8</v>
      </c>
      <c r="S12">
        <v>334</v>
      </c>
      <c r="T12" s="16">
        <v>235</v>
      </c>
      <c r="U12">
        <v>569</v>
      </c>
      <c r="V12">
        <v>99</v>
      </c>
      <c r="W12" s="11">
        <v>15.32970972</v>
      </c>
    </row>
    <row r="13" spans="1:25" x14ac:dyDescent="0.25">
      <c r="A13" t="s">
        <v>46</v>
      </c>
      <c r="B13" t="s">
        <v>47</v>
      </c>
      <c r="C13" t="s">
        <v>10</v>
      </c>
      <c r="D13" t="s">
        <v>36</v>
      </c>
      <c r="E13" t="s">
        <v>48</v>
      </c>
      <c r="F13" s="1">
        <v>0.63</v>
      </c>
      <c r="G13">
        <v>4.2</v>
      </c>
      <c r="H13" s="2">
        <v>94363</v>
      </c>
      <c r="J13">
        <f>MATCH("B08DDRGWTJ",A:A,0)</f>
        <v>9</v>
      </c>
      <c r="L13" s="4" t="b">
        <f>OR(G2&gt;=4,H2&gt;=5000)</f>
        <v>1</v>
      </c>
      <c r="Q13" s="7"/>
    </row>
    <row r="14" spans="1:25" x14ac:dyDescent="0.25">
      <c r="A14" t="s">
        <v>49</v>
      </c>
      <c r="B14" t="s">
        <v>50</v>
      </c>
      <c r="C14" t="s">
        <v>51</v>
      </c>
      <c r="D14" t="s">
        <v>52</v>
      </c>
      <c r="E14" t="s">
        <v>53</v>
      </c>
      <c r="F14" s="1">
        <v>0.69</v>
      </c>
      <c r="G14">
        <v>4.4000000000000004</v>
      </c>
      <c r="H14" s="2">
        <v>426973</v>
      </c>
      <c r="Q14" s="7"/>
      <c r="R14" t="s">
        <v>194</v>
      </c>
      <c r="S14" t="s">
        <v>224</v>
      </c>
      <c r="T14" s="11" t="s">
        <v>195</v>
      </c>
      <c r="U14" s="9" t="s">
        <v>196</v>
      </c>
      <c r="V14" s="10" t="s">
        <v>197</v>
      </c>
      <c r="W14" s="8" t="s">
        <v>198</v>
      </c>
      <c r="X14" s="10" t="s">
        <v>199</v>
      </c>
      <c r="Y14" s="14" t="s">
        <v>192</v>
      </c>
    </row>
    <row r="15" spans="1:25" x14ac:dyDescent="0.25">
      <c r="A15" t="s">
        <v>54</v>
      </c>
      <c r="B15" t="s">
        <v>55</v>
      </c>
      <c r="C15" t="s">
        <v>10</v>
      </c>
      <c r="D15" t="s">
        <v>56</v>
      </c>
      <c r="E15" t="s">
        <v>57</v>
      </c>
      <c r="F15" s="1">
        <v>0.61</v>
      </c>
      <c r="G15">
        <v>4.2</v>
      </c>
      <c r="H15" s="2">
        <v>2262</v>
      </c>
      <c r="J15" t="s">
        <v>168</v>
      </c>
      <c r="L15" t="s">
        <v>179</v>
      </c>
      <c r="Q15" s="7"/>
      <c r="R15">
        <v>10107</v>
      </c>
      <c r="S15">
        <v>30</v>
      </c>
      <c r="T15" s="12">
        <v>95.7</v>
      </c>
      <c r="U15" s="13">
        <v>2</v>
      </c>
      <c r="V15" s="12">
        <v>2871</v>
      </c>
      <c r="W15" s="8" t="s">
        <v>200</v>
      </c>
      <c r="X15" s="10" t="s">
        <v>201</v>
      </c>
      <c r="Y15" s="14">
        <f>IF(Table2[[#This Row],[STATUS]]="Shipped",1,0)</f>
        <v>1</v>
      </c>
    </row>
    <row r="16" spans="1:25" x14ac:dyDescent="0.25">
      <c r="A16" t="s">
        <v>58</v>
      </c>
      <c r="B16" t="s">
        <v>59</v>
      </c>
      <c r="C16" t="s">
        <v>10</v>
      </c>
      <c r="D16" t="s">
        <v>60</v>
      </c>
      <c r="E16" t="s">
        <v>11</v>
      </c>
      <c r="F16" s="1">
        <v>0.6</v>
      </c>
      <c r="G16">
        <v>4.0999999999999996</v>
      </c>
      <c r="H16" s="2">
        <v>4768</v>
      </c>
      <c r="J16" s="3" t="str">
        <f>INDEX(B:B,5)</f>
        <v>boAt Deuce USB 300 2 in 1 Type-C</v>
      </c>
      <c r="L16" s="3" t="b">
        <f>NOT(G2&gt;=4)</f>
        <v>0</v>
      </c>
      <c r="Q16" s="7"/>
      <c r="R16">
        <v>10121</v>
      </c>
      <c r="S16">
        <v>34</v>
      </c>
      <c r="T16" s="12">
        <v>95.7</v>
      </c>
      <c r="U16" s="13">
        <v>5</v>
      </c>
      <c r="V16" s="12">
        <v>2765.9</v>
      </c>
      <c r="W16" s="8" t="s">
        <v>202</v>
      </c>
      <c r="X16" s="10" t="s">
        <v>201</v>
      </c>
      <c r="Y16" s="14">
        <f>IF(Table2[[#This Row],[STATUS]]="Shipped",1,0)</f>
        <v>1</v>
      </c>
    </row>
    <row r="17" spans="1:25" x14ac:dyDescent="0.25">
      <c r="A17" t="s">
        <v>61</v>
      </c>
      <c r="B17" t="s">
        <v>62</v>
      </c>
      <c r="C17" t="s">
        <v>170</v>
      </c>
      <c r="D17" t="s">
        <v>15</v>
      </c>
      <c r="E17" t="s">
        <v>11</v>
      </c>
      <c r="F17" s="1">
        <v>0.13</v>
      </c>
      <c r="G17">
        <v>4.4000000000000004</v>
      </c>
      <c r="H17" s="2">
        <v>18757</v>
      </c>
      <c r="J17" s="4" t="str">
        <f>INDEX(C:C,17)</f>
        <v>Accessories&amp;Peripherals</v>
      </c>
      <c r="L17" s="4" t="b">
        <f>NOT(G2&lt;=4)</f>
        <v>1</v>
      </c>
      <c r="Q17" s="7"/>
      <c r="R17">
        <v>10134</v>
      </c>
      <c r="S17">
        <v>41</v>
      </c>
      <c r="T17" s="12">
        <v>95.7</v>
      </c>
      <c r="U17" s="13">
        <v>2</v>
      </c>
      <c r="V17" s="12">
        <v>3884.34</v>
      </c>
      <c r="W17" s="8" t="s">
        <v>203</v>
      </c>
      <c r="X17" s="10" t="s">
        <v>201</v>
      </c>
      <c r="Y17" s="14">
        <f>IF(Table2[[#This Row],[STATUS]]="Shipped",1,0)</f>
        <v>1</v>
      </c>
    </row>
    <row r="18" spans="1:25" x14ac:dyDescent="0.25">
      <c r="A18" t="s">
        <v>63</v>
      </c>
      <c r="B18" t="s">
        <v>64</v>
      </c>
      <c r="C18" t="s">
        <v>65</v>
      </c>
      <c r="D18" t="s">
        <v>66</v>
      </c>
      <c r="E18" t="s">
        <v>67</v>
      </c>
      <c r="F18" s="1">
        <v>0.44</v>
      </c>
      <c r="G18">
        <v>4.2</v>
      </c>
      <c r="H18" s="2">
        <v>32840</v>
      </c>
      <c r="Q18" s="7"/>
      <c r="R18">
        <v>10145</v>
      </c>
      <c r="S18">
        <v>45</v>
      </c>
      <c r="T18" s="12">
        <v>83.26</v>
      </c>
      <c r="U18" s="13">
        <v>6</v>
      </c>
      <c r="V18" s="12">
        <v>3746.7</v>
      </c>
      <c r="W18" s="8" t="s">
        <v>204</v>
      </c>
      <c r="X18" s="10" t="s">
        <v>201</v>
      </c>
      <c r="Y18" s="14">
        <f>IF(Table2[[#This Row],[STATUS]]="Shipped",1,0)</f>
        <v>1</v>
      </c>
    </row>
    <row r="19" spans="1:25" x14ac:dyDescent="0.25">
      <c r="A19" t="s">
        <v>68</v>
      </c>
      <c r="B19" t="s">
        <v>69</v>
      </c>
      <c r="C19" t="s">
        <v>10</v>
      </c>
      <c r="D19" t="s">
        <v>70</v>
      </c>
      <c r="E19" t="s">
        <v>11</v>
      </c>
      <c r="F19" s="1">
        <v>0.38</v>
      </c>
      <c r="G19">
        <v>4</v>
      </c>
      <c r="H19" s="2">
        <v>43994</v>
      </c>
      <c r="J19" t="s">
        <v>171</v>
      </c>
      <c r="L19" t="s">
        <v>180</v>
      </c>
      <c r="Q19" s="7"/>
      <c r="R19">
        <v>10159</v>
      </c>
      <c r="S19">
        <v>49</v>
      </c>
      <c r="T19" s="12">
        <v>100</v>
      </c>
      <c r="U19" s="13">
        <v>14</v>
      </c>
      <c r="V19" s="12">
        <v>5205.2700000000004</v>
      </c>
      <c r="W19" s="8" t="s">
        <v>205</v>
      </c>
      <c r="X19" s="10" t="s">
        <v>201</v>
      </c>
      <c r="Y19" s="14">
        <f>IF(Table2[[#This Row],[STATUS]]="Shipped",1,0)</f>
        <v>1</v>
      </c>
    </row>
    <row r="20" spans="1:25" x14ac:dyDescent="0.25">
      <c r="A20" t="s">
        <v>71</v>
      </c>
      <c r="B20" t="s">
        <v>172</v>
      </c>
      <c r="C20" t="s">
        <v>10</v>
      </c>
      <c r="D20" t="s">
        <v>14</v>
      </c>
      <c r="E20" t="s">
        <v>32</v>
      </c>
      <c r="F20" s="1">
        <v>0.6</v>
      </c>
      <c r="G20">
        <v>4.0999999999999996</v>
      </c>
      <c r="H20" s="2">
        <v>13045</v>
      </c>
      <c r="J20" s="5" t="str">
        <f>INDEX(B:B,MATCH("B098NS6PVG",A:A,0))</f>
        <v xml:space="preserve">Ambrane Unbreakable 60W / 3A </v>
      </c>
      <c r="L20" s="3" t="str">
        <f>IF(AND(G2&gt;=4,H2&gt;=10000),"Popular","Normal")</f>
        <v>Popular</v>
      </c>
      <c r="R20">
        <v>10168</v>
      </c>
      <c r="S20">
        <v>36</v>
      </c>
      <c r="T20" s="12">
        <v>96.66</v>
      </c>
      <c r="U20" s="13">
        <v>1</v>
      </c>
      <c r="V20" s="12">
        <v>3479.76</v>
      </c>
      <c r="W20" s="8" t="s">
        <v>206</v>
      </c>
      <c r="X20" s="10" t="s">
        <v>201</v>
      </c>
      <c r="Y20" s="14">
        <f>IF(Table2[[#This Row],[STATUS]]="Shipped",1,0)</f>
        <v>1</v>
      </c>
    </row>
    <row r="21" spans="1:25" x14ac:dyDescent="0.25">
      <c r="A21" t="s">
        <v>72</v>
      </c>
      <c r="B21" t="s">
        <v>73</v>
      </c>
      <c r="C21" t="s">
        <v>65</v>
      </c>
      <c r="D21" t="s">
        <v>74</v>
      </c>
      <c r="E21" t="s">
        <v>75</v>
      </c>
      <c r="F21" s="1">
        <v>0.39</v>
      </c>
      <c r="G21">
        <v>4.3</v>
      </c>
      <c r="H21" s="2">
        <v>11976</v>
      </c>
      <c r="J21" s="3" t="str">
        <f>INDEX(B:B,MATCH("B08WRBG3XW",A:A,0))</f>
        <v>boAt Type C A325 Tangle-free</v>
      </c>
      <c r="R21">
        <v>10180</v>
      </c>
      <c r="S21">
        <v>29</v>
      </c>
      <c r="T21" s="12">
        <v>86.13</v>
      </c>
      <c r="U21" s="13">
        <v>9</v>
      </c>
      <c r="V21" s="12">
        <v>2497.77</v>
      </c>
      <c r="W21" s="8">
        <v>37936</v>
      </c>
      <c r="X21" s="10" t="s">
        <v>201</v>
      </c>
      <c r="Y21" s="14">
        <f>IF(Table2[[#This Row],[STATUS]]="Shipped",1,0)</f>
        <v>1</v>
      </c>
    </row>
    <row r="22" spans="1:25" x14ac:dyDescent="0.25">
      <c r="A22" t="s">
        <v>76</v>
      </c>
      <c r="B22" t="s">
        <v>77</v>
      </c>
      <c r="C22" t="s">
        <v>10</v>
      </c>
      <c r="D22" t="s">
        <v>78</v>
      </c>
      <c r="E22" t="s">
        <v>79</v>
      </c>
      <c r="F22" s="1">
        <v>0.46</v>
      </c>
      <c r="G22">
        <v>4.5</v>
      </c>
      <c r="H22">
        <v>815</v>
      </c>
      <c r="L22" t="s">
        <v>181</v>
      </c>
      <c r="R22">
        <v>10188</v>
      </c>
      <c r="S22">
        <v>48</v>
      </c>
      <c r="T22" s="12">
        <v>100</v>
      </c>
      <c r="U22" s="13">
        <v>1</v>
      </c>
      <c r="V22" s="12">
        <v>5512.3239999999996</v>
      </c>
      <c r="W22" s="8" t="s">
        <v>207</v>
      </c>
      <c r="X22" s="10" t="s">
        <v>201</v>
      </c>
      <c r="Y22" s="14">
        <f>IF(Table2[[#This Row],[STATUS]]="Shipped",1,0)</f>
        <v>1</v>
      </c>
    </row>
    <row r="23" spans="1:25" x14ac:dyDescent="0.25">
      <c r="A23" t="s">
        <v>80</v>
      </c>
      <c r="B23" t="s">
        <v>81</v>
      </c>
      <c r="C23" t="s">
        <v>51</v>
      </c>
      <c r="D23" t="s">
        <v>82</v>
      </c>
      <c r="E23" t="s">
        <v>32</v>
      </c>
      <c r="F23" s="1">
        <v>0.44</v>
      </c>
      <c r="G23">
        <v>3.7</v>
      </c>
      <c r="H23" s="2">
        <v>10962</v>
      </c>
      <c r="J23" t="s">
        <v>174</v>
      </c>
      <c r="L23" s="4" t="str">
        <f>IF(OR(G2&gt;=4.5,H2&gt;=50000),"Trending","Regular")</f>
        <v>Regular</v>
      </c>
      <c r="R23">
        <v>10201</v>
      </c>
      <c r="S23">
        <v>22</v>
      </c>
      <c r="T23" s="12">
        <v>98.57</v>
      </c>
      <c r="U23" s="13">
        <v>2</v>
      </c>
      <c r="V23" s="12">
        <v>2168.54</v>
      </c>
      <c r="W23" s="8">
        <v>37633</v>
      </c>
      <c r="X23" s="10" t="s">
        <v>201</v>
      </c>
      <c r="Y23" s="14">
        <f>IF(Table2[[#This Row],[STATUS]]="Shipped",1,0)</f>
        <v>1</v>
      </c>
    </row>
    <row r="24" spans="1:25" x14ac:dyDescent="0.25">
      <c r="A24" t="s">
        <v>83</v>
      </c>
      <c r="B24" t="s">
        <v>84</v>
      </c>
      <c r="C24" t="s">
        <v>65</v>
      </c>
      <c r="D24" t="s">
        <v>74</v>
      </c>
      <c r="E24" t="s">
        <v>85</v>
      </c>
      <c r="F24" s="1">
        <v>0.41</v>
      </c>
      <c r="G24">
        <v>4.3</v>
      </c>
      <c r="H24" s="2">
        <v>16299</v>
      </c>
      <c r="J24" s="4" t="str">
        <f>_xlfn.XLOOKUP("B08WRBG3XW",A:A,B:B)</f>
        <v>boAt Type C A325 Tangle-free</v>
      </c>
      <c r="R24">
        <v>10211</v>
      </c>
      <c r="S24">
        <v>41</v>
      </c>
      <c r="T24" s="12">
        <v>100</v>
      </c>
      <c r="U24" s="13">
        <v>14</v>
      </c>
      <c r="V24" s="12">
        <v>4708.4399999999996</v>
      </c>
      <c r="W24" s="8" t="s">
        <v>208</v>
      </c>
      <c r="X24" s="10" t="s">
        <v>201</v>
      </c>
      <c r="Y24" s="14">
        <f>IF(Table2[[#This Row],[STATUS]]="Shipped",1,0)</f>
        <v>1</v>
      </c>
    </row>
    <row r="25" spans="1:25" x14ac:dyDescent="0.25">
      <c r="A25" t="s">
        <v>86</v>
      </c>
      <c r="B25" t="s">
        <v>87</v>
      </c>
      <c r="C25" t="s">
        <v>10</v>
      </c>
      <c r="D25" t="s">
        <v>88</v>
      </c>
      <c r="E25" t="s">
        <v>14</v>
      </c>
      <c r="F25" s="1">
        <v>0.7</v>
      </c>
      <c r="G25">
        <v>4</v>
      </c>
      <c r="H25" s="2">
        <v>9378</v>
      </c>
      <c r="J25" s="3" t="str">
        <f>_xlfn.XLOOKUP("B08QSC1XY8",A:A,B:B)</f>
        <v xml:space="preserve">Zoul USB C 60W Fast Charging 3A </v>
      </c>
      <c r="L25" t="s">
        <v>182</v>
      </c>
      <c r="R25">
        <v>10223</v>
      </c>
      <c r="S25">
        <v>37</v>
      </c>
      <c r="T25" s="12">
        <v>100</v>
      </c>
      <c r="U25" s="13">
        <v>1</v>
      </c>
      <c r="V25" s="12">
        <v>3965.66</v>
      </c>
      <c r="W25" s="8" t="s">
        <v>209</v>
      </c>
      <c r="X25" s="10" t="s">
        <v>201</v>
      </c>
      <c r="Y25" s="14">
        <f>IF(Table2[[#This Row],[STATUS]]="Shipped",1,0)</f>
        <v>1</v>
      </c>
    </row>
    <row r="26" spans="1:25" x14ac:dyDescent="0.25">
      <c r="A26" t="s">
        <v>89</v>
      </c>
      <c r="B26" t="s">
        <v>90</v>
      </c>
      <c r="C26" t="s">
        <v>65</v>
      </c>
      <c r="D26" t="s">
        <v>91</v>
      </c>
      <c r="E26" t="s">
        <v>92</v>
      </c>
      <c r="F26" s="1">
        <v>0.42</v>
      </c>
      <c r="G26">
        <v>4.3</v>
      </c>
      <c r="H26" s="2">
        <v>4703</v>
      </c>
      <c r="L26" s="3" t="b">
        <f>ISERROR(A1/B1)</f>
        <v>1</v>
      </c>
      <c r="N26" s="1"/>
      <c r="R26">
        <v>10237</v>
      </c>
      <c r="S26">
        <v>23</v>
      </c>
      <c r="T26" s="12">
        <v>100</v>
      </c>
      <c r="U26" s="13">
        <v>7</v>
      </c>
      <c r="V26" s="12">
        <v>2333.12</v>
      </c>
      <c r="W26" s="8">
        <v>38111</v>
      </c>
      <c r="X26" s="10" t="s">
        <v>201</v>
      </c>
      <c r="Y26" s="14">
        <f>IF(Table2[[#This Row],[STATUS]]="Shipped",1,0)</f>
        <v>1</v>
      </c>
    </row>
    <row r="27" spans="1:25" x14ac:dyDescent="0.25">
      <c r="A27" t="s">
        <v>93</v>
      </c>
      <c r="B27" t="s">
        <v>94</v>
      </c>
      <c r="C27" t="s">
        <v>51</v>
      </c>
      <c r="D27" t="s">
        <v>14</v>
      </c>
      <c r="E27" t="s">
        <v>21</v>
      </c>
      <c r="F27" s="1">
        <v>0.72</v>
      </c>
      <c r="G27">
        <v>4.2</v>
      </c>
      <c r="H27" s="2">
        <v>12153</v>
      </c>
      <c r="L27" s="4" t="b">
        <f>ISERROR(G21/H2)</f>
        <v>0</v>
      </c>
      <c r="R27">
        <v>10251</v>
      </c>
      <c r="S27">
        <v>28</v>
      </c>
      <c r="T27" s="12">
        <v>100</v>
      </c>
      <c r="U27" s="13">
        <v>2</v>
      </c>
      <c r="V27" s="12">
        <v>3188.64</v>
      </c>
      <c r="W27" s="8" t="s">
        <v>210</v>
      </c>
      <c r="X27" s="10" t="s">
        <v>201</v>
      </c>
      <c r="Y27" s="14">
        <f>IF(Table2[[#This Row],[STATUS]]="Shipped",1,0)</f>
        <v>1</v>
      </c>
    </row>
    <row r="28" spans="1:25" x14ac:dyDescent="0.25">
      <c r="A28" t="s">
        <v>95</v>
      </c>
      <c r="B28" t="s">
        <v>96</v>
      </c>
      <c r="C28" t="s">
        <v>65</v>
      </c>
      <c r="D28" t="s">
        <v>97</v>
      </c>
      <c r="E28" t="s">
        <v>98</v>
      </c>
      <c r="F28" s="1">
        <v>0.25</v>
      </c>
      <c r="G28">
        <v>4.2</v>
      </c>
      <c r="H28" s="2">
        <v>34899</v>
      </c>
      <c r="R28">
        <v>10263</v>
      </c>
      <c r="S28">
        <v>34</v>
      </c>
      <c r="T28" s="12">
        <v>100</v>
      </c>
      <c r="U28" s="13">
        <v>2</v>
      </c>
      <c r="V28" s="12">
        <v>3676.76</v>
      </c>
      <c r="W28" s="8" t="s">
        <v>211</v>
      </c>
      <c r="X28" s="10" t="s">
        <v>201</v>
      </c>
      <c r="Y28" s="14">
        <f>IF(Table2[[#This Row],[STATUS]]="Shipped",1,0)</f>
        <v>1</v>
      </c>
    </row>
    <row r="29" spans="1:25" x14ac:dyDescent="0.25">
      <c r="A29" t="s">
        <v>99</v>
      </c>
      <c r="B29" t="s">
        <v>100</v>
      </c>
      <c r="C29" t="s">
        <v>10</v>
      </c>
      <c r="D29" t="s">
        <v>36</v>
      </c>
      <c r="E29" t="s">
        <v>11</v>
      </c>
      <c r="F29" s="1">
        <v>0.25</v>
      </c>
      <c r="G29">
        <v>4</v>
      </c>
      <c r="H29" s="2">
        <v>2766</v>
      </c>
      <c r="L29" t="s">
        <v>183</v>
      </c>
      <c r="R29">
        <v>10275</v>
      </c>
      <c r="S29">
        <v>45</v>
      </c>
      <c r="T29" s="12">
        <v>92.83</v>
      </c>
      <c r="U29" s="13">
        <v>1</v>
      </c>
      <c r="V29" s="12">
        <v>4177.3500000000004</v>
      </c>
      <c r="W29" s="8" t="s">
        <v>212</v>
      </c>
      <c r="X29" s="10" t="s">
        <v>201</v>
      </c>
      <c r="Y29" s="14">
        <f>IF(Table2[[#This Row],[STATUS]]="Shipped",1,0)</f>
        <v>1</v>
      </c>
    </row>
    <row r="30" spans="1:25" x14ac:dyDescent="0.25">
      <c r="A30" t="s">
        <v>101</v>
      </c>
      <c r="B30" t="s">
        <v>102</v>
      </c>
      <c r="C30" t="s">
        <v>10</v>
      </c>
      <c r="D30" t="s">
        <v>78</v>
      </c>
      <c r="E30" t="s">
        <v>103</v>
      </c>
      <c r="F30" s="1">
        <v>0.51</v>
      </c>
      <c r="G30">
        <v>4.4000000000000004</v>
      </c>
      <c r="H30">
        <v>184</v>
      </c>
      <c r="L30" s="3" t="b">
        <f>ISNUMBER(G2)</f>
        <v>1</v>
      </c>
      <c r="R30">
        <v>10285</v>
      </c>
      <c r="S30">
        <v>36</v>
      </c>
      <c r="T30" s="12">
        <v>100</v>
      </c>
      <c r="U30" s="13">
        <v>6</v>
      </c>
      <c r="V30" s="12">
        <v>4099.68</v>
      </c>
      <c r="W30" s="8" t="s">
        <v>213</v>
      </c>
      <c r="X30" s="10" t="s">
        <v>201</v>
      </c>
      <c r="Y30" s="14">
        <f>IF(Table2[[#This Row],[STATUS]]="Shipped",1,0)</f>
        <v>1</v>
      </c>
    </row>
    <row r="31" spans="1:25" x14ac:dyDescent="0.25">
      <c r="A31" t="s">
        <v>104</v>
      </c>
      <c r="B31" t="s">
        <v>105</v>
      </c>
      <c r="C31" t="s">
        <v>10</v>
      </c>
      <c r="D31" t="s">
        <v>36</v>
      </c>
      <c r="E31" t="s">
        <v>40</v>
      </c>
      <c r="F31" s="1">
        <v>0.7</v>
      </c>
      <c r="G31">
        <v>4.3</v>
      </c>
      <c r="H31" s="2">
        <v>20850</v>
      </c>
      <c r="L31" s="4" t="b">
        <f>ISNUMBER(B2)</f>
        <v>0</v>
      </c>
      <c r="R31">
        <v>10299</v>
      </c>
      <c r="S31">
        <v>23</v>
      </c>
      <c r="T31" s="12">
        <v>100</v>
      </c>
      <c r="U31" s="13">
        <v>9</v>
      </c>
      <c r="V31" s="12">
        <v>2597.39</v>
      </c>
      <c r="W31" s="8" t="s">
        <v>214</v>
      </c>
      <c r="X31" s="10" t="s">
        <v>201</v>
      </c>
      <c r="Y31" s="14">
        <f>IF(Table2[[#This Row],[STATUS]]="Shipped",1,0)</f>
        <v>1</v>
      </c>
    </row>
    <row r="32" spans="1:25" x14ac:dyDescent="0.25">
      <c r="A32" t="s">
        <v>106</v>
      </c>
      <c r="B32" t="s">
        <v>107</v>
      </c>
      <c r="C32" t="s">
        <v>10</v>
      </c>
      <c r="D32" t="s">
        <v>14</v>
      </c>
      <c r="E32" t="s">
        <v>108</v>
      </c>
      <c r="F32" s="1">
        <v>0.73</v>
      </c>
      <c r="G32">
        <v>4.5</v>
      </c>
      <c r="H32" s="2">
        <v>74976</v>
      </c>
      <c r="R32">
        <v>10309</v>
      </c>
      <c r="S32">
        <v>41</v>
      </c>
      <c r="T32" s="12">
        <v>100</v>
      </c>
      <c r="U32" s="13">
        <v>5</v>
      </c>
      <c r="V32" s="12">
        <v>4394.38</v>
      </c>
      <c r="W32" s="8" t="s">
        <v>215</v>
      </c>
      <c r="X32" s="10" t="s">
        <v>201</v>
      </c>
      <c r="Y32" s="14">
        <f>IF(Table2[[#This Row],[STATUS]]="Shipped",1,0)</f>
        <v>1</v>
      </c>
    </row>
    <row r="33" spans="1:25" x14ac:dyDescent="0.25">
      <c r="A33" t="s">
        <v>109</v>
      </c>
      <c r="B33" t="s">
        <v>110</v>
      </c>
      <c r="C33" t="s">
        <v>10</v>
      </c>
      <c r="D33" t="s">
        <v>111</v>
      </c>
      <c r="E33" t="s">
        <v>32</v>
      </c>
      <c r="F33" s="1">
        <v>0.64</v>
      </c>
      <c r="G33">
        <v>4</v>
      </c>
      <c r="H33" s="2">
        <v>1934</v>
      </c>
      <c r="L33" t="s">
        <v>184</v>
      </c>
      <c r="R33">
        <v>10318</v>
      </c>
      <c r="S33">
        <v>46</v>
      </c>
      <c r="T33" s="12">
        <v>94.74</v>
      </c>
      <c r="U33" s="13">
        <v>1</v>
      </c>
      <c r="V33" s="12">
        <v>4358.04</v>
      </c>
      <c r="W33" s="8">
        <v>38028</v>
      </c>
      <c r="X33" s="10" t="s">
        <v>201</v>
      </c>
      <c r="Y33" s="14">
        <f>IF(Table2[[#This Row],[STATUS]]="Shipped",1,0)</f>
        <v>1</v>
      </c>
    </row>
    <row r="34" spans="1:25" x14ac:dyDescent="0.25">
      <c r="A34" t="s">
        <v>112</v>
      </c>
      <c r="B34" t="s">
        <v>173</v>
      </c>
      <c r="C34" t="s">
        <v>10</v>
      </c>
      <c r="D34" t="s">
        <v>113</v>
      </c>
      <c r="E34" t="s">
        <v>12</v>
      </c>
      <c r="F34" s="1">
        <v>0.65</v>
      </c>
      <c r="G34">
        <v>4.3</v>
      </c>
      <c r="H34">
        <v>974</v>
      </c>
      <c r="L34" s="3" t="b">
        <f>ISBLANK(A50)</f>
        <v>0</v>
      </c>
      <c r="R34">
        <v>10329</v>
      </c>
      <c r="S34">
        <v>42</v>
      </c>
      <c r="T34" s="12">
        <v>100</v>
      </c>
      <c r="U34" s="13">
        <v>1</v>
      </c>
      <c r="V34" s="12">
        <v>4396.1239999999998</v>
      </c>
      <c r="W34" s="8" t="s">
        <v>216</v>
      </c>
      <c r="X34" s="10" t="s">
        <v>201</v>
      </c>
      <c r="Y34" s="14">
        <f>IF(Table2[[#This Row],[STATUS]]="Shipped",1,0)</f>
        <v>1</v>
      </c>
    </row>
    <row r="35" spans="1:25" x14ac:dyDescent="0.25">
      <c r="A35" t="s">
        <v>114</v>
      </c>
      <c r="B35" t="s">
        <v>115</v>
      </c>
      <c r="C35" t="s">
        <v>10</v>
      </c>
      <c r="D35" t="s">
        <v>116</v>
      </c>
      <c r="E35" t="s">
        <v>116</v>
      </c>
      <c r="F35" s="1">
        <v>0</v>
      </c>
      <c r="G35">
        <v>4.3</v>
      </c>
      <c r="H35">
        <v>355</v>
      </c>
      <c r="L35" s="4" t="b">
        <f>ISBLANK(A51)</f>
        <v>1</v>
      </c>
      <c r="R35">
        <v>10341</v>
      </c>
      <c r="S35">
        <v>41</v>
      </c>
      <c r="T35" s="12">
        <v>100</v>
      </c>
      <c r="U35" s="13">
        <v>9</v>
      </c>
      <c r="V35" s="12">
        <v>7737.93</v>
      </c>
      <c r="W35" s="8" t="s">
        <v>217</v>
      </c>
      <c r="X35" s="10" t="s">
        <v>201</v>
      </c>
      <c r="Y35" s="14">
        <f>IF(Table2[[#This Row],[STATUS]]="Shipped",1,0)</f>
        <v>1</v>
      </c>
    </row>
    <row r="36" spans="1:25" x14ac:dyDescent="0.25">
      <c r="A36" t="s">
        <v>117</v>
      </c>
      <c r="B36" t="s">
        <v>118</v>
      </c>
      <c r="C36" t="s">
        <v>10</v>
      </c>
      <c r="D36" t="s">
        <v>14</v>
      </c>
      <c r="E36" t="s">
        <v>40</v>
      </c>
      <c r="F36" s="1">
        <v>0.8</v>
      </c>
      <c r="G36">
        <v>3.9</v>
      </c>
      <c r="H36" s="2">
        <v>1075</v>
      </c>
      <c r="R36">
        <v>10361</v>
      </c>
      <c r="S36">
        <v>20</v>
      </c>
      <c r="T36" s="12">
        <v>72.55</v>
      </c>
      <c r="U36" s="13">
        <v>13</v>
      </c>
      <c r="V36" s="12">
        <v>1451</v>
      </c>
      <c r="W36" s="8" t="s">
        <v>218</v>
      </c>
      <c r="X36" s="10" t="s">
        <v>201</v>
      </c>
      <c r="Y36" s="14">
        <f>IF(Table2[[#This Row],[STATUS]]="Shipped",1,0)</f>
        <v>1</v>
      </c>
    </row>
    <row r="37" spans="1:25" x14ac:dyDescent="0.25">
      <c r="A37" t="s">
        <v>119</v>
      </c>
      <c r="B37" t="s">
        <v>120</v>
      </c>
      <c r="C37" t="s">
        <v>10</v>
      </c>
      <c r="D37" t="s">
        <v>121</v>
      </c>
      <c r="E37" t="s">
        <v>122</v>
      </c>
      <c r="F37" s="1">
        <v>0.85</v>
      </c>
      <c r="G37">
        <v>3.9</v>
      </c>
      <c r="H37" s="2">
        <v>24871</v>
      </c>
      <c r="L37" t="s">
        <v>185</v>
      </c>
      <c r="R37">
        <v>10375</v>
      </c>
      <c r="S37">
        <v>21</v>
      </c>
      <c r="T37" s="12">
        <v>34.909999999999997</v>
      </c>
      <c r="U37" s="13">
        <v>12</v>
      </c>
      <c r="V37" s="12">
        <v>733.11</v>
      </c>
      <c r="W37" s="8">
        <v>38413</v>
      </c>
      <c r="X37" s="10" t="s">
        <v>201</v>
      </c>
      <c r="Y37" s="14">
        <f>IF(Table2[[#This Row],[STATUS]]="Shipped",1,0)</f>
        <v>1</v>
      </c>
    </row>
    <row r="38" spans="1:25" x14ac:dyDescent="0.25">
      <c r="A38" t="s">
        <v>123</v>
      </c>
      <c r="B38" t="s">
        <v>124</v>
      </c>
      <c r="C38" t="s">
        <v>10</v>
      </c>
      <c r="D38" t="s">
        <v>57</v>
      </c>
      <c r="E38" t="s">
        <v>125</v>
      </c>
      <c r="F38" s="1">
        <v>0.53</v>
      </c>
      <c r="G38">
        <v>4.4000000000000004</v>
      </c>
      <c r="H38" s="2">
        <v>13552</v>
      </c>
      <c r="L38" t="e">
        <f>10/0</f>
        <v>#DIV/0!</v>
      </c>
      <c r="R38">
        <v>10388</v>
      </c>
      <c r="S38">
        <v>42</v>
      </c>
      <c r="T38" s="12">
        <v>76.36</v>
      </c>
      <c r="U38" s="13">
        <v>4</v>
      </c>
      <c r="V38" s="12">
        <v>3207.12</v>
      </c>
      <c r="W38" s="8">
        <v>38414</v>
      </c>
      <c r="X38" s="10" t="s">
        <v>201</v>
      </c>
      <c r="Y38" s="14">
        <f>IF(Table2[[#This Row],[STATUS]]="Shipped",1,0)</f>
        <v>1</v>
      </c>
    </row>
    <row r="39" spans="1:25" x14ac:dyDescent="0.25">
      <c r="A39" t="s">
        <v>126</v>
      </c>
      <c r="B39" t="s">
        <v>127</v>
      </c>
      <c r="C39" t="s">
        <v>10</v>
      </c>
      <c r="D39" t="s">
        <v>14</v>
      </c>
      <c r="E39" t="s">
        <v>40</v>
      </c>
      <c r="F39" s="1">
        <v>0.8</v>
      </c>
      <c r="G39">
        <v>4</v>
      </c>
      <c r="H39">
        <v>576</v>
      </c>
      <c r="L39" t="e">
        <f>VLOOKUP(N9,P8:S18,0,0)</f>
        <v>#N/A</v>
      </c>
      <c r="R39">
        <v>10403</v>
      </c>
      <c r="S39">
        <v>24</v>
      </c>
      <c r="T39" s="12">
        <v>100</v>
      </c>
      <c r="U39" s="13">
        <v>7</v>
      </c>
      <c r="V39" s="12">
        <v>2434.56</v>
      </c>
      <c r="W39" s="8">
        <v>38568</v>
      </c>
      <c r="X39" s="10" t="s">
        <v>201</v>
      </c>
      <c r="Y39" s="14">
        <f>IF(Table2[[#This Row],[STATUS]]="Shipped",1,0)</f>
        <v>1</v>
      </c>
    </row>
    <row r="40" spans="1:25" x14ac:dyDescent="0.25">
      <c r="A40" t="s">
        <v>128</v>
      </c>
      <c r="B40" t="s">
        <v>129</v>
      </c>
      <c r="C40" t="s">
        <v>65</v>
      </c>
      <c r="D40" t="s">
        <v>130</v>
      </c>
      <c r="E40" t="s">
        <v>131</v>
      </c>
      <c r="F40" s="1">
        <v>0.28000000000000003</v>
      </c>
      <c r="G40">
        <v>4.2</v>
      </c>
      <c r="H40" s="2">
        <v>7298</v>
      </c>
      <c r="R40">
        <v>10417</v>
      </c>
      <c r="S40">
        <v>66</v>
      </c>
      <c r="T40" s="12">
        <v>100</v>
      </c>
      <c r="U40" s="13">
        <v>2</v>
      </c>
      <c r="V40" s="12">
        <v>7516.08</v>
      </c>
      <c r="W40" s="8" t="s">
        <v>219</v>
      </c>
      <c r="X40" s="10" t="s">
        <v>220</v>
      </c>
      <c r="Y40" s="15">
        <f>IF(Table2[[#This Row],[STATUS]]="Shipped",1,0)</f>
        <v>0</v>
      </c>
    </row>
    <row r="41" spans="1:25" x14ac:dyDescent="0.25">
      <c r="A41" t="s">
        <v>132</v>
      </c>
      <c r="B41" t="s">
        <v>133</v>
      </c>
      <c r="C41" t="s">
        <v>10</v>
      </c>
      <c r="D41" t="s">
        <v>78</v>
      </c>
      <c r="E41" t="s">
        <v>103</v>
      </c>
      <c r="F41" s="1">
        <v>0.51</v>
      </c>
      <c r="G41">
        <v>4.2</v>
      </c>
      <c r="H41">
        <v>462</v>
      </c>
      <c r="R41">
        <v>10103</v>
      </c>
      <c r="S41">
        <v>26</v>
      </c>
      <c r="T41" s="12">
        <v>100</v>
      </c>
      <c r="U41" s="13">
        <v>11</v>
      </c>
      <c r="V41" s="12">
        <v>5404.62</v>
      </c>
      <c r="W41" s="8" t="s">
        <v>221</v>
      </c>
      <c r="X41" s="10" t="s">
        <v>201</v>
      </c>
      <c r="Y41" s="14">
        <f>IF(Table2[[#This Row],[STATUS]]="Shipped",1,0)</f>
        <v>1</v>
      </c>
    </row>
    <row r="42" spans="1:25" x14ac:dyDescent="0.25">
      <c r="A42" t="s">
        <v>134</v>
      </c>
      <c r="B42" t="s">
        <v>135</v>
      </c>
      <c r="C42" t="s">
        <v>10</v>
      </c>
      <c r="D42" t="s">
        <v>136</v>
      </c>
      <c r="E42" t="s">
        <v>137</v>
      </c>
      <c r="F42" s="1">
        <v>0.7</v>
      </c>
      <c r="G42">
        <v>4.5</v>
      </c>
      <c r="H42" s="2">
        <v>107687</v>
      </c>
      <c r="R42">
        <v>10112</v>
      </c>
      <c r="S42">
        <v>29</v>
      </c>
      <c r="T42" s="12">
        <v>100</v>
      </c>
      <c r="U42" s="13">
        <v>1</v>
      </c>
      <c r="V42" s="12">
        <v>7209.11</v>
      </c>
      <c r="W42" s="8" t="s">
        <v>222</v>
      </c>
      <c r="X42" s="10" t="s">
        <v>201</v>
      </c>
      <c r="Y42" s="14">
        <f>IF(Table2[[#This Row],[STATUS]]="Shipped",1,0)</f>
        <v>1</v>
      </c>
    </row>
    <row r="43" spans="1:25" x14ac:dyDescent="0.25">
      <c r="A43" t="s">
        <v>138</v>
      </c>
      <c r="B43" t="s">
        <v>139</v>
      </c>
      <c r="C43" t="s">
        <v>65</v>
      </c>
      <c r="D43" t="s">
        <v>98</v>
      </c>
      <c r="E43" t="s">
        <v>140</v>
      </c>
      <c r="F43" s="1">
        <v>0.43</v>
      </c>
      <c r="G43">
        <v>4.3</v>
      </c>
      <c r="H43" s="2">
        <v>27151</v>
      </c>
      <c r="R43">
        <v>10126</v>
      </c>
      <c r="S43">
        <v>38</v>
      </c>
      <c r="T43" s="12">
        <v>100</v>
      </c>
      <c r="U43" s="13" t="s">
        <v>225</v>
      </c>
      <c r="V43" s="12">
        <v>7329.06</v>
      </c>
      <c r="W43" s="8" t="s">
        <v>223</v>
      </c>
      <c r="X43" s="10" t="s">
        <v>220</v>
      </c>
      <c r="Y43" s="15">
        <f>IF(Table2[[#This Row],[STATUS]]="Shipped",1,0)</f>
        <v>0</v>
      </c>
    </row>
    <row r="44" spans="1:25" x14ac:dyDescent="0.25">
      <c r="A44" t="s">
        <v>141</v>
      </c>
      <c r="B44" t="s">
        <v>142</v>
      </c>
      <c r="C44" t="s">
        <v>10</v>
      </c>
      <c r="D44" t="s">
        <v>11</v>
      </c>
      <c r="E44" t="s">
        <v>12</v>
      </c>
      <c r="F44" s="1">
        <v>0.64</v>
      </c>
      <c r="G44">
        <v>4.2</v>
      </c>
      <c r="H44" s="2">
        <v>24269</v>
      </c>
    </row>
    <row r="45" spans="1:25" x14ac:dyDescent="0.25">
      <c r="A45" t="s">
        <v>143</v>
      </c>
      <c r="B45" t="s">
        <v>144</v>
      </c>
      <c r="C45" t="s">
        <v>39</v>
      </c>
      <c r="D45" t="s">
        <v>40</v>
      </c>
      <c r="E45" t="s">
        <v>145</v>
      </c>
      <c r="F45" s="1">
        <v>0.38</v>
      </c>
      <c r="G45">
        <v>4.3</v>
      </c>
      <c r="H45" s="2">
        <v>12093</v>
      </c>
    </row>
    <row r="46" spans="1:25" x14ac:dyDescent="0.25">
      <c r="A46" t="s">
        <v>146</v>
      </c>
      <c r="B46" t="s">
        <v>147</v>
      </c>
      <c r="C46" t="s">
        <v>10</v>
      </c>
      <c r="D46" t="s">
        <v>88</v>
      </c>
      <c r="E46" t="s">
        <v>14</v>
      </c>
      <c r="F46" s="1">
        <v>0.7</v>
      </c>
      <c r="G46">
        <v>4</v>
      </c>
      <c r="H46" s="2">
        <v>9378</v>
      </c>
    </row>
    <row r="47" spans="1:25" x14ac:dyDescent="0.25">
      <c r="A47" t="s">
        <v>148</v>
      </c>
      <c r="B47" t="s">
        <v>149</v>
      </c>
      <c r="C47" t="s">
        <v>10</v>
      </c>
      <c r="D47" t="s">
        <v>150</v>
      </c>
      <c r="E47" t="s">
        <v>40</v>
      </c>
      <c r="F47" s="1">
        <v>0.67</v>
      </c>
      <c r="G47">
        <v>3.3</v>
      </c>
      <c r="H47" s="2">
        <v>9792</v>
      </c>
    </row>
    <row r="48" spans="1:25" x14ac:dyDescent="0.25">
      <c r="A48" t="s">
        <v>151</v>
      </c>
      <c r="B48" t="s">
        <v>152</v>
      </c>
      <c r="C48" t="s">
        <v>39</v>
      </c>
      <c r="D48" t="s">
        <v>153</v>
      </c>
      <c r="E48" t="s">
        <v>154</v>
      </c>
      <c r="F48" s="1">
        <v>0.57999999999999996</v>
      </c>
      <c r="G48">
        <v>4.0999999999999996</v>
      </c>
      <c r="H48" s="2">
        <v>8131</v>
      </c>
    </row>
    <row r="49" spans="1:8" x14ac:dyDescent="0.25">
      <c r="A49" t="s">
        <v>155</v>
      </c>
      <c r="B49" t="s">
        <v>156</v>
      </c>
      <c r="C49" t="s">
        <v>51</v>
      </c>
      <c r="D49" t="s">
        <v>157</v>
      </c>
      <c r="E49" t="s">
        <v>158</v>
      </c>
      <c r="F49" s="1">
        <v>0.35</v>
      </c>
      <c r="G49">
        <v>4.4000000000000004</v>
      </c>
      <c r="H49" s="2">
        <v>426973</v>
      </c>
    </row>
    <row r="50" spans="1:8" x14ac:dyDescent="0.25">
      <c r="A50" t="s">
        <v>159</v>
      </c>
      <c r="B50" t="s">
        <v>160</v>
      </c>
      <c r="C50" t="s">
        <v>161</v>
      </c>
      <c r="D50" t="s">
        <v>11</v>
      </c>
      <c r="E50" t="s">
        <v>40</v>
      </c>
      <c r="F50" s="1">
        <v>0.6</v>
      </c>
      <c r="G50">
        <v>3.6</v>
      </c>
      <c r="H50">
        <v>493</v>
      </c>
    </row>
  </sheetData>
  <mergeCells count="1">
    <mergeCell ref="R3:W3"/>
  </mergeCells>
  <conditionalFormatting sqref="D1:D50">
    <cfRule type="uniqueValues" dxfId="18" priority="20"/>
  </conditionalFormatting>
  <conditionalFormatting sqref="E1:E50">
    <cfRule type="duplicateValues" dxfId="17" priority="19"/>
  </conditionalFormatting>
  <conditionalFormatting sqref="F2:F50">
    <cfRule type="colorScale" priority="18">
      <colorScale>
        <cfvo type="min"/>
        <cfvo type="percentile" val="50"/>
        <cfvo type="max"/>
        <color rgb="FFF8696B"/>
        <color rgb="FFFCFCFF"/>
        <color rgb="FF63BE7B"/>
      </colorScale>
    </cfRule>
  </conditionalFormatting>
  <conditionalFormatting sqref="G2:G51">
    <cfRule type="dataBar" priority="16">
      <dataBar>
        <cfvo type="min"/>
        <cfvo type="max"/>
        <color rgb="FF638EC6"/>
      </dataBar>
      <extLst>
        <ext xmlns:x14="http://schemas.microsoft.com/office/spreadsheetml/2009/9/main" uri="{B025F937-C7B1-47D3-B67F-A62EFF666E3E}">
          <x14:id>{362FDFFC-9825-4EC0-BD99-767C5C1E9FE9}</x14:id>
        </ext>
      </extLst>
    </cfRule>
  </conditionalFormatting>
  <conditionalFormatting sqref="H2:H50">
    <cfRule type="dataBar" priority="17">
      <dataBar>
        <cfvo type="min"/>
        <cfvo type="max"/>
        <color rgb="FF638EC6"/>
      </dataBar>
      <extLst>
        <ext xmlns:x14="http://schemas.microsoft.com/office/spreadsheetml/2009/9/main" uri="{B025F937-C7B1-47D3-B67F-A62EFF666E3E}">
          <x14:id>{D17DCC6B-C720-46CD-90DA-0DE182234185}</x14:id>
        </ext>
      </extLst>
    </cfRule>
  </conditionalFormatting>
  <conditionalFormatting sqref="J3:J21">
    <cfRule type="colorScale" priority="21">
      <colorScale>
        <cfvo type="min"/>
        <cfvo type="max"/>
        <color rgb="FF63BE7B"/>
        <color rgb="FFFFEF9C"/>
      </colorScale>
    </cfRule>
  </conditionalFormatting>
  <conditionalFormatting sqref="L2:L39">
    <cfRule type="colorScale" priority="15">
      <colorScale>
        <cfvo type="min"/>
        <cfvo type="max"/>
        <color rgb="FF63BE7B"/>
        <color rgb="FFFFEF9C"/>
      </colorScale>
    </cfRule>
  </conditionalFormatting>
  <conditionalFormatting sqref="Q6:Q19">
    <cfRule type="colorScale" priority="14">
      <colorScale>
        <cfvo type="min"/>
        <cfvo type="percentile" val="50"/>
        <cfvo type="max"/>
        <color rgb="FFF8696B"/>
        <color rgb="FFFCFCFF"/>
        <color rgb="FF63BE7B"/>
      </colorScale>
    </cfRule>
  </conditionalFormatting>
  <conditionalFormatting sqref="S4:S12">
    <cfRule type="duplicateValues" dxfId="16" priority="8"/>
  </conditionalFormatting>
  <conditionalFormatting sqref="T4:T12">
    <cfRule type="top10" dxfId="15" priority="9" rank="3"/>
    <cfRule type="colorScale" priority="10">
      <colorScale>
        <cfvo type="min"/>
        <cfvo type="percentile" val="50"/>
        <cfvo type="max"/>
        <color rgb="FF63BE7B"/>
        <color rgb="FFFFEB84"/>
        <color rgb="FFF8696B"/>
      </colorScale>
    </cfRule>
  </conditionalFormatting>
  <conditionalFormatting sqref="U4:U12">
    <cfRule type="dataBar" priority="11">
      <dataBar>
        <cfvo type="min"/>
        <cfvo type="max"/>
        <color rgb="FF638EC6"/>
      </dataBar>
      <extLst>
        <ext xmlns:x14="http://schemas.microsoft.com/office/spreadsheetml/2009/9/main" uri="{B025F937-C7B1-47D3-B67F-A62EFF666E3E}">
          <x14:id>{64891FE7-B5B4-4082-9F5C-82FCBEF74D80}</x14:id>
        </ext>
      </extLst>
    </cfRule>
  </conditionalFormatting>
  <conditionalFormatting sqref="V4:V12">
    <cfRule type="cellIs" dxfId="14" priority="13" operator="between">
      <formula>0</formula>
      <formula>381</formula>
    </cfRule>
  </conditionalFormatting>
  <conditionalFormatting sqref="W4:W12">
    <cfRule type="cellIs" dxfId="13" priority="12" operator="greaterThan">
      <formula>10</formula>
    </cfRule>
  </conditionalFormatting>
  <conditionalFormatting sqref="X15:X43">
    <cfRule type="uniqueValues" dxfId="12" priority="3"/>
  </conditionalFormatting>
  <pageMargins left="0.7" right="0.7" top="0.75" bottom="0.75" header="0.3" footer="0.3"/>
  <drawing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362FDFFC-9825-4EC0-BD99-767C5C1E9FE9}">
            <x14:dataBar minLength="0" maxLength="100" gradient="0">
              <x14:cfvo type="autoMin"/>
              <x14:cfvo type="autoMax"/>
              <x14:negativeFillColor rgb="FFFF0000"/>
              <x14:axisColor rgb="FF000000"/>
            </x14:dataBar>
          </x14:cfRule>
          <xm:sqref>G2:G51</xm:sqref>
        </x14:conditionalFormatting>
        <x14:conditionalFormatting xmlns:xm="http://schemas.microsoft.com/office/excel/2006/main">
          <x14:cfRule type="dataBar" id="{D17DCC6B-C720-46CD-90DA-0DE182234185}">
            <x14:dataBar minLength="0" maxLength="100" gradient="0">
              <x14:cfvo type="autoMin"/>
              <x14:cfvo type="autoMax"/>
              <x14:negativeFillColor rgb="FFFF0000"/>
              <x14:axisColor rgb="FF000000"/>
            </x14:dataBar>
          </x14:cfRule>
          <xm:sqref>H2:H50</xm:sqref>
        </x14:conditionalFormatting>
        <x14:conditionalFormatting xmlns:xm="http://schemas.microsoft.com/office/excel/2006/main">
          <x14:cfRule type="dataBar" id="{64891FE7-B5B4-4082-9F5C-82FCBEF74D80}">
            <x14:dataBar minLength="0" maxLength="100" border="1" negativeBarBorderColorSameAsPositive="0">
              <x14:cfvo type="autoMin"/>
              <x14:cfvo type="autoMax"/>
              <x14:borderColor rgb="FF638EC6"/>
              <x14:negativeFillColor rgb="FFFF0000"/>
              <x14:negativeBorderColor rgb="FFFF0000"/>
              <x14:axisColor rgb="FF000000"/>
            </x14:dataBar>
          </x14:cfRule>
          <xm:sqref>U4:U12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4E444-F3EC-49CD-B6F8-B9EA1F2B55FA}">
  <dimension ref="A1:AR6438"/>
  <sheetViews>
    <sheetView tabSelected="1" topLeftCell="A73" zoomScaleNormal="100" workbookViewId="0">
      <selection activeCell="W100" sqref="W100"/>
    </sheetView>
  </sheetViews>
  <sheetFormatPr defaultRowHeight="15" x14ac:dyDescent="0.25"/>
  <cols>
    <col min="1" max="1" width="13.140625" customWidth="1"/>
    <col min="2" max="2" width="13.28515625" customWidth="1"/>
    <col min="3" max="3" width="12.85546875" customWidth="1"/>
    <col min="4" max="4" width="12.28515625" customWidth="1"/>
    <col min="5" max="5" width="11.85546875" customWidth="1"/>
    <col min="6" max="6" width="12.28515625" customWidth="1"/>
    <col min="7" max="7" width="15.140625" customWidth="1"/>
    <col min="8" max="8" width="16.42578125" customWidth="1"/>
    <col min="9" max="9" width="8" customWidth="1"/>
    <col min="10" max="10" width="19.42578125" customWidth="1"/>
    <col min="11" max="11" width="15.42578125" style="8" customWidth="1"/>
    <col min="12" max="12" width="19.42578125" customWidth="1"/>
    <col min="13" max="13" width="15.42578125" customWidth="1"/>
    <col min="14" max="14" width="12.7109375" customWidth="1"/>
    <col min="15" max="15" width="12.5703125" customWidth="1"/>
    <col min="16" max="16" width="11.42578125" customWidth="1"/>
    <col min="17" max="17" width="12.5703125" customWidth="1"/>
    <col min="18" max="18" width="19.85546875" customWidth="1"/>
    <col min="19" max="19" width="9.5703125" customWidth="1"/>
    <col min="20" max="20" width="16.28515625" customWidth="1"/>
    <col min="21" max="21" width="20.28515625" bestFit="1" customWidth="1"/>
    <col min="22" max="22" width="16.28515625" bestFit="1" customWidth="1"/>
    <col min="23" max="23" width="11" bestFit="1" customWidth="1"/>
    <col min="24" max="24" width="12" bestFit="1" customWidth="1"/>
    <col min="31" max="31" width="12.28515625" bestFit="1" customWidth="1"/>
    <col min="32" max="32" width="20.28515625" bestFit="1" customWidth="1"/>
    <col min="33" max="33" width="19.140625" bestFit="1" customWidth="1"/>
    <col min="36" max="36" width="12.42578125" customWidth="1"/>
    <col min="37" max="37" width="11.5703125" customWidth="1"/>
    <col min="38" max="38" width="11.42578125" customWidth="1"/>
    <col min="39" max="39" width="11.5703125" customWidth="1"/>
  </cols>
  <sheetData>
    <row r="1" spans="1:44" ht="28.5" x14ac:dyDescent="0.45">
      <c r="A1" s="8" t="s">
        <v>226</v>
      </c>
      <c r="B1" t="s">
        <v>227</v>
      </c>
      <c r="C1" t="s">
        <v>228</v>
      </c>
      <c r="D1" t="s">
        <v>229</v>
      </c>
      <c r="E1" t="s">
        <v>230</v>
      </c>
      <c r="F1" t="s">
        <v>231</v>
      </c>
      <c r="G1" t="s">
        <v>232</v>
      </c>
      <c r="J1" t="s">
        <v>233</v>
      </c>
      <c r="K1" s="8" t="s">
        <v>226</v>
      </c>
      <c r="L1" t="s">
        <v>227</v>
      </c>
      <c r="M1" t="s">
        <v>228</v>
      </c>
      <c r="N1" t="s">
        <v>229</v>
      </c>
      <c r="O1" t="s">
        <v>230</v>
      </c>
      <c r="P1" t="s">
        <v>231</v>
      </c>
      <c r="Q1" t="s">
        <v>232</v>
      </c>
      <c r="R1" t="s">
        <v>279</v>
      </c>
      <c r="T1" s="20"/>
      <c r="V1" s="24" t="s">
        <v>234</v>
      </c>
    </row>
    <row r="2" spans="1:44" x14ac:dyDescent="0.25">
      <c r="A2" s="8">
        <v>40214</v>
      </c>
      <c r="B2">
        <v>1643690.9</v>
      </c>
      <c r="C2">
        <v>0</v>
      </c>
      <c r="D2">
        <v>42.31</v>
      </c>
      <c r="E2">
        <v>2.5720000000000001</v>
      </c>
      <c r="F2">
        <v>211.0963582</v>
      </c>
      <c r="G2">
        <v>8.1059999999999999</v>
      </c>
      <c r="J2">
        <v>1</v>
      </c>
      <c r="K2" s="8">
        <v>40214</v>
      </c>
      <c r="L2">
        <v>1643690.9</v>
      </c>
      <c r="M2">
        <v>0</v>
      </c>
      <c r="N2">
        <v>42.31</v>
      </c>
      <c r="O2">
        <v>2.5720000000000001</v>
      </c>
      <c r="P2">
        <v>211.0963582</v>
      </c>
      <c r="Q2">
        <v>8.1059999999999999</v>
      </c>
      <c r="R2" t="e">
        <v>#N/A</v>
      </c>
    </row>
    <row r="3" spans="1:44" ht="21" x14ac:dyDescent="0.35">
      <c r="A3" s="8">
        <v>40221</v>
      </c>
      <c r="B3">
        <v>1641957.44</v>
      </c>
      <c r="C3">
        <v>1</v>
      </c>
      <c r="D3">
        <v>38.51</v>
      </c>
      <c r="E3">
        <v>2.548</v>
      </c>
      <c r="F3">
        <v>211.2421698</v>
      </c>
      <c r="G3">
        <v>8.1059999999999999</v>
      </c>
      <c r="J3">
        <v>1</v>
      </c>
      <c r="K3" s="8">
        <v>40221</v>
      </c>
      <c r="L3">
        <v>1641957.44</v>
      </c>
      <c r="M3">
        <v>1</v>
      </c>
      <c r="N3">
        <v>38.51</v>
      </c>
      <c r="O3">
        <v>2.548</v>
      </c>
      <c r="P3">
        <v>211.2421698</v>
      </c>
      <c r="Q3">
        <v>8.1059999999999999</v>
      </c>
      <c r="R3" t="e">
        <v>#N/A</v>
      </c>
      <c r="W3" s="20" t="s">
        <v>235</v>
      </c>
      <c r="AF3" s="20" t="s">
        <v>278</v>
      </c>
      <c r="AO3" s="23" t="s">
        <v>293</v>
      </c>
    </row>
    <row r="4" spans="1:44" ht="15.75" thickBot="1" x14ac:dyDescent="0.3">
      <c r="A4" s="8">
        <v>40228</v>
      </c>
      <c r="B4">
        <v>1611968.17</v>
      </c>
      <c r="C4">
        <v>0</v>
      </c>
      <c r="D4">
        <v>39.93</v>
      </c>
      <c r="E4">
        <v>2.5139999999999998</v>
      </c>
      <c r="F4">
        <v>211.2891429</v>
      </c>
      <c r="G4">
        <v>8.1059999999999999</v>
      </c>
      <c r="J4">
        <v>1</v>
      </c>
      <c r="K4" s="8">
        <v>40228</v>
      </c>
      <c r="L4">
        <v>1611968.17</v>
      </c>
      <c r="M4">
        <v>0</v>
      </c>
      <c r="N4">
        <v>39.93</v>
      </c>
      <c r="O4">
        <v>2.5139999999999998</v>
      </c>
      <c r="P4">
        <v>211.2891429</v>
      </c>
      <c r="Q4">
        <v>8.1059999999999999</v>
      </c>
      <c r="R4">
        <f t="shared" ref="R4:R35" si="0">AVERAGE(L2:L4)</f>
        <v>1632538.8366666667</v>
      </c>
    </row>
    <row r="5" spans="1:44" ht="15.75" thickBot="1" x14ac:dyDescent="0.3">
      <c r="A5" s="8">
        <v>40235</v>
      </c>
      <c r="B5">
        <v>1409727.59</v>
      </c>
      <c r="C5">
        <v>0</v>
      </c>
      <c r="D5">
        <v>46.63</v>
      </c>
      <c r="E5">
        <v>2.5609999999999999</v>
      </c>
      <c r="F5">
        <v>211.31964289999999</v>
      </c>
      <c r="G5">
        <v>8.1059999999999999</v>
      </c>
      <c r="J5">
        <v>1</v>
      </c>
      <c r="K5" s="8">
        <v>40235</v>
      </c>
      <c r="L5">
        <v>1409727.59</v>
      </c>
      <c r="M5">
        <v>0</v>
      </c>
      <c r="N5">
        <v>46.63</v>
      </c>
      <c r="O5">
        <v>2.5609999999999999</v>
      </c>
      <c r="P5">
        <v>211.31964289999999</v>
      </c>
      <c r="Q5">
        <v>8.1059999999999999</v>
      </c>
      <c r="R5">
        <f t="shared" si="0"/>
        <v>1554551.0666666667</v>
      </c>
      <c r="AO5" s="19" t="s">
        <v>290</v>
      </c>
      <c r="AP5" s="19" t="s">
        <v>192</v>
      </c>
      <c r="AQ5" s="19" t="s">
        <v>291</v>
      </c>
      <c r="AR5" s="19" t="s">
        <v>292</v>
      </c>
    </row>
    <row r="6" spans="1:44" x14ac:dyDescent="0.25">
      <c r="A6" s="8">
        <v>40242</v>
      </c>
      <c r="B6">
        <v>1554806.68</v>
      </c>
      <c r="C6">
        <v>0</v>
      </c>
      <c r="D6">
        <v>46.5</v>
      </c>
      <c r="E6">
        <v>2.625</v>
      </c>
      <c r="F6">
        <v>211.35014290000001</v>
      </c>
      <c r="G6">
        <v>8.1059999999999999</v>
      </c>
      <c r="J6">
        <v>1</v>
      </c>
      <c r="K6" s="8">
        <v>40242</v>
      </c>
      <c r="L6">
        <v>1554806.68</v>
      </c>
      <c r="M6">
        <v>0</v>
      </c>
      <c r="N6">
        <v>46.5</v>
      </c>
      <c r="O6">
        <v>2.625</v>
      </c>
      <c r="P6">
        <v>211.35014290000001</v>
      </c>
      <c r="Q6">
        <v>8.1059999999999999</v>
      </c>
      <c r="R6">
        <f t="shared" si="0"/>
        <v>1525500.8133333332</v>
      </c>
      <c r="T6" s="19"/>
      <c r="U6" s="19">
        <v>1</v>
      </c>
      <c r="V6" s="19">
        <v>40214</v>
      </c>
      <c r="W6" s="19">
        <v>1643690.9</v>
      </c>
      <c r="X6" s="19">
        <v>0</v>
      </c>
      <c r="Y6" s="19">
        <v>42.31</v>
      </c>
      <c r="Z6" s="19">
        <v>2.5720000000000001</v>
      </c>
      <c r="AA6" s="19">
        <v>211.0963582</v>
      </c>
      <c r="AB6" s="19">
        <v>8.1059999999999999</v>
      </c>
      <c r="AE6" t="s">
        <v>254</v>
      </c>
      <c r="AO6" s="21">
        <v>20</v>
      </c>
      <c r="AP6" s="27">
        <v>2124451.54</v>
      </c>
      <c r="AQ6" s="21">
        <v>1</v>
      </c>
      <c r="AR6" s="28">
        <v>1</v>
      </c>
    </row>
    <row r="7" spans="1:44" ht="15.75" thickBot="1" x14ac:dyDescent="0.3">
      <c r="A7" s="8">
        <v>40249</v>
      </c>
      <c r="B7">
        <v>1439541.59</v>
      </c>
      <c r="C7">
        <v>0</v>
      </c>
      <c r="D7">
        <v>57.79</v>
      </c>
      <c r="E7">
        <v>2.6669999999999998</v>
      </c>
      <c r="F7">
        <v>211.3806429</v>
      </c>
      <c r="G7">
        <v>8.1059999999999999</v>
      </c>
      <c r="J7">
        <v>1</v>
      </c>
      <c r="K7" s="8">
        <v>40249</v>
      </c>
      <c r="L7">
        <v>1439541.59</v>
      </c>
      <c r="M7">
        <v>0</v>
      </c>
      <c r="N7">
        <v>57.79</v>
      </c>
      <c r="O7">
        <v>2.6669999999999998</v>
      </c>
      <c r="P7">
        <v>211.3806429</v>
      </c>
      <c r="Q7">
        <v>8.1059999999999999</v>
      </c>
      <c r="R7">
        <f t="shared" si="0"/>
        <v>1468025.2866666669</v>
      </c>
      <c r="T7" s="21">
        <v>1</v>
      </c>
      <c r="U7" s="21">
        <v>1</v>
      </c>
      <c r="V7" s="21"/>
      <c r="W7" s="21"/>
      <c r="X7" s="21"/>
      <c r="Y7" s="21"/>
      <c r="Z7" s="21"/>
      <c r="AA7" s="21"/>
      <c r="AB7" s="21"/>
      <c r="AO7" s="21">
        <v>26</v>
      </c>
      <c r="AP7" s="27">
        <v>2066187.72</v>
      </c>
      <c r="AQ7" s="21">
        <v>2</v>
      </c>
      <c r="AR7" s="28">
        <v>0.98</v>
      </c>
    </row>
    <row r="8" spans="1:44" x14ac:dyDescent="0.25">
      <c r="A8" s="8">
        <v>40256</v>
      </c>
      <c r="B8">
        <v>1472515.79</v>
      </c>
      <c r="C8">
        <v>0</v>
      </c>
      <c r="D8">
        <v>54.58</v>
      </c>
      <c r="E8">
        <v>2.72</v>
      </c>
      <c r="F8">
        <v>211.21563499999999</v>
      </c>
      <c r="G8">
        <v>8.1059999999999999</v>
      </c>
      <c r="J8">
        <v>1</v>
      </c>
      <c r="K8" s="8">
        <v>40256</v>
      </c>
      <c r="L8">
        <v>1472515.79</v>
      </c>
      <c r="M8">
        <v>0</v>
      </c>
      <c r="N8">
        <v>54.58</v>
      </c>
      <c r="O8">
        <v>2.72</v>
      </c>
      <c r="P8">
        <v>211.21563499999999</v>
      </c>
      <c r="Q8">
        <v>8.1059999999999999</v>
      </c>
      <c r="R8">
        <f t="shared" si="0"/>
        <v>1488954.6866666668</v>
      </c>
      <c r="T8" s="21">
        <v>40214</v>
      </c>
      <c r="U8" s="21">
        <v>0.41891415686846317</v>
      </c>
      <c r="V8" s="21">
        <v>1</v>
      </c>
      <c r="W8" s="21"/>
      <c r="X8" s="21"/>
      <c r="Y8" s="21"/>
      <c r="Z8" s="21"/>
      <c r="AA8" s="21"/>
      <c r="AB8" s="21"/>
      <c r="AE8" s="22" t="s">
        <v>255</v>
      </c>
      <c r="AF8" s="22"/>
      <c r="AO8" s="21">
        <v>32</v>
      </c>
      <c r="AP8" s="27">
        <v>2003940.64</v>
      </c>
      <c r="AQ8" s="21">
        <v>3</v>
      </c>
      <c r="AR8" s="28">
        <v>0.96099999999999997</v>
      </c>
    </row>
    <row r="9" spans="1:44" x14ac:dyDescent="0.25">
      <c r="A9" s="8">
        <v>40263</v>
      </c>
      <c r="B9">
        <v>1404429.92</v>
      </c>
      <c r="C9">
        <v>0</v>
      </c>
      <c r="D9">
        <v>51.45</v>
      </c>
      <c r="E9">
        <v>2.7320000000000002</v>
      </c>
      <c r="F9">
        <v>211.01804240000001</v>
      </c>
      <c r="G9">
        <v>8.1059999999999999</v>
      </c>
      <c r="J9">
        <v>1</v>
      </c>
      <c r="K9" s="8">
        <v>40263</v>
      </c>
      <c r="L9">
        <v>1404429.92</v>
      </c>
      <c r="M9">
        <v>0</v>
      </c>
      <c r="N9">
        <v>51.45</v>
      </c>
      <c r="O9">
        <v>2.7320000000000002</v>
      </c>
      <c r="P9">
        <v>211.01804240000001</v>
      </c>
      <c r="Q9">
        <v>8.1059999999999999</v>
      </c>
      <c r="R9">
        <f t="shared" si="0"/>
        <v>1438829.0999999999</v>
      </c>
      <c r="T9" s="21">
        <v>1643690.9</v>
      </c>
      <c r="U9" s="21">
        <v>-0.66250079477937573</v>
      </c>
      <c r="V9" s="21">
        <v>-0.24973067402558327</v>
      </c>
      <c r="W9" s="21">
        <v>1</v>
      </c>
      <c r="X9" s="21"/>
      <c r="Y9" s="21"/>
      <c r="Z9" s="21"/>
      <c r="AA9" s="21"/>
      <c r="AB9" s="21"/>
      <c r="AE9" s="21" t="s">
        <v>256</v>
      </c>
      <c r="AF9" s="21">
        <v>0.31374149549248387</v>
      </c>
      <c r="AO9" s="21">
        <v>30</v>
      </c>
      <c r="AP9" s="27">
        <v>2001636.96</v>
      </c>
      <c r="AQ9" s="21">
        <v>4</v>
      </c>
      <c r="AR9" s="28">
        <v>0.94199999999999995</v>
      </c>
    </row>
    <row r="10" spans="1:44" x14ac:dyDescent="0.25">
      <c r="A10" s="8">
        <v>40270</v>
      </c>
      <c r="B10">
        <v>1594968.28</v>
      </c>
      <c r="C10">
        <v>0</v>
      </c>
      <c r="D10">
        <v>62.27</v>
      </c>
      <c r="E10">
        <v>2.7189999999999999</v>
      </c>
      <c r="F10">
        <v>210.8204499</v>
      </c>
      <c r="G10">
        <v>7.8079999999999998</v>
      </c>
      <c r="J10">
        <v>1</v>
      </c>
      <c r="K10" s="8">
        <v>40270</v>
      </c>
      <c r="L10">
        <v>1594968.28</v>
      </c>
      <c r="M10">
        <v>0</v>
      </c>
      <c r="N10">
        <v>62.27</v>
      </c>
      <c r="O10">
        <v>2.7189999999999999</v>
      </c>
      <c r="P10">
        <v>210.8204499</v>
      </c>
      <c r="Q10">
        <v>7.8079999999999998</v>
      </c>
      <c r="R10">
        <f t="shared" si="0"/>
        <v>1490637.9966666668</v>
      </c>
      <c r="T10" s="21">
        <v>0</v>
      </c>
      <c r="U10" s="21">
        <v>-0.16607116467204541</v>
      </c>
      <c r="V10" s="21">
        <v>-0.24228262706686798</v>
      </c>
      <c r="W10" s="21">
        <v>6.844262952251462E-2</v>
      </c>
      <c r="X10" s="21">
        <v>1</v>
      </c>
      <c r="Y10" s="21"/>
      <c r="Z10" s="21"/>
      <c r="AA10" s="21"/>
      <c r="AB10" s="21"/>
      <c r="AE10" s="21" t="s">
        <v>257</v>
      </c>
      <c r="AF10" s="21">
        <v>9.8433725993860285E-2</v>
      </c>
      <c r="AO10" s="21">
        <v>37</v>
      </c>
      <c r="AP10" s="27">
        <v>1991909.98</v>
      </c>
      <c r="AQ10" s="21">
        <v>5</v>
      </c>
      <c r="AR10" s="28">
        <v>0.92300000000000004</v>
      </c>
    </row>
    <row r="11" spans="1:44" x14ac:dyDescent="0.25">
      <c r="A11" s="8">
        <v>40277</v>
      </c>
      <c r="B11">
        <v>1545418.53</v>
      </c>
      <c r="C11">
        <v>0</v>
      </c>
      <c r="D11">
        <v>65.86</v>
      </c>
      <c r="E11">
        <v>2.77</v>
      </c>
      <c r="F11">
        <v>210.62285739999999</v>
      </c>
      <c r="G11">
        <v>7.8079999999999998</v>
      </c>
      <c r="J11">
        <v>1</v>
      </c>
      <c r="K11" s="8">
        <v>40277</v>
      </c>
      <c r="L11">
        <v>1545418.53</v>
      </c>
      <c r="M11">
        <v>0</v>
      </c>
      <c r="N11">
        <v>65.86</v>
      </c>
      <c r="O11">
        <v>2.77</v>
      </c>
      <c r="P11">
        <v>210.62285739999999</v>
      </c>
      <c r="Q11">
        <v>7.8079999999999998</v>
      </c>
      <c r="R11">
        <f t="shared" si="0"/>
        <v>1514938.9100000001</v>
      </c>
      <c r="T11" s="21">
        <v>42.31</v>
      </c>
      <c r="U11" s="21">
        <v>0.42141692619889959</v>
      </c>
      <c r="V11" s="21">
        <v>0.95319316690991573</v>
      </c>
      <c r="W11" s="21">
        <v>-0.30737008269525928</v>
      </c>
      <c r="X11" s="21">
        <v>-0.3029133845955525</v>
      </c>
      <c r="Y11" s="21">
        <v>1</v>
      </c>
      <c r="Z11" s="21"/>
      <c r="AA11" s="21"/>
      <c r="AB11" s="21"/>
      <c r="AE11" s="21" t="s">
        <v>258</v>
      </c>
      <c r="AF11" s="21">
        <v>8.0755955915308528E-2</v>
      </c>
      <c r="AO11" s="21">
        <v>22</v>
      </c>
      <c r="AP11" s="27">
        <v>1991013.13</v>
      </c>
      <c r="AQ11" s="21">
        <v>6</v>
      </c>
      <c r="AR11" s="28">
        <v>0.90300000000000002</v>
      </c>
    </row>
    <row r="12" spans="1:44" x14ac:dyDescent="0.25">
      <c r="A12" s="8">
        <v>40284</v>
      </c>
      <c r="B12">
        <v>1466058.28</v>
      </c>
      <c r="C12">
        <v>0</v>
      </c>
      <c r="D12">
        <v>66.319999999999993</v>
      </c>
      <c r="E12">
        <v>2.8079999999999998</v>
      </c>
      <c r="F12">
        <v>210.48869999999999</v>
      </c>
      <c r="G12">
        <v>7.8079999999999998</v>
      </c>
      <c r="J12">
        <v>1</v>
      </c>
      <c r="K12" s="8">
        <v>40284</v>
      </c>
      <c r="L12">
        <v>1466058.28</v>
      </c>
      <c r="M12">
        <v>0</v>
      </c>
      <c r="N12">
        <v>66.319999999999993</v>
      </c>
      <c r="O12">
        <v>2.8079999999999998</v>
      </c>
      <c r="P12">
        <v>210.48869999999999</v>
      </c>
      <c r="Q12">
        <v>7.8079999999999998</v>
      </c>
      <c r="R12">
        <f t="shared" si="0"/>
        <v>1535481.6966666665</v>
      </c>
      <c r="T12" s="21">
        <v>2.5720000000000001</v>
      </c>
      <c r="U12" s="21">
        <v>2.1345820428520911E-2</v>
      </c>
      <c r="V12" s="21">
        <v>7.1405306131025351E-4</v>
      </c>
      <c r="W12" s="21">
        <v>-0.24801415735882892</v>
      </c>
      <c r="X12" s="21">
        <v>-0.23946081414619025</v>
      </c>
      <c r="Y12" s="21">
        <v>0.20305424539091127</v>
      </c>
      <c r="Z12" s="21">
        <v>1</v>
      </c>
      <c r="AA12" s="21"/>
      <c r="AB12" s="21"/>
      <c r="AE12" s="21" t="s">
        <v>237</v>
      </c>
      <c r="AF12" s="21">
        <v>618619.78797862364</v>
      </c>
      <c r="AO12" s="21">
        <v>23</v>
      </c>
      <c r="AP12" s="27">
        <v>1990483.78</v>
      </c>
      <c r="AQ12" s="21">
        <v>7</v>
      </c>
      <c r="AR12" s="28">
        <v>0.88400000000000001</v>
      </c>
    </row>
    <row r="13" spans="1:44" ht="15.75" thickBot="1" x14ac:dyDescent="0.3">
      <c r="A13" s="8">
        <v>40291</v>
      </c>
      <c r="B13">
        <v>1391256.12</v>
      </c>
      <c r="C13">
        <v>0</v>
      </c>
      <c r="D13">
        <v>64.84</v>
      </c>
      <c r="E13">
        <v>2.7949999999999999</v>
      </c>
      <c r="F13">
        <v>210.43912280000001</v>
      </c>
      <c r="G13">
        <v>7.8079999999999998</v>
      </c>
      <c r="J13">
        <v>1</v>
      </c>
      <c r="K13" s="8">
        <v>40291</v>
      </c>
      <c r="L13">
        <v>1391256.12</v>
      </c>
      <c r="M13">
        <v>0</v>
      </c>
      <c r="N13">
        <v>64.84</v>
      </c>
      <c r="O13">
        <v>2.7949999999999999</v>
      </c>
      <c r="P13">
        <v>210.43912280000001</v>
      </c>
      <c r="Q13">
        <v>7.8079999999999998</v>
      </c>
      <c r="R13">
        <f t="shared" si="0"/>
        <v>1467577.6433333333</v>
      </c>
      <c r="T13" s="21">
        <v>211.0963582</v>
      </c>
      <c r="U13" s="21">
        <v>0.80734117941149242</v>
      </c>
      <c r="V13" s="21">
        <v>0.34287392349381079</v>
      </c>
      <c r="W13" s="21">
        <v>-0.92724873020873333</v>
      </c>
      <c r="X13" s="21">
        <v>-5.2263730210631285E-2</v>
      </c>
      <c r="Y13" s="21">
        <v>0.35377083369552464</v>
      </c>
      <c r="Z13" s="21">
        <v>-2.7465475562429814E-2</v>
      </c>
      <c r="AA13" s="21">
        <v>1</v>
      </c>
      <c r="AB13" s="21"/>
      <c r="AE13" s="18" t="s">
        <v>259</v>
      </c>
      <c r="AF13" s="18">
        <v>53</v>
      </c>
      <c r="AO13" s="21">
        <v>27</v>
      </c>
      <c r="AP13" s="27">
        <v>1954689.21</v>
      </c>
      <c r="AQ13" s="21">
        <v>8</v>
      </c>
      <c r="AR13" s="28">
        <v>0.86499999999999999</v>
      </c>
    </row>
    <row r="14" spans="1:44" ht="15.75" thickBot="1" x14ac:dyDescent="0.3">
      <c r="A14" s="8">
        <v>40298</v>
      </c>
      <c r="B14">
        <v>1425100.71</v>
      </c>
      <c r="C14">
        <v>0</v>
      </c>
      <c r="D14">
        <v>67.41</v>
      </c>
      <c r="E14">
        <v>2.78</v>
      </c>
      <c r="F14">
        <v>210.38954559999999</v>
      </c>
      <c r="G14">
        <v>7.8079999999999998</v>
      </c>
      <c r="J14">
        <v>1</v>
      </c>
      <c r="K14" s="8">
        <v>40298</v>
      </c>
      <c r="L14">
        <v>1425100.71</v>
      </c>
      <c r="M14">
        <v>0</v>
      </c>
      <c r="N14">
        <v>67.41</v>
      </c>
      <c r="O14">
        <v>2.78</v>
      </c>
      <c r="P14">
        <v>210.38954559999999</v>
      </c>
      <c r="Q14">
        <v>7.8079999999999998</v>
      </c>
      <c r="R14">
        <f t="shared" si="0"/>
        <v>1427471.7033333334</v>
      </c>
      <c r="T14" s="18">
        <v>8.1059999999999999</v>
      </c>
      <c r="U14" s="18">
        <v>-0.59404965136424337</v>
      </c>
      <c r="V14" s="18">
        <v>-0.38388527748725038</v>
      </c>
      <c r="W14" s="18">
        <v>0.95447869697784204</v>
      </c>
      <c r="X14" s="18">
        <v>9.5723356754852884E-2</v>
      </c>
      <c r="Y14" s="18">
        <v>-0.46699664626361087</v>
      </c>
      <c r="Z14" s="18">
        <v>-0.33908143627980525</v>
      </c>
      <c r="AA14" s="18">
        <v>-0.86064003789626942</v>
      </c>
      <c r="AB14" s="18">
        <v>1</v>
      </c>
      <c r="AO14" s="21">
        <v>24</v>
      </c>
      <c r="AP14" s="27">
        <v>1946070.88</v>
      </c>
      <c r="AQ14" s="21">
        <v>9</v>
      </c>
      <c r="AR14" s="28">
        <v>0.84599999999999997</v>
      </c>
    </row>
    <row r="15" spans="1:44" ht="15.75" thickBot="1" x14ac:dyDescent="0.3">
      <c r="A15" s="8">
        <v>40305</v>
      </c>
      <c r="B15">
        <v>1603955.12</v>
      </c>
      <c r="C15">
        <v>0</v>
      </c>
      <c r="D15">
        <v>72.55</v>
      </c>
      <c r="E15">
        <v>2.835</v>
      </c>
      <c r="F15">
        <v>210.3399684</v>
      </c>
      <c r="G15">
        <v>7.8079999999999998</v>
      </c>
      <c r="J15">
        <v>1</v>
      </c>
      <c r="K15" s="8">
        <v>40305</v>
      </c>
      <c r="L15">
        <v>1603955.12</v>
      </c>
      <c r="M15">
        <v>0</v>
      </c>
      <c r="N15">
        <v>72.55</v>
      </c>
      <c r="O15">
        <v>2.835</v>
      </c>
      <c r="P15">
        <v>210.3399684</v>
      </c>
      <c r="Q15">
        <v>7.8079999999999998</v>
      </c>
      <c r="R15">
        <f t="shared" si="0"/>
        <v>1473437.3166666667</v>
      </c>
      <c r="AE15" t="s">
        <v>260</v>
      </c>
      <c r="AO15" s="21">
        <v>31</v>
      </c>
      <c r="AP15" s="27">
        <v>1939927.09</v>
      </c>
      <c r="AQ15" s="21">
        <v>10</v>
      </c>
      <c r="AR15" s="28">
        <v>0.82599999999999996</v>
      </c>
    </row>
    <row r="16" spans="1:44" x14ac:dyDescent="0.25">
      <c r="A16" s="8">
        <v>40312</v>
      </c>
      <c r="B16">
        <v>1494251.5</v>
      </c>
      <c r="C16">
        <v>0</v>
      </c>
      <c r="D16">
        <v>74.78</v>
      </c>
      <c r="E16">
        <v>2.8540000000000001</v>
      </c>
      <c r="F16">
        <v>210.33742609999999</v>
      </c>
      <c r="G16">
        <v>7.8079999999999998</v>
      </c>
      <c r="J16">
        <v>1</v>
      </c>
      <c r="K16" s="8">
        <v>40312</v>
      </c>
      <c r="L16">
        <v>1494251.5</v>
      </c>
      <c r="M16">
        <v>0</v>
      </c>
      <c r="N16">
        <v>74.78</v>
      </c>
      <c r="O16">
        <v>2.8540000000000001</v>
      </c>
      <c r="P16">
        <v>210.33742609999999</v>
      </c>
      <c r="Q16">
        <v>7.8079999999999998</v>
      </c>
      <c r="R16">
        <f t="shared" si="0"/>
        <v>1507769.11</v>
      </c>
      <c r="AE16" s="19"/>
      <c r="AF16" s="19" t="s">
        <v>265</v>
      </c>
      <c r="AG16" s="19" t="s">
        <v>266</v>
      </c>
      <c r="AH16" s="19" t="s">
        <v>267</v>
      </c>
      <c r="AI16" s="19" t="s">
        <v>268</v>
      </c>
      <c r="AJ16" s="19" t="s">
        <v>269</v>
      </c>
      <c r="AO16" s="21">
        <v>38</v>
      </c>
      <c r="AP16" s="27">
        <v>1895601.05</v>
      </c>
      <c r="AQ16" s="21">
        <v>11</v>
      </c>
      <c r="AR16" s="28">
        <v>0.80700000000000005</v>
      </c>
    </row>
    <row r="17" spans="1:44" ht="18.75" x14ac:dyDescent="0.3">
      <c r="A17" s="8">
        <v>40319</v>
      </c>
      <c r="B17">
        <v>1399662.07</v>
      </c>
      <c r="C17">
        <v>0</v>
      </c>
      <c r="D17">
        <v>76.44</v>
      </c>
      <c r="E17">
        <v>2.8260000000000001</v>
      </c>
      <c r="F17">
        <v>210.61709339999999</v>
      </c>
      <c r="G17">
        <v>7.8079999999999998</v>
      </c>
      <c r="J17">
        <v>1</v>
      </c>
      <c r="K17" s="8">
        <v>40319</v>
      </c>
      <c r="L17">
        <v>1399662.07</v>
      </c>
      <c r="M17">
        <v>0</v>
      </c>
      <c r="N17">
        <v>76.44</v>
      </c>
      <c r="O17">
        <v>2.8260000000000001</v>
      </c>
      <c r="P17">
        <v>210.61709339999999</v>
      </c>
      <c r="Q17">
        <v>7.8079999999999998</v>
      </c>
      <c r="R17">
        <f t="shared" si="0"/>
        <v>1499289.5633333335</v>
      </c>
      <c r="W17" s="23" t="s">
        <v>249</v>
      </c>
      <c r="AE17" s="21" t="s">
        <v>261</v>
      </c>
      <c r="AF17" s="21">
        <v>1</v>
      </c>
      <c r="AG17" s="21">
        <v>2130904856701.9141</v>
      </c>
      <c r="AH17" s="21">
        <v>2130904856701.9141</v>
      </c>
      <c r="AI17" s="21">
        <v>5.5682207403120847</v>
      </c>
      <c r="AJ17" s="21">
        <v>2.2154623026879157E-2</v>
      </c>
      <c r="AO17" s="21">
        <v>33</v>
      </c>
      <c r="AP17" s="27">
        <v>1880902.62</v>
      </c>
      <c r="AQ17" s="21">
        <v>12</v>
      </c>
      <c r="AR17" s="28">
        <v>0.78800000000000003</v>
      </c>
    </row>
    <row r="18" spans="1:44" ht="15.75" thickBot="1" x14ac:dyDescent="0.3">
      <c r="A18" s="8">
        <v>40326</v>
      </c>
      <c r="B18">
        <v>1432069.95</v>
      </c>
      <c r="C18">
        <v>0</v>
      </c>
      <c r="D18">
        <v>80.44</v>
      </c>
      <c r="E18">
        <v>2.7589999999999999</v>
      </c>
      <c r="F18">
        <v>210.89676059999999</v>
      </c>
      <c r="G18">
        <v>7.8079999999999998</v>
      </c>
      <c r="J18">
        <v>1</v>
      </c>
      <c r="K18" s="8">
        <v>40326</v>
      </c>
      <c r="L18">
        <v>1432069.95</v>
      </c>
      <c r="M18">
        <v>0</v>
      </c>
      <c r="N18">
        <v>80.44</v>
      </c>
      <c r="O18">
        <v>2.7589999999999999</v>
      </c>
      <c r="P18">
        <v>210.89676059999999</v>
      </c>
      <c r="Q18">
        <v>7.8079999999999998</v>
      </c>
      <c r="R18">
        <f t="shared" si="0"/>
        <v>1441994.5066666668</v>
      </c>
      <c r="AE18" s="21" t="s">
        <v>262</v>
      </c>
      <c r="AF18" s="21">
        <v>51</v>
      </c>
      <c r="AG18" s="21">
        <v>19517212546014.582</v>
      </c>
      <c r="AH18" s="21">
        <v>382690442078.71729</v>
      </c>
      <c r="AI18" s="21"/>
      <c r="AJ18" s="21"/>
      <c r="AO18" s="21">
        <v>28</v>
      </c>
      <c r="AP18" s="27">
        <v>1874957.94</v>
      </c>
      <c r="AQ18" s="21">
        <v>13</v>
      </c>
      <c r="AR18" s="28">
        <v>0.76900000000000002</v>
      </c>
    </row>
    <row r="19" spans="1:44" ht="15.75" thickBot="1" x14ac:dyDescent="0.3">
      <c r="A19" s="8">
        <v>40333</v>
      </c>
      <c r="B19">
        <v>1615524.71</v>
      </c>
      <c r="C19">
        <v>0</v>
      </c>
      <c r="D19">
        <v>80.69</v>
      </c>
      <c r="E19">
        <v>2.7050000000000001</v>
      </c>
      <c r="F19">
        <v>211.1764278</v>
      </c>
      <c r="G19">
        <v>7.8079999999999998</v>
      </c>
      <c r="J19">
        <v>1</v>
      </c>
      <c r="K19" s="8">
        <v>40333</v>
      </c>
      <c r="L19">
        <v>1615524.71</v>
      </c>
      <c r="M19">
        <v>0</v>
      </c>
      <c r="N19">
        <v>80.69</v>
      </c>
      <c r="O19">
        <v>2.7050000000000001</v>
      </c>
      <c r="P19">
        <v>211.1764278</v>
      </c>
      <c r="Q19">
        <v>7.8079999999999998</v>
      </c>
      <c r="R19">
        <f t="shared" si="0"/>
        <v>1482418.9100000001</v>
      </c>
      <c r="W19" s="22">
        <v>1643690.9</v>
      </c>
      <c r="X19" s="22"/>
      <c r="AE19" s="18" t="s">
        <v>263</v>
      </c>
      <c r="AF19" s="18">
        <v>52</v>
      </c>
      <c r="AG19" s="18">
        <v>21648117402716.496</v>
      </c>
      <c r="AH19" s="18"/>
      <c r="AI19" s="18"/>
      <c r="AJ19" s="18"/>
      <c r="AO19" s="21">
        <v>21</v>
      </c>
      <c r="AP19" s="27">
        <v>1865097.27</v>
      </c>
      <c r="AQ19" s="21">
        <v>14</v>
      </c>
      <c r="AR19" s="28">
        <v>0.75</v>
      </c>
    </row>
    <row r="20" spans="1:44" ht="15.75" thickBot="1" x14ac:dyDescent="0.3">
      <c r="A20" s="8">
        <v>40340</v>
      </c>
      <c r="B20">
        <v>1542561.09</v>
      </c>
      <c r="C20">
        <v>0</v>
      </c>
      <c r="D20">
        <v>80.430000000000007</v>
      </c>
      <c r="E20">
        <v>2.6680000000000001</v>
      </c>
      <c r="F20">
        <v>211.4560951</v>
      </c>
      <c r="G20">
        <v>7.8079999999999998</v>
      </c>
      <c r="J20">
        <v>1</v>
      </c>
      <c r="K20" s="8">
        <v>40340</v>
      </c>
      <c r="L20">
        <v>1542561.09</v>
      </c>
      <c r="M20">
        <v>0</v>
      </c>
      <c r="N20">
        <v>80.430000000000007</v>
      </c>
      <c r="O20">
        <v>2.6680000000000001</v>
      </c>
      <c r="P20">
        <v>211.4560951</v>
      </c>
      <c r="Q20">
        <v>7.8079999999999998</v>
      </c>
      <c r="R20">
        <f t="shared" si="0"/>
        <v>1530051.9166666667</v>
      </c>
      <c r="W20" s="21"/>
      <c r="X20" s="21"/>
      <c r="AO20" s="21">
        <v>34</v>
      </c>
      <c r="AP20" s="27">
        <v>1845879.79</v>
      </c>
      <c r="AQ20" s="21">
        <v>15</v>
      </c>
      <c r="AR20" s="28">
        <v>0.73</v>
      </c>
    </row>
    <row r="21" spans="1:44" x14ac:dyDescent="0.25">
      <c r="A21" s="8">
        <v>40347</v>
      </c>
      <c r="B21">
        <v>1503284.06</v>
      </c>
      <c r="C21">
        <v>0</v>
      </c>
      <c r="D21">
        <v>84.11</v>
      </c>
      <c r="E21">
        <v>2.637</v>
      </c>
      <c r="F21">
        <v>211.45377189999999</v>
      </c>
      <c r="G21">
        <v>7.8079999999999998</v>
      </c>
      <c r="J21">
        <v>2</v>
      </c>
      <c r="K21" s="8">
        <v>40228</v>
      </c>
      <c r="L21">
        <v>2124451.54</v>
      </c>
      <c r="M21">
        <v>0</v>
      </c>
      <c r="N21">
        <v>39.69</v>
      </c>
      <c r="O21">
        <v>2.5139999999999998</v>
      </c>
      <c r="P21">
        <v>211.45377189999999</v>
      </c>
      <c r="Q21">
        <v>8.3239999999999998</v>
      </c>
      <c r="R21">
        <f t="shared" si="0"/>
        <v>1760845.78</v>
      </c>
      <c r="W21" s="21" t="s">
        <v>236</v>
      </c>
      <c r="X21" s="21">
        <v>1327303.7815384613</v>
      </c>
      <c r="AE21" s="19"/>
      <c r="AF21" s="19" t="s">
        <v>270</v>
      </c>
      <c r="AG21" s="19" t="s">
        <v>237</v>
      </c>
      <c r="AH21" s="19" t="s">
        <v>271</v>
      </c>
      <c r="AI21" s="19" t="s">
        <v>272</v>
      </c>
      <c r="AJ21" s="19" t="s">
        <v>273</v>
      </c>
      <c r="AK21" s="19" t="s">
        <v>274</v>
      </c>
      <c r="AL21" s="19" t="s">
        <v>275</v>
      </c>
      <c r="AM21" s="19" t="s">
        <v>276</v>
      </c>
      <c r="AO21" s="21">
        <v>29</v>
      </c>
      <c r="AP21" s="27">
        <v>1821990.93</v>
      </c>
      <c r="AQ21" s="21">
        <v>16</v>
      </c>
      <c r="AR21" s="28">
        <v>0.71099999999999997</v>
      </c>
    </row>
    <row r="22" spans="1:44" x14ac:dyDescent="0.25">
      <c r="A22" s="8">
        <v>40354</v>
      </c>
      <c r="B22">
        <v>1422711.6</v>
      </c>
      <c r="C22">
        <v>0</v>
      </c>
      <c r="D22">
        <v>84.34</v>
      </c>
      <c r="E22">
        <v>2.653</v>
      </c>
      <c r="F22">
        <v>211.33865259999999</v>
      </c>
      <c r="G22">
        <v>7.8079999999999998</v>
      </c>
      <c r="J22">
        <v>2</v>
      </c>
      <c r="K22" s="8">
        <v>40235</v>
      </c>
      <c r="L22">
        <v>1865097.27</v>
      </c>
      <c r="M22">
        <v>0</v>
      </c>
      <c r="N22">
        <v>46.1</v>
      </c>
      <c r="O22">
        <v>2.5609999999999999</v>
      </c>
      <c r="P22">
        <v>211.33865259999999</v>
      </c>
      <c r="Q22">
        <v>8.3239999999999998</v>
      </c>
      <c r="R22">
        <f t="shared" si="0"/>
        <v>1844036.6333333335</v>
      </c>
      <c r="W22" s="21" t="s">
        <v>237</v>
      </c>
      <c r="X22" s="21">
        <v>90143.812719055044</v>
      </c>
      <c r="AE22" s="21" t="s">
        <v>264</v>
      </c>
      <c r="AF22" s="21">
        <v>2272053.4732497544</v>
      </c>
      <c r="AG22" s="21">
        <v>406811.02744773694</v>
      </c>
      <c r="AH22" s="21">
        <v>5.5850341312137743</v>
      </c>
      <c r="AI22" s="21">
        <v>9.0927444814027266E-7</v>
      </c>
      <c r="AJ22" s="21">
        <v>1455346.256960168</v>
      </c>
      <c r="AK22" s="21">
        <v>3088760.6895393408</v>
      </c>
      <c r="AL22" s="21">
        <v>1455346.256960168</v>
      </c>
      <c r="AM22" s="21">
        <v>3088760.6895393408</v>
      </c>
      <c r="AO22" s="21">
        <v>36</v>
      </c>
      <c r="AP22" s="27">
        <v>1804246.16</v>
      </c>
      <c r="AQ22" s="21">
        <v>17</v>
      </c>
      <c r="AR22" s="28">
        <v>0.69199999999999995</v>
      </c>
    </row>
    <row r="23" spans="1:44" ht="15.75" thickBot="1" x14ac:dyDescent="0.3">
      <c r="A23" s="8">
        <v>40361</v>
      </c>
      <c r="B23">
        <v>1492418.14</v>
      </c>
      <c r="C23">
        <v>0</v>
      </c>
      <c r="D23">
        <v>80.91</v>
      </c>
      <c r="E23">
        <v>2.669</v>
      </c>
      <c r="F23">
        <v>211.22353330000001</v>
      </c>
      <c r="G23">
        <v>7.7869999999999999</v>
      </c>
      <c r="J23">
        <v>2</v>
      </c>
      <c r="K23" s="8">
        <v>40242</v>
      </c>
      <c r="L23">
        <v>1991013.13</v>
      </c>
      <c r="M23">
        <v>0</v>
      </c>
      <c r="N23">
        <v>47.17</v>
      </c>
      <c r="O23">
        <v>2.625</v>
      </c>
      <c r="P23">
        <v>211.22353330000001</v>
      </c>
      <c r="Q23">
        <v>8.3239999999999998</v>
      </c>
      <c r="R23">
        <f t="shared" si="0"/>
        <v>1993520.6466666665</v>
      </c>
      <c r="W23" s="21" t="s">
        <v>238</v>
      </c>
      <c r="X23" s="21">
        <v>1543989.81</v>
      </c>
      <c r="AE23" s="18" t="s">
        <v>277</v>
      </c>
      <c r="AF23" s="18">
        <v>-13557.241252700804</v>
      </c>
      <c r="AG23" s="18">
        <v>5745.3051809135468</v>
      </c>
      <c r="AH23" s="18">
        <v>-2.3597077658710379</v>
      </c>
      <c r="AI23" s="18">
        <v>2.2154623026879091E-2</v>
      </c>
      <c r="AJ23" s="18">
        <v>-25091.422689414321</v>
      </c>
      <c r="AK23" s="18">
        <v>-2023.0598159872843</v>
      </c>
      <c r="AL23" s="18">
        <v>-25091.422689414321</v>
      </c>
      <c r="AM23" s="18">
        <v>-2023.0598159872843</v>
      </c>
      <c r="AO23" s="21">
        <v>35</v>
      </c>
      <c r="AP23" s="27">
        <v>1781717.71</v>
      </c>
      <c r="AQ23" s="21">
        <v>18</v>
      </c>
      <c r="AR23" s="28">
        <v>0.67300000000000004</v>
      </c>
    </row>
    <row r="24" spans="1:44" x14ac:dyDescent="0.25">
      <c r="A24" s="8">
        <v>40368</v>
      </c>
      <c r="B24">
        <v>1546074.18</v>
      </c>
      <c r="C24">
        <v>0</v>
      </c>
      <c r="D24">
        <v>80.48</v>
      </c>
      <c r="E24">
        <v>2.6419999999999999</v>
      </c>
      <c r="F24">
        <v>211.10841400000001</v>
      </c>
      <c r="G24">
        <v>7.7869999999999999</v>
      </c>
      <c r="J24">
        <v>2</v>
      </c>
      <c r="K24" s="8">
        <v>40249</v>
      </c>
      <c r="L24">
        <v>1990483.78</v>
      </c>
      <c r="M24">
        <v>0</v>
      </c>
      <c r="N24">
        <v>57.56</v>
      </c>
      <c r="O24">
        <v>2.6669999999999998</v>
      </c>
      <c r="P24">
        <v>211.10841400000001</v>
      </c>
      <c r="Q24">
        <v>8.3239999999999998</v>
      </c>
      <c r="R24">
        <f t="shared" si="0"/>
        <v>1948864.7266666666</v>
      </c>
      <c r="W24" s="21" t="s">
        <v>239</v>
      </c>
      <c r="X24" s="21" t="e">
        <v>#N/A</v>
      </c>
      <c r="AO24" s="21">
        <v>25</v>
      </c>
      <c r="AP24" s="27">
        <v>1750197.81</v>
      </c>
      <c r="AQ24" s="21">
        <v>19</v>
      </c>
      <c r="AR24" s="28">
        <v>0.65300000000000002</v>
      </c>
    </row>
    <row r="25" spans="1:44" x14ac:dyDescent="0.25">
      <c r="A25" s="8">
        <v>40375</v>
      </c>
      <c r="B25">
        <v>1448938.92</v>
      </c>
      <c r="C25">
        <v>0</v>
      </c>
      <c r="D25">
        <v>83.15</v>
      </c>
      <c r="E25">
        <v>2.6230000000000002</v>
      </c>
      <c r="F25">
        <v>211.10038539999999</v>
      </c>
      <c r="G25">
        <v>7.7869999999999999</v>
      </c>
      <c r="J25">
        <v>2</v>
      </c>
      <c r="K25" s="8">
        <v>40256</v>
      </c>
      <c r="L25">
        <v>1946070.88</v>
      </c>
      <c r="M25">
        <v>0</v>
      </c>
      <c r="N25">
        <v>54.52</v>
      </c>
      <c r="O25">
        <v>2.72</v>
      </c>
      <c r="P25">
        <v>211.10038539999999</v>
      </c>
      <c r="Q25">
        <v>8.3239999999999998</v>
      </c>
      <c r="R25">
        <f t="shared" si="0"/>
        <v>1975855.93</v>
      </c>
      <c r="W25" s="21" t="s">
        <v>240</v>
      </c>
      <c r="X25" s="21">
        <v>650036.27784875175</v>
      </c>
      <c r="AO25" s="21">
        <v>1</v>
      </c>
      <c r="AP25" s="27">
        <v>1643690.9</v>
      </c>
      <c r="AQ25" s="21">
        <v>20</v>
      </c>
      <c r="AR25" s="28">
        <v>0.63400000000000001</v>
      </c>
    </row>
    <row r="26" spans="1:44" ht="21" x14ac:dyDescent="0.35">
      <c r="A26" s="8">
        <v>40382</v>
      </c>
      <c r="B26">
        <v>1385065.2</v>
      </c>
      <c r="C26">
        <v>0</v>
      </c>
      <c r="D26">
        <v>83.36</v>
      </c>
      <c r="E26">
        <v>2.6080000000000001</v>
      </c>
      <c r="F26">
        <v>211.2351443</v>
      </c>
      <c r="G26">
        <v>7.7869999999999999</v>
      </c>
      <c r="J26">
        <v>2</v>
      </c>
      <c r="K26" s="8">
        <v>40263</v>
      </c>
      <c r="L26">
        <v>1750197.81</v>
      </c>
      <c r="M26">
        <v>0</v>
      </c>
      <c r="N26">
        <v>51.26</v>
      </c>
      <c r="O26">
        <v>2.7320000000000002</v>
      </c>
      <c r="P26">
        <v>211.2351443</v>
      </c>
      <c r="Q26">
        <v>8.3239999999999998</v>
      </c>
      <c r="R26">
        <f t="shared" si="0"/>
        <v>1895584.156666667</v>
      </c>
      <c r="W26" s="21" t="s">
        <v>241</v>
      </c>
      <c r="X26" s="21">
        <v>422547162519.45953</v>
      </c>
      <c r="AE26" s="20" t="s">
        <v>280</v>
      </c>
      <c r="AO26" s="21">
        <v>2</v>
      </c>
      <c r="AP26" s="27">
        <v>1641957.44</v>
      </c>
      <c r="AQ26" s="21">
        <v>21</v>
      </c>
      <c r="AR26" s="28">
        <v>0.61499999999999999</v>
      </c>
    </row>
    <row r="27" spans="1:44" ht="15.75" thickBot="1" x14ac:dyDescent="0.3">
      <c r="A27" s="8">
        <v>40389</v>
      </c>
      <c r="B27">
        <v>1371986.6</v>
      </c>
      <c r="C27">
        <v>0</v>
      </c>
      <c r="D27">
        <v>81.84</v>
      </c>
      <c r="E27">
        <v>2.64</v>
      </c>
      <c r="F27">
        <v>211.36990320000001</v>
      </c>
      <c r="G27">
        <v>7.7869999999999999</v>
      </c>
      <c r="J27">
        <v>2</v>
      </c>
      <c r="K27" s="8">
        <v>40270</v>
      </c>
      <c r="L27">
        <v>2066187.72</v>
      </c>
      <c r="M27">
        <v>0</v>
      </c>
      <c r="N27">
        <v>63.27</v>
      </c>
      <c r="O27">
        <v>2.7189999999999999</v>
      </c>
      <c r="P27">
        <v>211.36990320000001</v>
      </c>
      <c r="Q27">
        <v>8.1999999999999993</v>
      </c>
      <c r="R27">
        <f t="shared" si="0"/>
        <v>1920818.8033333335</v>
      </c>
      <c r="W27" s="21" t="s">
        <v>242</v>
      </c>
      <c r="X27" s="21">
        <v>-1.2304431754376088</v>
      </c>
      <c r="AO27" s="21">
        <v>18</v>
      </c>
      <c r="AP27" s="27">
        <v>1615524.71</v>
      </c>
      <c r="AQ27" s="21">
        <v>22</v>
      </c>
      <c r="AR27" s="28">
        <v>0.59599999999999997</v>
      </c>
    </row>
    <row r="28" spans="1:44" x14ac:dyDescent="0.25">
      <c r="A28" s="8">
        <v>40396</v>
      </c>
      <c r="B28">
        <v>1605491.78</v>
      </c>
      <c r="C28">
        <v>0</v>
      </c>
      <c r="D28">
        <v>87.16</v>
      </c>
      <c r="E28">
        <v>2.6269999999999998</v>
      </c>
      <c r="F28">
        <v>211.50466209999999</v>
      </c>
      <c r="G28">
        <v>7.7869999999999999</v>
      </c>
      <c r="J28">
        <v>2</v>
      </c>
      <c r="K28" s="8">
        <v>40277</v>
      </c>
      <c r="L28">
        <v>1954689.21</v>
      </c>
      <c r="M28">
        <v>0</v>
      </c>
      <c r="N28">
        <v>65.41</v>
      </c>
      <c r="O28">
        <v>2.77</v>
      </c>
      <c r="P28">
        <v>211.50466209999999</v>
      </c>
      <c r="Q28">
        <v>8.1999999999999993</v>
      </c>
      <c r="R28">
        <f t="shared" si="0"/>
        <v>1923691.58</v>
      </c>
      <c r="W28" s="21" t="s">
        <v>243</v>
      </c>
      <c r="X28" s="21">
        <v>-0.66626698684056074</v>
      </c>
      <c r="AE28" s="19"/>
      <c r="AF28" s="19" t="s">
        <v>281</v>
      </c>
      <c r="AG28" s="19" t="s">
        <v>282</v>
      </c>
      <c r="AO28" s="21">
        <v>3</v>
      </c>
      <c r="AP28" s="27">
        <v>1611968.17</v>
      </c>
      <c r="AQ28" s="21">
        <v>23</v>
      </c>
      <c r="AR28" s="28">
        <v>0.57599999999999996</v>
      </c>
    </row>
    <row r="29" spans="1:44" x14ac:dyDescent="0.25">
      <c r="A29" s="8">
        <v>40403</v>
      </c>
      <c r="B29">
        <v>1508237.76</v>
      </c>
      <c r="C29">
        <v>0</v>
      </c>
      <c r="D29">
        <v>87</v>
      </c>
      <c r="E29">
        <v>2.6920000000000002</v>
      </c>
      <c r="F29">
        <v>211.63942109999999</v>
      </c>
      <c r="G29">
        <v>7.7869999999999999</v>
      </c>
      <c r="J29">
        <v>2</v>
      </c>
      <c r="K29" s="8">
        <v>40284</v>
      </c>
      <c r="L29">
        <v>1874957.94</v>
      </c>
      <c r="M29">
        <v>0</v>
      </c>
      <c r="N29">
        <v>68.069999999999993</v>
      </c>
      <c r="O29">
        <v>2.8079999999999998</v>
      </c>
      <c r="P29">
        <v>211.63942109999999</v>
      </c>
      <c r="Q29">
        <v>8.1999999999999993</v>
      </c>
      <c r="R29">
        <f t="shared" si="0"/>
        <v>1965278.2899999998</v>
      </c>
      <c r="W29" s="21" t="s">
        <v>244</v>
      </c>
      <c r="X29" s="21">
        <v>1784474.8900000001</v>
      </c>
      <c r="AE29" s="21" t="s">
        <v>236</v>
      </c>
      <c r="AF29" s="21">
        <v>1333273.3498113207</v>
      </c>
      <c r="AG29" s="21">
        <v>2.6985283018867916</v>
      </c>
      <c r="AO29" s="21">
        <v>14</v>
      </c>
      <c r="AP29" s="27">
        <v>1603955.12</v>
      </c>
      <c r="AQ29" s="21">
        <v>24</v>
      </c>
      <c r="AR29" s="28">
        <v>0.55700000000000005</v>
      </c>
    </row>
    <row r="30" spans="1:44" x14ac:dyDescent="0.25">
      <c r="A30" s="8">
        <v>40410</v>
      </c>
      <c r="B30">
        <v>1513080.49</v>
      </c>
      <c r="C30">
        <v>0</v>
      </c>
      <c r="D30">
        <v>86.65</v>
      </c>
      <c r="E30">
        <v>2.6640000000000001</v>
      </c>
      <c r="F30">
        <v>211.60336330000001</v>
      </c>
      <c r="G30">
        <v>7.7869999999999999</v>
      </c>
      <c r="J30">
        <v>2</v>
      </c>
      <c r="K30" s="8">
        <v>40291</v>
      </c>
      <c r="L30">
        <v>1821990.93</v>
      </c>
      <c r="M30">
        <v>0</v>
      </c>
      <c r="N30">
        <v>65.11</v>
      </c>
      <c r="O30">
        <v>2.7949999999999999</v>
      </c>
      <c r="P30">
        <v>211.60336330000001</v>
      </c>
      <c r="Q30">
        <v>8.1999999999999993</v>
      </c>
      <c r="R30">
        <f t="shared" si="0"/>
        <v>1883879.36</v>
      </c>
      <c r="W30" s="21" t="s">
        <v>245</v>
      </c>
      <c r="X30" s="21">
        <v>339976.65</v>
      </c>
      <c r="AE30" s="21" t="s">
        <v>283</v>
      </c>
      <c r="AF30" s="21">
        <v>12312</v>
      </c>
      <c r="AG30" s="21">
        <v>121414</v>
      </c>
      <c r="AO30" s="21">
        <v>9</v>
      </c>
      <c r="AP30" s="27">
        <v>1594968.28</v>
      </c>
      <c r="AQ30" s="21">
        <v>25</v>
      </c>
      <c r="AR30" s="28">
        <v>0.53800000000000003</v>
      </c>
    </row>
    <row r="31" spans="1:44" x14ac:dyDescent="0.25">
      <c r="A31" s="8">
        <v>40417</v>
      </c>
      <c r="B31">
        <v>1449142.92</v>
      </c>
      <c r="C31">
        <v>0</v>
      </c>
      <c r="D31">
        <v>85.22</v>
      </c>
      <c r="E31">
        <v>2.6190000000000002</v>
      </c>
      <c r="F31">
        <v>211.5673056</v>
      </c>
      <c r="G31">
        <v>7.7869999999999999</v>
      </c>
      <c r="J31">
        <v>2</v>
      </c>
      <c r="K31" s="8">
        <v>40347</v>
      </c>
      <c r="L31">
        <v>2001636.96</v>
      </c>
      <c r="M31">
        <v>0</v>
      </c>
      <c r="N31">
        <v>85.81</v>
      </c>
      <c r="O31">
        <v>2.637</v>
      </c>
      <c r="P31">
        <v>211.5673056</v>
      </c>
      <c r="Q31">
        <v>8.1999999999999993</v>
      </c>
      <c r="R31">
        <f t="shared" si="0"/>
        <v>1899528.61</v>
      </c>
      <c r="W31" s="21" t="s">
        <v>246</v>
      </c>
      <c r="X31" s="21">
        <v>2124451.54</v>
      </c>
      <c r="AE31" s="21" t="s">
        <v>259</v>
      </c>
      <c r="AF31" s="21">
        <v>53</v>
      </c>
      <c r="AG31" s="21">
        <v>53</v>
      </c>
      <c r="AO31" s="21">
        <v>5</v>
      </c>
      <c r="AP31" s="27">
        <v>1554806.68</v>
      </c>
      <c r="AQ31" s="21">
        <v>26</v>
      </c>
      <c r="AR31" s="28">
        <v>0.51900000000000002</v>
      </c>
    </row>
    <row r="32" spans="1:44" x14ac:dyDescent="0.25">
      <c r="A32" s="8">
        <v>40424</v>
      </c>
      <c r="B32">
        <v>1540163.53</v>
      </c>
      <c r="C32">
        <v>0</v>
      </c>
      <c r="D32">
        <v>81.209999999999994</v>
      </c>
      <c r="E32">
        <v>2.577</v>
      </c>
      <c r="F32">
        <v>211.53124790000001</v>
      </c>
      <c r="G32">
        <v>7.7869999999999999</v>
      </c>
      <c r="J32">
        <v>2</v>
      </c>
      <c r="K32" s="8">
        <v>40354</v>
      </c>
      <c r="L32">
        <v>1939927.09</v>
      </c>
      <c r="M32">
        <v>0</v>
      </c>
      <c r="N32">
        <v>86.26</v>
      </c>
      <c r="O32">
        <v>2.653</v>
      </c>
      <c r="P32">
        <v>211.53124790000001</v>
      </c>
      <c r="Q32">
        <v>8.1999999999999993</v>
      </c>
      <c r="R32">
        <f t="shared" si="0"/>
        <v>1921184.9933333332</v>
      </c>
      <c r="W32" s="21" t="s">
        <v>247</v>
      </c>
      <c r="X32" s="21">
        <v>69019796.639999986</v>
      </c>
      <c r="AE32" s="21" t="s">
        <v>284</v>
      </c>
      <c r="AF32" s="21">
        <v>0</v>
      </c>
      <c r="AG32" s="21"/>
      <c r="AO32" s="21">
        <v>10</v>
      </c>
      <c r="AP32" s="27">
        <v>1545418.53</v>
      </c>
      <c r="AQ32" s="21">
        <v>27</v>
      </c>
      <c r="AR32" s="28">
        <v>0.5</v>
      </c>
    </row>
    <row r="33" spans="1:44" ht="15.75" thickBot="1" x14ac:dyDescent="0.3">
      <c r="A33" s="8">
        <v>40431</v>
      </c>
      <c r="B33">
        <v>1507460.69</v>
      </c>
      <c r="C33">
        <v>1</v>
      </c>
      <c r="D33">
        <v>78.69</v>
      </c>
      <c r="E33">
        <v>2.5649999999999999</v>
      </c>
      <c r="F33">
        <v>211.4951902</v>
      </c>
      <c r="G33">
        <v>7.7869999999999999</v>
      </c>
      <c r="J33">
        <v>2</v>
      </c>
      <c r="K33" s="8">
        <v>40361</v>
      </c>
      <c r="L33">
        <v>2003940.64</v>
      </c>
      <c r="M33">
        <v>0</v>
      </c>
      <c r="N33">
        <v>82.74</v>
      </c>
      <c r="O33">
        <v>2.669</v>
      </c>
      <c r="P33">
        <v>211.4951902</v>
      </c>
      <c r="Q33">
        <v>8.0990000000000002</v>
      </c>
      <c r="R33">
        <f t="shared" si="0"/>
        <v>1981834.8966666665</v>
      </c>
      <c r="W33" s="18" t="s">
        <v>248</v>
      </c>
      <c r="X33" s="18">
        <v>52</v>
      </c>
      <c r="AE33" s="21" t="s">
        <v>285</v>
      </c>
      <c r="AF33" s="21">
        <v>26542.897316573031</v>
      </c>
      <c r="AG33" s="21"/>
      <c r="AO33" s="21">
        <v>19</v>
      </c>
      <c r="AP33" s="27">
        <v>1542561.09</v>
      </c>
      <c r="AQ33" s="21">
        <v>28</v>
      </c>
      <c r="AR33" s="28">
        <v>0.48</v>
      </c>
    </row>
    <row r="34" spans="1:44" x14ac:dyDescent="0.25">
      <c r="A34" s="8">
        <v>40438</v>
      </c>
      <c r="B34">
        <v>1430378.67</v>
      </c>
      <c r="C34">
        <v>0</v>
      </c>
      <c r="D34">
        <v>82.11</v>
      </c>
      <c r="E34">
        <v>2.5819999999999999</v>
      </c>
      <c r="F34">
        <v>211.52245959999999</v>
      </c>
      <c r="G34">
        <v>7.7869999999999999</v>
      </c>
      <c r="J34">
        <v>2</v>
      </c>
      <c r="K34" s="8">
        <v>40368</v>
      </c>
      <c r="L34">
        <v>1880902.62</v>
      </c>
      <c r="M34">
        <v>0</v>
      </c>
      <c r="N34">
        <v>82.59</v>
      </c>
      <c r="O34">
        <v>2.6419999999999999</v>
      </c>
      <c r="P34">
        <v>211.52245959999999</v>
      </c>
      <c r="Q34">
        <v>8.0990000000000002</v>
      </c>
      <c r="R34">
        <f t="shared" si="0"/>
        <v>1941590.1166666665</v>
      </c>
      <c r="AE34" s="21" t="s">
        <v>286</v>
      </c>
      <c r="AF34" s="21">
        <v>0</v>
      </c>
      <c r="AG34" s="21"/>
      <c r="AO34" s="21">
        <v>15</v>
      </c>
      <c r="AP34" s="27">
        <v>1494251.5</v>
      </c>
      <c r="AQ34" s="21">
        <v>29</v>
      </c>
      <c r="AR34" s="28">
        <v>0.46100000000000002</v>
      </c>
    </row>
    <row r="35" spans="1:44" x14ac:dyDescent="0.25">
      <c r="A35" s="8">
        <v>40445</v>
      </c>
      <c r="B35">
        <v>1351791.03</v>
      </c>
      <c r="C35">
        <v>0</v>
      </c>
      <c r="D35">
        <v>80.94</v>
      </c>
      <c r="E35">
        <v>2.6240000000000001</v>
      </c>
      <c r="F35">
        <v>211.5972246</v>
      </c>
      <c r="G35">
        <v>7.7869999999999999</v>
      </c>
      <c r="J35">
        <v>2</v>
      </c>
      <c r="K35" s="8">
        <v>40375</v>
      </c>
      <c r="L35">
        <v>1845879.79</v>
      </c>
      <c r="M35">
        <v>0</v>
      </c>
      <c r="N35">
        <v>85.32</v>
      </c>
      <c r="O35">
        <v>2.6230000000000002</v>
      </c>
      <c r="P35">
        <v>211.5972246</v>
      </c>
      <c r="Q35">
        <v>8.0990000000000002</v>
      </c>
      <c r="R35">
        <f t="shared" si="0"/>
        <v>1910241.0166666666</v>
      </c>
      <c r="AE35" s="21" t="s">
        <v>287</v>
      </c>
      <c r="AF35" s="21">
        <v>1.6448536269514715</v>
      </c>
      <c r="AG35" s="21"/>
      <c r="AO35" s="21">
        <v>7</v>
      </c>
      <c r="AP35" s="27">
        <v>1472515.79</v>
      </c>
      <c r="AQ35" s="21">
        <v>30</v>
      </c>
      <c r="AR35" s="28">
        <v>0.442</v>
      </c>
    </row>
    <row r="36" spans="1:44" x14ac:dyDescent="0.25">
      <c r="A36" s="8">
        <v>40452</v>
      </c>
      <c r="B36">
        <v>1453329.5</v>
      </c>
      <c r="C36">
        <v>0</v>
      </c>
      <c r="D36">
        <v>71.89</v>
      </c>
      <c r="E36">
        <v>2.6030000000000002</v>
      </c>
      <c r="F36">
        <v>211.6719895</v>
      </c>
      <c r="G36">
        <v>7.8380000000000001</v>
      </c>
      <c r="J36">
        <v>2</v>
      </c>
      <c r="K36" s="8">
        <v>40382</v>
      </c>
      <c r="L36">
        <v>1781717.71</v>
      </c>
      <c r="M36">
        <v>0</v>
      </c>
      <c r="N36">
        <v>87.66</v>
      </c>
      <c r="O36">
        <v>2.6080000000000001</v>
      </c>
      <c r="P36">
        <v>211.6719895</v>
      </c>
      <c r="Q36">
        <v>8.0990000000000002</v>
      </c>
      <c r="R36">
        <f t="shared" ref="R36:R67" si="1">AVERAGE(L34:L36)</f>
        <v>1836166.7066666668</v>
      </c>
      <c r="AE36" s="21" t="s">
        <v>288</v>
      </c>
      <c r="AF36" s="21">
        <v>0</v>
      </c>
      <c r="AG36" s="21"/>
      <c r="AO36" s="21">
        <v>11</v>
      </c>
      <c r="AP36" s="27">
        <v>1466058.28</v>
      </c>
      <c r="AQ36" s="21">
        <v>31</v>
      </c>
      <c r="AR36" s="28">
        <v>0.42299999999999999</v>
      </c>
    </row>
    <row r="37" spans="1:44" ht="21.75" thickBot="1" x14ac:dyDescent="0.4">
      <c r="A37" s="8">
        <v>40459</v>
      </c>
      <c r="B37">
        <v>1508239.93</v>
      </c>
      <c r="C37">
        <v>0</v>
      </c>
      <c r="D37">
        <v>63.93</v>
      </c>
      <c r="E37">
        <v>2.633</v>
      </c>
      <c r="F37">
        <v>211.74675439999999</v>
      </c>
      <c r="G37">
        <v>7.8380000000000001</v>
      </c>
      <c r="J37">
        <v>2</v>
      </c>
      <c r="K37" s="8">
        <v>40389</v>
      </c>
      <c r="L37">
        <v>1804246.16</v>
      </c>
      <c r="M37">
        <v>0</v>
      </c>
      <c r="N37">
        <v>83.49</v>
      </c>
      <c r="O37">
        <v>2.64</v>
      </c>
      <c r="P37">
        <v>211.74675439999999</v>
      </c>
      <c r="Q37">
        <v>8.0990000000000002</v>
      </c>
      <c r="R37">
        <f t="shared" si="1"/>
        <v>1810614.5533333335</v>
      </c>
      <c r="U37" s="20"/>
      <c r="W37" s="20" t="s">
        <v>253</v>
      </c>
      <c r="AE37" s="18" t="s">
        <v>289</v>
      </c>
      <c r="AF37" s="18">
        <v>1.9599639845400536</v>
      </c>
      <c r="AG37" s="18"/>
      <c r="AO37" s="21">
        <v>6</v>
      </c>
      <c r="AP37" s="27">
        <v>1439541.59</v>
      </c>
      <c r="AQ37" s="21">
        <v>32</v>
      </c>
      <c r="AR37" s="28">
        <v>0.40300000000000002</v>
      </c>
    </row>
    <row r="38" spans="1:44" ht="15.75" thickBot="1" x14ac:dyDescent="0.3">
      <c r="A38" s="8">
        <v>40466</v>
      </c>
      <c r="B38">
        <v>1459409.1</v>
      </c>
      <c r="C38">
        <v>0</v>
      </c>
      <c r="D38">
        <v>67.180000000000007</v>
      </c>
      <c r="E38">
        <v>2.72</v>
      </c>
      <c r="F38">
        <v>211.81374360000001</v>
      </c>
      <c r="G38">
        <v>7.8380000000000001</v>
      </c>
      <c r="J38">
        <v>2</v>
      </c>
      <c r="K38" s="8">
        <v>40396</v>
      </c>
      <c r="L38">
        <v>1991909.98</v>
      </c>
      <c r="M38">
        <v>0</v>
      </c>
      <c r="N38">
        <v>89.53</v>
      </c>
      <c r="O38">
        <v>2.6269999999999998</v>
      </c>
      <c r="P38">
        <v>211.81374360000001</v>
      </c>
      <c r="Q38">
        <v>8.0990000000000002</v>
      </c>
      <c r="R38">
        <f t="shared" si="1"/>
        <v>1859291.2833333332</v>
      </c>
      <c r="AO38" s="21">
        <v>17</v>
      </c>
      <c r="AP38" s="27">
        <v>1432069.95</v>
      </c>
      <c r="AQ38" s="21">
        <v>33</v>
      </c>
      <c r="AR38" s="28">
        <v>0.38400000000000001</v>
      </c>
    </row>
    <row r="39" spans="1:44" ht="21" x14ac:dyDescent="0.35">
      <c r="A39" s="8">
        <v>40473</v>
      </c>
      <c r="B39">
        <v>1345454</v>
      </c>
      <c r="C39">
        <v>0</v>
      </c>
      <c r="D39">
        <v>69.86</v>
      </c>
      <c r="E39">
        <v>2.7250000000000001</v>
      </c>
      <c r="F39">
        <v>211.8612937</v>
      </c>
      <c r="G39">
        <v>7.8380000000000001</v>
      </c>
      <c r="J39">
        <v>2</v>
      </c>
      <c r="K39" s="8">
        <v>40403</v>
      </c>
      <c r="L39">
        <v>1895601.05</v>
      </c>
      <c r="M39">
        <v>0</v>
      </c>
      <c r="N39">
        <v>89.05</v>
      </c>
      <c r="O39">
        <v>2.6920000000000002</v>
      </c>
      <c r="P39">
        <v>211.8612937</v>
      </c>
      <c r="Q39">
        <v>8.0990000000000002</v>
      </c>
      <c r="R39">
        <f t="shared" si="1"/>
        <v>1897252.3966666665</v>
      </c>
      <c r="U39" s="19" t="s">
        <v>250</v>
      </c>
      <c r="V39" s="19" t="s">
        <v>252</v>
      </c>
      <c r="AE39" s="20" t="s">
        <v>303</v>
      </c>
      <c r="AO39" s="21">
        <v>13</v>
      </c>
      <c r="AP39" s="27">
        <v>1425100.71</v>
      </c>
      <c r="AQ39" s="21">
        <v>34</v>
      </c>
      <c r="AR39" s="28">
        <v>0.36499999999999999</v>
      </c>
    </row>
    <row r="40" spans="1:44" x14ac:dyDescent="0.25">
      <c r="A40" s="8">
        <v>40480</v>
      </c>
      <c r="B40">
        <v>1384209.22</v>
      </c>
      <c r="C40">
        <v>0</v>
      </c>
      <c r="D40">
        <v>69.64</v>
      </c>
      <c r="E40">
        <v>2.7160000000000002</v>
      </c>
      <c r="F40">
        <v>211.9088438</v>
      </c>
      <c r="G40">
        <v>7.8380000000000001</v>
      </c>
      <c r="J40">
        <v>3</v>
      </c>
      <c r="K40" s="8">
        <v>40284</v>
      </c>
      <c r="L40">
        <v>354993.26</v>
      </c>
      <c r="M40">
        <v>0</v>
      </c>
      <c r="N40">
        <v>66.98</v>
      </c>
      <c r="O40">
        <v>2.8079999999999998</v>
      </c>
      <c r="P40">
        <v>211.9088438</v>
      </c>
      <c r="Q40">
        <v>7.343</v>
      </c>
      <c r="R40">
        <f t="shared" si="1"/>
        <v>1414168.0966666667</v>
      </c>
      <c r="U40" s="21">
        <v>0</v>
      </c>
      <c r="V40" s="21">
        <v>52</v>
      </c>
      <c r="AO40" s="21">
        <v>4</v>
      </c>
      <c r="AP40" s="27">
        <v>1409727.59</v>
      </c>
      <c r="AQ40" s="21">
        <v>35</v>
      </c>
      <c r="AR40" s="28">
        <v>0.34599999999999997</v>
      </c>
    </row>
    <row r="41" spans="1:44" x14ac:dyDescent="0.25">
      <c r="A41" s="8">
        <v>40487</v>
      </c>
      <c r="B41">
        <v>1551659.28</v>
      </c>
      <c r="C41">
        <v>0</v>
      </c>
      <c r="D41">
        <v>58.74</v>
      </c>
      <c r="E41">
        <v>2.6890000000000001</v>
      </c>
      <c r="F41">
        <v>211.95639389999999</v>
      </c>
      <c r="G41">
        <v>7.8380000000000001</v>
      </c>
      <c r="J41">
        <v>3</v>
      </c>
      <c r="K41" s="8">
        <v>40291</v>
      </c>
      <c r="L41">
        <v>339976.65</v>
      </c>
      <c r="M41">
        <v>0</v>
      </c>
      <c r="N41">
        <v>67.87</v>
      </c>
      <c r="O41">
        <v>2.7949999999999999</v>
      </c>
      <c r="P41">
        <v>211.95639389999999</v>
      </c>
      <c r="Q41">
        <v>7.343</v>
      </c>
      <c r="R41">
        <f t="shared" si="1"/>
        <v>863523.65333333332</v>
      </c>
      <c r="U41" s="21">
        <v>303493.07714285713</v>
      </c>
      <c r="V41" s="21">
        <v>107</v>
      </c>
      <c r="AE41" t="s">
        <v>294</v>
      </c>
      <c r="AO41" s="21">
        <v>8</v>
      </c>
      <c r="AP41" s="27">
        <v>1404429.92</v>
      </c>
      <c r="AQ41" s="21">
        <v>36</v>
      </c>
      <c r="AR41" s="28">
        <v>0.32600000000000001</v>
      </c>
    </row>
    <row r="42" spans="1:44" x14ac:dyDescent="0.25">
      <c r="A42" s="8">
        <v>40494</v>
      </c>
      <c r="B42">
        <v>1494479.49</v>
      </c>
      <c r="C42">
        <v>0</v>
      </c>
      <c r="D42">
        <v>59.61</v>
      </c>
      <c r="E42">
        <v>2.7280000000000002</v>
      </c>
      <c r="F42">
        <v>212.00394399999999</v>
      </c>
      <c r="G42">
        <v>7.8380000000000001</v>
      </c>
      <c r="J42">
        <v>3</v>
      </c>
      <c r="K42" s="8">
        <v>40298</v>
      </c>
      <c r="L42">
        <v>361248.39</v>
      </c>
      <c r="M42">
        <v>0</v>
      </c>
      <c r="N42">
        <v>70.239999999999995</v>
      </c>
      <c r="O42">
        <v>2.78</v>
      </c>
      <c r="P42">
        <v>212.00394399999999</v>
      </c>
      <c r="Q42">
        <v>7.343</v>
      </c>
      <c r="R42">
        <f t="shared" si="1"/>
        <v>352072.76666666666</v>
      </c>
      <c r="U42" s="21">
        <v>606986.15428571426</v>
      </c>
      <c r="V42" s="21">
        <v>15</v>
      </c>
      <c r="AO42" s="21">
        <v>16</v>
      </c>
      <c r="AP42" s="27">
        <v>1399662.07</v>
      </c>
      <c r="AQ42" s="21">
        <v>37</v>
      </c>
      <c r="AR42" s="28">
        <v>0.307</v>
      </c>
    </row>
    <row r="43" spans="1:44" ht="15.75" thickBot="1" x14ac:dyDescent="0.3">
      <c r="A43" s="8">
        <v>40501</v>
      </c>
      <c r="B43">
        <v>1483784.18</v>
      </c>
      <c r="C43">
        <v>0</v>
      </c>
      <c r="D43">
        <v>51.41</v>
      </c>
      <c r="E43">
        <v>2.7709999999999999</v>
      </c>
      <c r="F43">
        <v>211.8896737</v>
      </c>
      <c r="G43">
        <v>7.8380000000000001</v>
      </c>
      <c r="J43">
        <v>3</v>
      </c>
      <c r="K43" s="8">
        <v>40305</v>
      </c>
      <c r="L43">
        <v>399323.86</v>
      </c>
      <c r="M43">
        <v>0</v>
      </c>
      <c r="N43">
        <v>73.47</v>
      </c>
      <c r="O43">
        <v>2.835</v>
      </c>
      <c r="P43">
        <v>211.8896737</v>
      </c>
      <c r="Q43">
        <v>7.343</v>
      </c>
      <c r="R43">
        <f t="shared" si="1"/>
        <v>366849.6333333333</v>
      </c>
      <c r="U43" s="21">
        <v>910479.23142857139</v>
      </c>
      <c r="V43" s="21">
        <v>0</v>
      </c>
      <c r="AE43" t="s">
        <v>295</v>
      </c>
      <c r="AO43" s="21">
        <v>12</v>
      </c>
      <c r="AP43" s="27">
        <v>1391256.12</v>
      </c>
      <c r="AQ43" s="21">
        <v>38</v>
      </c>
      <c r="AR43" s="28">
        <v>0.28799999999999998</v>
      </c>
    </row>
    <row r="44" spans="1:44" x14ac:dyDescent="0.25">
      <c r="A44" s="8">
        <v>40508</v>
      </c>
      <c r="B44">
        <v>1955624.11</v>
      </c>
      <c r="C44">
        <v>1</v>
      </c>
      <c r="D44">
        <v>64.52</v>
      </c>
      <c r="E44">
        <v>2.7349999999999999</v>
      </c>
      <c r="F44">
        <v>211.74843329999999</v>
      </c>
      <c r="G44">
        <v>7.8380000000000001</v>
      </c>
      <c r="J44">
        <v>3</v>
      </c>
      <c r="K44" s="8">
        <v>40312</v>
      </c>
      <c r="L44">
        <v>384357.94</v>
      </c>
      <c r="M44">
        <v>0</v>
      </c>
      <c r="N44">
        <v>77.180000000000007</v>
      </c>
      <c r="O44">
        <v>2.8540000000000001</v>
      </c>
      <c r="P44">
        <v>211.74843329999999</v>
      </c>
      <c r="Q44">
        <v>7.343</v>
      </c>
      <c r="R44">
        <f t="shared" si="1"/>
        <v>381643.39666666667</v>
      </c>
      <c r="U44" s="21">
        <v>1213972.3085714285</v>
      </c>
      <c r="V44" s="21">
        <v>0</v>
      </c>
      <c r="AE44" s="19" t="s">
        <v>296</v>
      </c>
      <c r="AF44" s="19" t="s">
        <v>248</v>
      </c>
      <c r="AG44" s="19" t="s">
        <v>247</v>
      </c>
      <c r="AH44" s="19" t="s">
        <v>297</v>
      </c>
      <c r="AI44" s="19" t="s">
        <v>298</v>
      </c>
      <c r="AO44" s="21">
        <v>42</v>
      </c>
      <c r="AP44" s="27">
        <v>399323.86</v>
      </c>
      <c r="AQ44" s="21">
        <v>39</v>
      </c>
      <c r="AR44" s="28">
        <v>0.26900000000000002</v>
      </c>
    </row>
    <row r="45" spans="1:44" x14ac:dyDescent="0.25">
      <c r="A45" s="8">
        <v>40515</v>
      </c>
      <c r="B45">
        <v>1548033.78</v>
      </c>
      <c r="C45">
        <v>0</v>
      </c>
      <c r="D45">
        <v>49.27</v>
      </c>
      <c r="E45">
        <v>2.7080000000000002</v>
      </c>
      <c r="F45">
        <v>211.607193</v>
      </c>
      <c r="G45">
        <v>7.8380000000000001</v>
      </c>
      <c r="J45">
        <v>3</v>
      </c>
      <c r="K45" s="8">
        <v>40319</v>
      </c>
      <c r="L45">
        <v>343763.17</v>
      </c>
      <c r="M45">
        <v>0</v>
      </c>
      <c r="N45">
        <v>75.81</v>
      </c>
      <c r="O45">
        <v>2.8260000000000001</v>
      </c>
      <c r="P45">
        <v>211.607193</v>
      </c>
      <c r="Q45">
        <v>7.343</v>
      </c>
      <c r="R45">
        <f t="shared" si="1"/>
        <v>375814.99</v>
      </c>
      <c r="U45" s="21">
        <v>1517465.3857142855</v>
      </c>
      <c r="V45" s="21">
        <v>10</v>
      </c>
      <c r="AE45" s="21">
        <v>1</v>
      </c>
      <c r="AF45" s="21">
        <v>52</v>
      </c>
      <c r="AG45" s="21">
        <v>101</v>
      </c>
      <c r="AH45" s="21">
        <v>1.9423076923076923</v>
      </c>
      <c r="AI45" s="21">
        <v>0.64366515837104055</v>
      </c>
      <c r="AO45" s="21">
        <v>46</v>
      </c>
      <c r="AP45" s="27">
        <v>396968.8</v>
      </c>
      <c r="AQ45" s="21">
        <v>40</v>
      </c>
      <c r="AR45" s="28">
        <v>0.25</v>
      </c>
    </row>
    <row r="46" spans="1:44" x14ac:dyDescent="0.25">
      <c r="A46" s="8">
        <v>40522</v>
      </c>
      <c r="B46">
        <v>1682614.26</v>
      </c>
      <c r="C46">
        <v>0</v>
      </c>
      <c r="D46">
        <v>46.33</v>
      </c>
      <c r="E46">
        <v>2.843</v>
      </c>
      <c r="F46">
        <v>211.46595260000001</v>
      </c>
      <c r="G46">
        <v>7.8380000000000001</v>
      </c>
      <c r="J46">
        <v>3</v>
      </c>
      <c r="K46" s="8">
        <v>40326</v>
      </c>
      <c r="L46">
        <v>350089.23</v>
      </c>
      <c r="M46">
        <v>0</v>
      </c>
      <c r="N46">
        <v>78.599999999999994</v>
      </c>
      <c r="O46">
        <v>2.7589999999999999</v>
      </c>
      <c r="P46">
        <v>211.46595260000001</v>
      </c>
      <c r="Q46">
        <v>7.343</v>
      </c>
      <c r="R46">
        <f t="shared" si="1"/>
        <v>359403.4466666666</v>
      </c>
      <c r="U46" s="21">
        <v>1820958.4628571428</v>
      </c>
      <c r="V46" s="21">
        <v>12</v>
      </c>
      <c r="AE46" s="21">
        <v>40214</v>
      </c>
      <c r="AF46" s="21">
        <v>52</v>
      </c>
      <c r="AG46" s="21">
        <v>2096014</v>
      </c>
      <c r="AH46" s="21">
        <v>40307.961538461539</v>
      </c>
      <c r="AI46" s="21">
        <v>2575.5671191553552</v>
      </c>
      <c r="AO46" s="21">
        <v>43</v>
      </c>
      <c r="AP46" s="27">
        <v>384357.94</v>
      </c>
      <c r="AQ46" s="21">
        <v>41</v>
      </c>
      <c r="AR46" s="28">
        <v>0.23</v>
      </c>
    </row>
    <row r="47" spans="1:44" ht="15.75" thickBot="1" x14ac:dyDescent="0.3">
      <c r="A47" s="8">
        <v>40529</v>
      </c>
      <c r="B47">
        <v>1891034.93</v>
      </c>
      <c r="C47">
        <v>0</v>
      </c>
      <c r="D47">
        <v>49.84</v>
      </c>
      <c r="E47">
        <v>2.8690000000000002</v>
      </c>
      <c r="F47">
        <v>211.40531240000001</v>
      </c>
      <c r="G47">
        <v>7.8380000000000001</v>
      </c>
      <c r="J47">
        <v>3</v>
      </c>
      <c r="K47" s="8">
        <v>40333</v>
      </c>
      <c r="L47">
        <v>396968.8</v>
      </c>
      <c r="M47">
        <v>0</v>
      </c>
      <c r="N47">
        <v>78.53</v>
      </c>
      <c r="O47">
        <v>2.7050000000000001</v>
      </c>
      <c r="P47">
        <v>211.40531240000001</v>
      </c>
      <c r="Q47">
        <v>7.343</v>
      </c>
      <c r="R47">
        <f t="shared" si="1"/>
        <v>363607.06666666665</v>
      </c>
      <c r="U47" s="18" t="s">
        <v>251</v>
      </c>
      <c r="V47" s="18">
        <v>16</v>
      </c>
      <c r="AE47" s="18">
        <v>1643690.9</v>
      </c>
      <c r="AF47" s="18">
        <v>52</v>
      </c>
      <c r="AG47" s="18">
        <v>69019796.639999986</v>
      </c>
      <c r="AH47" s="18">
        <v>1327303.7815384613</v>
      </c>
      <c r="AI47" s="18">
        <v>422547162519.45953</v>
      </c>
      <c r="AO47" s="21">
        <v>50</v>
      </c>
      <c r="AP47" s="27">
        <v>381151.72</v>
      </c>
      <c r="AQ47" s="21">
        <v>42</v>
      </c>
      <c r="AR47" s="28">
        <v>0.21099999999999999</v>
      </c>
    </row>
    <row r="48" spans="1:44" ht="15.75" thickBot="1" x14ac:dyDescent="0.3">
      <c r="A48" s="8">
        <v>40536</v>
      </c>
      <c r="B48">
        <v>2387950.2000000002</v>
      </c>
      <c r="C48">
        <v>0</v>
      </c>
      <c r="D48">
        <v>52.33</v>
      </c>
      <c r="E48">
        <v>2.8860000000000001</v>
      </c>
      <c r="F48">
        <v>211.40512219999999</v>
      </c>
      <c r="G48">
        <v>7.8380000000000001</v>
      </c>
      <c r="J48">
        <v>3</v>
      </c>
      <c r="K48" s="8">
        <v>40340</v>
      </c>
      <c r="L48">
        <v>355017.09</v>
      </c>
      <c r="M48">
        <v>0</v>
      </c>
      <c r="N48">
        <v>82.1</v>
      </c>
      <c r="O48">
        <v>2.6680000000000001</v>
      </c>
      <c r="P48">
        <v>211.40512219999999</v>
      </c>
      <c r="Q48">
        <v>7.343</v>
      </c>
      <c r="R48">
        <f t="shared" si="1"/>
        <v>367358.37333333335</v>
      </c>
      <c r="U48" s="18"/>
      <c r="V48" s="18"/>
      <c r="AO48" s="21">
        <v>48</v>
      </c>
      <c r="AP48" s="27">
        <v>364076.85</v>
      </c>
      <c r="AQ48" s="21">
        <v>43</v>
      </c>
      <c r="AR48" s="28">
        <v>0.192</v>
      </c>
    </row>
    <row r="49" spans="1:44" x14ac:dyDescent="0.25">
      <c r="A49" s="8">
        <v>40543</v>
      </c>
      <c r="B49">
        <v>1367320.01</v>
      </c>
      <c r="C49">
        <v>1</v>
      </c>
      <c r="D49">
        <v>48.43</v>
      </c>
      <c r="E49">
        <v>2.9430000000000001</v>
      </c>
      <c r="F49">
        <v>211.4049321</v>
      </c>
      <c r="G49">
        <v>7.8380000000000001</v>
      </c>
      <c r="J49">
        <v>3</v>
      </c>
      <c r="K49" s="8">
        <v>40347</v>
      </c>
      <c r="L49">
        <v>364076.85</v>
      </c>
      <c r="M49">
        <v>0</v>
      </c>
      <c r="N49">
        <v>83.52</v>
      </c>
      <c r="O49">
        <v>2.637</v>
      </c>
      <c r="P49">
        <v>211.4049321</v>
      </c>
      <c r="Q49">
        <v>7.343</v>
      </c>
      <c r="R49">
        <f t="shared" si="1"/>
        <v>372020.91333333333</v>
      </c>
      <c r="AO49" s="21">
        <v>41</v>
      </c>
      <c r="AP49" s="27">
        <v>361248.39</v>
      </c>
      <c r="AQ49" s="21">
        <v>44</v>
      </c>
      <c r="AR49" s="28">
        <v>0.17299999999999999</v>
      </c>
    </row>
    <row r="50" spans="1:44" ht="15.75" thickBot="1" x14ac:dyDescent="0.3">
      <c r="A50" s="8">
        <v>40550</v>
      </c>
      <c r="B50">
        <v>1444732.28</v>
      </c>
      <c r="C50">
        <v>0</v>
      </c>
      <c r="D50">
        <v>48.27</v>
      </c>
      <c r="E50">
        <v>2.976</v>
      </c>
      <c r="F50">
        <v>211.4047419</v>
      </c>
      <c r="G50">
        <v>7.742</v>
      </c>
      <c r="J50">
        <v>3</v>
      </c>
      <c r="K50" s="8">
        <v>40354</v>
      </c>
      <c r="L50">
        <v>357346.48</v>
      </c>
      <c r="M50">
        <v>0</v>
      </c>
      <c r="N50">
        <v>83.79</v>
      </c>
      <c r="O50">
        <v>2.653</v>
      </c>
      <c r="P50">
        <v>211.4047419</v>
      </c>
      <c r="Q50">
        <v>7.343</v>
      </c>
      <c r="R50">
        <f t="shared" si="1"/>
        <v>358813.47333333333</v>
      </c>
      <c r="AE50" t="s">
        <v>260</v>
      </c>
      <c r="AO50" s="21">
        <v>49</v>
      </c>
      <c r="AP50" s="27">
        <v>357346.48</v>
      </c>
      <c r="AQ50" s="21">
        <v>45</v>
      </c>
      <c r="AR50" s="28">
        <v>0.153</v>
      </c>
    </row>
    <row r="51" spans="1:44" x14ac:dyDescent="0.25">
      <c r="A51" s="8">
        <v>40557</v>
      </c>
      <c r="B51">
        <v>1391013.96</v>
      </c>
      <c r="C51">
        <v>0</v>
      </c>
      <c r="D51">
        <v>35.4</v>
      </c>
      <c r="E51">
        <v>2.9830000000000001</v>
      </c>
      <c r="F51">
        <v>211.45741090000001</v>
      </c>
      <c r="G51">
        <v>7.742</v>
      </c>
      <c r="J51">
        <v>3</v>
      </c>
      <c r="K51" s="8">
        <v>40361</v>
      </c>
      <c r="L51">
        <v>381151.72</v>
      </c>
      <c r="M51">
        <v>0</v>
      </c>
      <c r="N51">
        <v>82.2</v>
      </c>
      <c r="O51">
        <v>2.669</v>
      </c>
      <c r="P51">
        <v>211.45741090000001</v>
      </c>
      <c r="Q51">
        <v>7.3460000000000001</v>
      </c>
      <c r="R51">
        <f t="shared" si="1"/>
        <v>367525.0166666666</v>
      </c>
      <c r="AE51" s="19" t="s">
        <v>299</v>
      </c>
      <c r="AF51" s="19" t="s">
        <v>266</v>
      </c>
      <c r="AG51" s="19" t="s">
        <v>265</v>
      </c>
      <c r="AH51" s="19" t="s">
        <v>267</v>
      </c>
      <c r="AI51" s="19" t="s">
        <v>268</v>
      </c>
      <c r="AJ51" s="19" t="s">
        <v>272</v>
      </c>
      <c r="AK51" s="19" t="s">
        <v>300</v>
      </c>
      <c r="AO51" s="21">
        <v>47</v>
      </c>
      <c r="AP51" s="27">
        <v>355017.09</v>
      </c>
      <c r="AQ51" s="21">
        <v>46</v>
      </c>
      <c r="AR51" s="28">
        <v>0.13400000000000001</v>
      </c>
    </row>
    <row r="52" spans="1:44" x14ac:dyDescent="0.25">
      <c r="A52" s="8">
        <v>40564</v>
      </c>
      <c r="B52">
        <v>1327405.42</v>
      </c>
      <c r="C52">
        <v>0</v>
      </c>
      <c r="D52">
        <v>44.04</v>
      </c>
      <c r="E52">
        <v>3.016</v>
      </c>
      <c r="F52">
        <v>211.82723429999999</v>
      </c>
      <c r="G52">
        <v>7.742</v>
      </c>
      <c r="J52">
        <v>3</v>
      </c>
      <c r="K52" s="8">
        <v>40368</v>
      </c>
      <c r="L52">
        <v>349214.18</v>
      </c>
      <c r="M52">
        <v>0</v>
      </c>
      <c r="N52">
        <v>81.75</v>
      </c>
      <c r="O52">
        <v>2.6419999999999999</v>
      </c>
      <c r="P52">
        <v>211.82723429999999</v>
      </c>
      <c r="Q52">
        <v>7.3460000000000001</v>
      </c>
      <c r="R52">
        <f t="shared" si="1"/>
        <v>362570.79333333328</v>
      </c>
      <c r="AE52" s="21" t="s">
        <v>301</v>
      </c>
      <c r="AF52" s="21">
        <v>59275025130690.742</v>
      </c>
      <c r="AG52" s="21">
        <v>2</v>
      </c>
      <c r="AH52" s="21">
        <v>29637512565345.371</v>
      </c>
      <c r="AI52" s="21">
        <v>210.42038626837132</v>
      </c>
      <c r="AJ52" s="21">
        <v>1.2060134918254488E-44</v>
      </c>
      <c r="AK52" s="21">
        <v>3.0551617731389111</v>
      </c>
      <c r="AO52" s="21">
        <v>39</v>
      </c>
      <c r="AP52" s="27">
        <v>354993.26</v>
      </c>
      <c r="AQ52" s="21">
        <v>47</v>
      </c>
      <c r="AR52" s="28">
        <v>0.115</v>
      </c>
    </row>
    <row r="53" spans="1:44" x14ac:dyDescent="0.25">
      <c r="A53" s="8">
        <v>40571</v>
      </c>
      <c r="B53">
        <v>1316899.31</v>
      </c>
      <c r="C53">
        <v>0</v>
      </c>
      <c r="D53">
        <v>43.83</v>
      </c>
      <c r="E53">
        <v>3.01</v>
      </c>
      <c r="F53">
        <v>212.19705769999999</v>
      </c>
      <c r="G53">
        <v>7.742</v>
      </c>
      <c r="J53">
        <v>3</v>
      </c>
      <c r="K53" s="8">
        <v>40375</v>
      </c>
      <c r="L53">
        <v>352728.78</v>
      </c>
      <c r="M53">
        <v>0</v>
      </c>
      <c r="N53">
        <v>84.32</v>
      </c>
      <c r="O53">
        <v>2.6230000000000002</v>
      </c>
      <c r="P53">
        <v>212.19705769999999</v>
      </c>
      <c r="Q53">
        <v>7.3460000000000001</v>
      </c>
      <c r="R53">
        <f t="shared" si="1"/>
        <v>361031.56</v>
      </c>
      <c r="AE53" s="21" t="s">
        <v>302</v>
      </c>
      <c r="AF53" s="21">
        <v>21549905419879.164</v>
      </c>
      <c r="AG53" s="21">
        <v>153</v>
      </c>
      <c r="AH53" s="21">
        <v>140849055031.88995</v>
      </c>
      <c r="AI53" s="21"/>
      <c r="AJ53" s="21"/>
      <c r="AK53" s="21"/>
      <c r="AO53" s="21">
        <v>53</v>
      </c>
      <c r="AP53" s="27">
        <v>352864.49</v>
      </c>
      <c r="AQ53" s="21">
        <v>48</v>
      </c>
      <c r="AR53" s="28">
        <v>9.6000000000000002E-2</v>
      </c>
    </row>
    <row r="54" spans="1:44" x14ac:dyDescent="0.25">
      <c r="A54" s="8">
        <v>40578</v>
      </c>
      <c r="B54">
        <v>1606629.58</v>
      </c>
      <c r="C54">
        <v>0</v>
      </c>
      <c r="D54">
        <v>42.27</v>
      </c>
      <c r="E54">
        <v>2.9889999999999999</v>
      </c>
      <c r="F54">
        <v>212.56688120000001</v>
      </c>
      <c r="G54">
        <v>7.742</v>
      </c>
      <c r="J54">
        <v>3</v>
      </c>
      <c r="K54" s="8">
        <v>40382</v>
      </c>
      <c r="L54">
        <v>352864.49</v>
      </c>
      <c r="M54">
        <v>0</v>
      </c>
      <c r="N54">
        <v>83.32</v>
      </c>
      <c r="O54">
        <v>2.6080000000000001</v>
      </c>
      <c r="P54">
        <v>212.56688120000001</v>
      </c>
      <c r="Q54">
        <v>7.3460000000000001</v>
      </c>
      <c r="R54">
        <f t="shared" si="1"/>
        <v>351602.48333333334</v>
      </c>
      <c r="AE54" s="21"/>
      <c r="AF54" s="21"/>
      <c r="AG54" s="21"/>
      <c r="AH54" s="21"/>
      <c r="AI54" s="21"/>
      <c r="AJ54" s="21"/>
      <c r="AK54" s="21"/>
      <c r="AO54" s="21">
        <v>52</v>
      </c>
      <c r="AP54" s="27">
        <v>352728.78</v>
      </c>
      <c r="AQ54" s="21">
        <v>49</v>
      </c>
      <c r="AR54" s="28">
        <v>7.5999999999999998E-2</v>
      </c>
    </row>
    <row r="55" spans="1:44" ht="24" thickBot="1" x14ac:dyDescent="0.4">
      <c r="A55" s="8">
        <v>40585</v>
      </c>
      <c r="B55">
        <v>1649614.93</v>
      </c>
      <c r="C55">
        <v>1</v>
      </c>
      <c r="D55">
        <v>36.39</v>
      </c>
      <c r="E55">
        <v>3.0219999999999998</v>
      </c>
      <c r="F55">
        <v>212.93670460000001</v>
      </c>
      <c r="G55">
        <v>7.742</v>
      </c>
      <c r="N55" s="8"/>
      <c r="U55" s="25" t="s">
        <v>325</v>
      </c>
      <c r="Z55" s="20" t="s">
        <v>329</v>
      </c>
      <c r="AE55" s="18" t="s">
        <v>263</v>
      </c>
      <c r="AF55" s="18">
        <v>80824930550569.906</v>
      </c>
      <c r="AG55" s="18">
        <v>155</v>
      </c>
      <c r="AH55" s="18"/>
      <c r="AI55" s="18"/>
      <c r="AJ55" s="18"/>
      <c r="AK55" s="18"/>
      <c r="AO55" s="21">
        <v>45</v>
      </c>
      <c r="AP55" s="27">
        <v>350089.23</v>
      </c>
      <c r="AQ55" s="21">
        <v>50</v>
      </c>
      <c r="AR55" s="28">
        <v>5.7000000000000002E-2</v>
      </c>
    </row>
    <row r="56" spans="1:44" x14ac:dyDescent="0.25">
      <c r="A56" s="8">
        <v>40592</v>
      </c>
      <c r="B56">
        <v>1686842.78</v>
      </c>
      <c r="C56">
        <v>0</v>
      </c>
      <c r="D56">
        <v>57.36</v>
      </c>
      <c r="E56">
        <v>3.0449999999999999</v>
      </c>
      <c r="F56">
        <v>213.24788530000001</v>
      </c>
      <c r="G56">
        <v>7.742</v>
      </c>
      <c r="N56" s="8"/>
      <c r="AO56" s="21">
        <v>51</v>
      </c>
      <c r="AP56" s="27">
        <v>349214.18</v>
      </c>
      <c r="AQ56" s="21">
        <v>51</v>
      </c>
      <c r="AR56" s="28">
        <v>3.7999999999999999E-2</v>
      </c>
    </row>
    <row r="57" spans="1:44" x14ac:dyDescent="0.25">
      <c r="A57" s="8">
        <v>40599</v>
      </c>
      <c r="B57">
        <v>1456800.28</v>
      </c>
      <c r="C57">
        <v>0</v>
      </c>
      <c r="D57">
        <v>62.9</v>
      </c>
      <c r="E57">
        <v>3.0649999999999999</v>
      </c>
      <c r="F57">
        <v>213.53560899999999</v>
      </c>
      <c r="G57">
        <v>7.742</v>
      </c>
      <c r="N57" s="8"/>
      <c r="U57" t="s">
        <v>308</v>
      </c>
      <c r="V57" t="s">
        <v>309</v>
      </c>
      <c r="W57" t="s">
        <v>310</v>
      </c>
      <c r="Z57" t="s">
        <v>308</v>
      </c>
      <c r="AA57" t="s">
        <v>309</v>
      </c>
      <c r="AB57" t="s">
        <v>310</v>
      </c>
      <c r="AO57" s="21">
        <v>44</v>
      </c>
      <c r="AP57" s="27">
        <v>343763.17</v>
      </c>
      <c r="AQ57" s="21">
        <v>52</v>
      </c>
      <c r="AR57" s="28">
        <v>1.9E-2</v>
      </c>
    </row>
    <row r="58" spans="1:44" ht="15.75" thickBot="1" x14ac:dyDescent="0.3">
      <c r="A58" s="8">
        <v>40606</v>
      </c>
      <c r="B58">
        <v>1636263.41</v>
      </c>
      <c r="C58">
        <v>0</v>
      </c>
      <c r="D58">
        <v>59.58</v>
      </c>
      <c r="E58">
        <v>3.2879999999999998</v>
      </c>
      <c r="F58">
        <v>213.82333270000001</v>
      </c>
      <c r="G58">
        <v>7.742</v>
      </c>
      <c r="N58" s="8"/>
      <c r="U58" t="s">
        <v>311</v>
      </c>
      <c r="V58">
        <v>123</v>
      </c>
      <c r="W58">
        <v>124</v>
      </c>
      <c r="Z58" t="s">
        <v>311</v>
      </c>
      <c r="AA58">
        <v>123</v>
      </c>
      <c r="AB58">
        <v>124</v>
      </c>
      <c r="AO58" s="18">
        <v>40</v>
      </c>
      <c r="AP58" s="29">
        <v>339976.65</v>
      </c>
      <c r="AQ58" s="18">
        <v>53</v>
      </c>
      <c r="AR58" s="30">
        <v>0</v>
      </c>
    </row>
    <row r="59" spans="1:44" x14ac:dyDescent="0.25">
      <c r="A59" s="8">
        <v>40613</v>
      </c>
      <c r="B59">
        <v>1553191.63</v>
      </c>
      <c r="C59">
        <v>0</v>
      </c>
      <c r="D59">
        <v>53.56</v>
      </c>
      <c r="E59">
        <v>3.4590000000000001</v>
      </c>
      <c r="F59">
        <v>214.1110564</v>
      </c>
      <c r="G59">
        <v>7.742</v>
      </c>
      <c r="U59" t="s">
        <v>311</v>
      </c>
      <c r="V59">
        <v>432</v>
      </c>
      <c r="W59">
        <v>323</v>
      </c>
      <c r="Z59" t="s">
        <v>312</v>
      </c>
      <c r="AA59">
        <v>432</v>
      </c>
      <c r="AB59">
        <v>323</v>
      </c>
    </row>
    <row r="60" spans="1:44" x14ac:dyDescent="0.25">
      <c r="A60" s="8">
        <v>40620</v>
      </c>
      <c r="B60">
        <v>1576818.06</v>
      </c>
      <c r="C60">
        <v>0</v>
      </c>
      <c r="D60">
        <v>62.76</v>
      </c>
      <c r="E60">
        <v>3.488</v>
      </c>
      <c r="F60">
        <v>214.36271139999999</v>
      </c>
      <c r="G60">
        <v>7.742</v>
      </c>
      <c r="O60" s="31" t="s">
        <v>305</v>
      </c>
      <c r="P60" s="31" t="s">
        <v>304</v>
      </c>
      <c r="U60" t="s">
        <v>313</v>
      </c>
      <c r="V60">
        <v>5453</v>
      </c>
      <c r="W60">
        <v>2434</v>
      </c>
      <c r="Z60" t="s">
        <v>320</v>
      </c>
      <c r="AA60">
        <v>5453</v>
      </c>
      <c r="AB60">
        <v>2434</v>
      </c>
    </row>
    <row r="61" spans="1:44" x14ac:dyDescent="0.25">
      <c r="A61" s="8">
        <v>40627</v>
      </c>
      <c r="B61">
        <v>1541102.38</v>
      </c>
      <c r="C61">
        <v>0</v>
      </c>
      <c r="D61">
        <v>69.97</v>
      </c>
      <c r="E61">
        <v>3.4729999999999999</v>
      </c>
      <c r="F61">
        <v>214.59993890000001</v>
      </c>
      <c r="G61">
        <v>7.742</v>
      </c>
      <c r="O61" s="31" t="s">
        <v>307</v>
      </c>
      <c r="P61">
        <v>0</v>
      </c>
      <c r="Q61">
        <v>1</v>
      </c>
      <c r="R61" t="s">
        <v>306</v>
      </c>
      <c r="U61" t="s">
        <v>313</v>
      </c>
      <c r="V61">
        <v>2341</v>
      </c>
      <c r="W61">
        <v>1433</v>
      </c>
      <c r="Z61" t="s">
        <v>313</v>
      </c>
      <c r="AA61">
        <v>2341</v>
      </c>
      <c r="AB61">
        <v>1433</v>
      </c>
    </row>
    <row r="62" spans="1:44" x14ac:dyDescent="0.25">
      <c r="A62" s="8">
        <v>40634</v>
      </c>
      <c r="B62">
        <v>1495064.75</v>
      </c>
      <c r="C62">
        <v>0</v>
      </c>
      <c r="D62">
        <v>59.17</v>
      </c>
      <c r="E62">
        <v>3.524</v>
      </c>
      <c r="F62">
        <v>214.8371664</v>
      </c>
      <c r="G62">
        <v>7.6820000000000004</v>
      </c>
      <c r="O62" s="32">
        <v>1</v>
      </c>
      <c r="P62" s="26">
        <v>27047507</v>
      </c>
      <c r="Q62" s="26">
        <v>1641957.44</v>
      </c>
      <c r="R62" s="26">
        <v>28689464.440000001</v>
      </c>
      <c r="U62" t="s">
        <v>314</v>
      </c>
      <c r="V62">
        <v>435</v>
      </c>
      <c r="W62">
        <v>434</v>
      </c>
      <c r="Z62" t="s">
        <v>321</v>
      </c>
      <c r="AA62">
        <v>435</v>
      </c>
      <c r="AB62">
        <v>434</v>
      </c>
      <c r="AF62" t="s">
        <v>326</v>
      </c>
    </row>
    <row r="63" spans="1:44" ht="15.75" thickBot="1" x14ac:dyDescent="0.3">
      <c r="A63" s="8">
        <v>40641</v>
      </c>
      <c r="B63">
        <v>1614259.35</v>
      </c>
      <c r="C63">
        <v>0</v>
      </c>
      <c r="D63">
        <v>67.84</v>
      </c>
      <c r="E63">
        <v>3.6219999999999999</v>
      </c>
      <c r="F63">
        <v>215.07439389999999</v>
      </c>
      <c r="G63">
        <v>7.6820000000000004</v>
      </c>
      <c r="O63" s="32">
        <v>2</v>
      </c>
      <c r="P63" s="26">
        <v>36530902.210000001</v>
      </c>
      <c r="Q63" s="26"/>
      <c r="R63" s="26">
        <v>36530902.210000001</v>
      </c>
      <c r="U63" t="s">
        <v>314</v>
      </c>
      <c r="V63">
        <v>324</v>
      </c>
      <c r="W63">
        <v>123</v>
      </c>
      <c r="Z63" t="s">
        <v>322</v>
      </c>
      <c r="AA63">
        <v>231</v>
      </c>
      <c r="AB63">
        <v>231</v>
      </c>
    </row>
    <row r="64" spans="1:44" x14ac:dyDescent="0.25">
      <c r="A64" s="8">
        <v>40648</v>
      </c>
      <c r="B64">
        <v>1559889</v>
      </c>
      <c r="C64">
        <v>0</v>
      </c>
      <c r="D64">
        <v>71.27</v>
      </c>
      <c r="E64">
        <v>3.7429999999999999</v>
      </c>
      <c r="F64">
        <v>215.29185609999999</v>
      </c>
      <c r="G64">
        <v>7.6820000000000004</v>
      </c>
      <c r="O64" s="32">
        <v>3</v>
      </c>
      <c r="P64" s="26">
        <v>5443120.8899999997</v>
      </c>
      <c r="Q64" s="26"/>
      <c r="R64" s="26">
        <v>5443120.8899999997</v>
      </c>
      <c r="Z64" t="s">
        <v>323</v>
      </c>
      <c r="AA64">
        <v>2312</v>
      </c>
      <c r="AB64">
        <v>2312</v>
      </c>
      <c r="AE64" s="19" t="s">
        <v>295</v>
      </c>
      <c r="AF64" s="19" t="s">
        <v>248</v>
      </c>
      <c r="AG64" s="19" t="s">
        <v>247</v>
      </c>
      <c r="AH64" s="19" t="s">
        <v>297</v>
      </c>
      <c r="AI64" s="19" t="s">
        <v>298</v>
      </c>
    </row>
    <row r="65" spans="1:37" x14ac:dyDescent="0.25">
      <c r="A65" s="8">
        <v>40655</v>
      </c>
      <c r="B65">
        <v>1564819.81</v>
      </c>
      <c r="C65">
        <v>0</v>
      </c>
      <c r="D65">
        <v>72.989999999999995</v>
      </c>
      <c r="E65">
        <v>3.8069999999999999</v>
      </c>
      <c r="F65">
        <v>215.4599053</v>
      </c>
      <c r="G65">
        <v>7.6820000000000004</v>
      </c>
      <c r="O65" s="32" t="s">
        <v>306</v>
      </c>
      <c r="P65" s="26">
        <v>69021530.099999994</v>
      </c>
      <c r="Q65" s="26">
        <v>1641957.44</v>
      </c>
      <c r="R65" s="26">
        <v>70663487.540000007</v>
      </c>
      <c r="Z65" t="s">
        <v>324</v>
      </c>
      <c r="AA65">
        <v>1231</v>
      </c>
      <c r="AB65">
        <v>1312</v>
      </c>
      <c r="AE65" s="21" t="s">
        <v>312</v>
      </c>
      <c r="AF65" s="21">
        <v>2</v>
      </c>
      <c r="AG65" s="21">
        <v>755</v>
      </c>
      <c r="AH65" s="21">
        <v>377.5</v>
      </c>
      <c r="AI65" s="21">
        <v>5940.5</v>
      </c>
    </row>
    <row r="66" spans="1:37" x14ac:dyDescent="0.25">
      <c r="A66" s="8">
        <v>40662</v>
      </c>
      <c r="B66">
        <v>1455090.69</v>
      </c>
      <c r="C66">
        <v>0</v>
      </c>
      <c r="D66">
        <v>72.03</v>
      </c>
      <c r="E66">
        <v>3.81</v>
      </c>
      <c r="F66">
        <v>215.62795439999999</v>
      </c>
      <c r="G66">
        <v>7.6820000000000004</v>
      </c>
      <c r="U66" t="s">
        <v>315</v>
      </c>
      <c r="AE66" s="21" t="s">
        <v>320</v>
      </c>
      <c r="AF66" s="21">
        <v>2</v>
      </c>
      <c r="AG66" s="21">
        <v>7887</v>
      </c>
      <c r="AH66" s="21">
        <v>3943.5</v>
      </c>
      <c r="AI66" s="21">
        <v>4557180.5</v>
      </c>
    </row>
    <row r="67" spans="1:37" x14ac:dyDescent="0.25">
      <c r="A67" s="8">
        <v>40669</v>
      </c>
      <c r="B67">
        <v>1629391.28</v>
      </c>
      <c r="C67">
        <v>0</v>
      </c>
      <c r="D67">
        <v>64.61</v>
      </c>
      <c r="E67">
        <v>3.9060000000000001</v>
      </c>
      <c r="F67">
        <v>215.79600350000001</v>
      </c>
      <c r="G67">
        <v>7.6820000000000004</v>
      </c>
      <c r="N67" s="8"/>
      <c r="AE67" s="21" t="s">
        <v>313</v>
      </c>
      <c r="AF67" s="21">
        <v>2</v>
      </c>
      <c r="AG67" s="21">
        <v>3774</v>
      </c>
      <c r="AH67" s="21">
        <v>1887</v>
      </c>
      <c r="AI67" s="21">
        <v>412232</v>
      </c>
    </row>
    <row r="68" spans="1:37" x14ac:dyDescent="0.25">
      <c r="A68" s="8">
        <v>40676</v>
      </c>
      <c r="B68">
        <v>1604775.58</v>
      </c>
      <c r="C68">
        <v>0</v>
      </c>
      <c r="D68">
        <v>75.64</v>
      </c>
      <c r="E68">
        <v>3.899</v>
      </c>
      <c r="F68">
        <v>215.9640526</v>
      </c>
      <c r="G68">
        <v>7.6820000000000004</v>
      </c>
      <c r="N68" s="8"/>
      <c r="U68" t="s">
        <v>295</v>
      </c>
      <c r="V68" t="s">
        <v>309</v>
      </c>
      <c r="W68" t="s">
        <v>310</v>
      </c>
      <c r="X68" t="s">
        <v>263</v>
      </c>
      <c r="AE68" s="21" t="s">
        <v>321</v>
      </c>
      <c r="AF68" s="21">
        <v>2</v>
      </c>
      <c r="AG68" s="21">
        <v>869</v>
      </c>
      <c r="AH68" s="21">
        <v>434.5</v>
      </c>
      <c r="AI68" s="21">
        <v>0.5</v>
      </c>
    </row>
    <row r="69" spans="1:37" ht="15.75" thickBot="1" x14ac:dyDescent="0.3">
      <c r="A69" s="8">
        <v>40683</v>
      </c>
      <c r="B69">
        <v>1428218.27</v>
      </c>
      <c r="C69">
        <v>0</v>
      </c>
      <c r="D69">
        <v>67.63</v>
      </c>
      <c r="E69">
        <v>3.907</v>
      </c>
      <c r="F69">
        <v>215.7339202</v>
      </c>
      <c r="G69">
        <v>7.6820000000000004</v>
      </c>
      <c r="N69" s="8"/>
      <c r="U69" s="33" t="s">
        <v>311</v>
      </c>
      <c r="V69" s="33"/>
      <c r="W69" s="33"/>
      <c r="X69" s="33"/>
      <c r="AE69" s="21" t="s">
        <v>322</v>
      </c>
      <c r="AF69" s="21">
        <v>2</v>
      </c>
      <c r="AG69" s="21">
        <v>462</v>
      </c>
      <c r="AH69" s="21">
        <v>231</v>
      </c>
      <c r="AI69" s="21">
        <v>0</v>
      </c>
    </row>
    <row r="70" spans="1:37" x14ac:dyDescent="0.25">
      <c r="A70" s="8">
        <v>40690</v>
      </c>
      <c r="B70">
        <v>1466046.67</v>
      </c>
      <c r="C70">
        <v>0</v>
      </c>
      <c r="D70">
        <v>77.72</v>
      </c>
      <c r="E70">
        <v>3.786</v>
      </c>
      <c r="F70">
        <v>215.5037878</v>
      </c>
      <c r="G70">
        <v>7.6820000000000004</v>
      </c>
      <c r="J70" t="s">
        <v>294</v>
      </c>
      <c r="K70"/>
      <c r="U70" s="21" t="s">
        <v>248</v>
      </c>
      <c r="V70" s="21">
        <v>2</v>
      </c>
      <c r="W70" s="21">
        <v>2</v>
      </c>
      <c r="X70" s="21">
        <v>4</v>
      </c>
      <c r="AE70" s="21" t="s">
        <v>323</v>
      </c>
      <c r="AF70" s="21">
        <v>2</v>
      </c>
      <c r="AG70" s="21">
        <v>4624</v>
      </c>
      <c r="AH70" s="21">
        <v>2312</v>
      </c>
      <c r="AI70" s="21">
        <v>0</v>
      </c>
    </row>
    <row r="71" spans="1:37" x14ac:dyDescent="0.25">
      <c r="A71" s="8">
        <v>40697</v>
      </c>
      <c r="B71">
        <v>1635078.41</v>
      </c>
      <c r="C71">
        <v>0</v>
      </c>
      <c r="D71">
        <v>83</v>
      </c>
      <c r="E71">
        <v>3.6989999999999998</v>
      </c>
      <c r="F71">
        <v>215.2736553</v>
      </c>
      <c r="G71">
        <v>7.6820000000000004</v>
      </c>
      <c r="K71"/>
      <c r="U71" s="21" t="s">
        <v>247</v>
      </c>
      <c r="V71" s="21">
        <v>555</v>
      </c>
      <c r="W71" s="21">
        <v>447</v>
      </c>
      <c r="X71" s="21">
        <v>1002</v>
      </c>
      <c r="AE71" s="21" t="s">
        <v>324</v>
      </c>
      <c r="AF71" s="21">
        <v>2</v>
      </c>
      <c r="AG71" s="21">
        <v>2543</v>
      </c>
      <c r="AH71" s="21">
        <v>1271.5</v>
      </c>
      <c r="AI71" s="21">
        <v>3280.5</v>
      </c>
    </row>
    <row r="72" spans="1:37" ht="15.75" thickBot="1" x14ac:dyDescent="0.3">
      <c r="A72" s="8">
        <v>40704</v>
      </c>
      <c r="B72">
        <v>1588948.32</v>
      </c>
      <c r="C72">
        <v>0</v>
      </c>
      <c r="D72">
        <v>83.13</v>
      </c>
      <c r="E72">
        <v>3.6480000000000001</v>
      </c>
      <c r="F72">
        <v>215.0435229</v>
      </c>
      <c r="G72">
        <v>7.6820000000000004</v>
      </c>
      <c r="J72" t="s">
        <v>295</v>
      </c>
      <c r="K72"/>
      <c r="U72" s="21" t="s">
        <v>297</v>
      </c>
      <c r="V72" s="21">
        <v>277.5</v>
      </c>
      <c r="W72" s="21">
        <v>223.5</v>
      </c>
      <c r="X72" s="21">
        <v>250.5</v>
      </c>
      <c r="AE72" s="21"/>
      <c r="AF72" s="21"/>
      <c r="AG72" s="21"/>
      <c r="AH72" s="21"/>
      <c r="AI72" s="21"/>
    </row>
    <row r="73" spans="1:37" x14ac:dyDescent="0.25">
      <c r="A73" s="8">
        <v>40711</v>
      </c>
      <c r="B73">
        <v>1532114.86</v>
      </c>
      <c r="C73">
        <v>0</v>
      </c>
      <c r="D73">
        <v>86.41</v>
      </c>
      <c r="E73">
        <v>3.637</v>
      </c>
      <c r="F73">
        <v>214.9980596</v>
      </c>
      <c r="G73">
        <v>7.6820000000000004</v>
      </c>
      <c r="J73" s="19" t="s">
        <v>296</v>
      </c>
      <c r="K73" s="19" t="s">
        <v>248</v>
      </c>
      <c r="L73" s="19" t="s">
        <v>247</v>
      </c>
      <c r="M73" s="19" t="s">
        <v>297</v>
      </c>
      <c r="N73" s="19" t="s">
        <v>298</v>
      </c>
      <c r="U73" s="21" t="s">
        <v>298</v>
      </c>
      <c r="V73" s="21">
        <v>47740.5</v>
      </c>
      <c r="W73" s="21">
        <v>19800.5</v>
      </c>
      <c r="X73" s="21">
        <v>23485.666666666668</v>
      </c>
      <c r="AE73" s="21">
        <v>123</v>
      </c>
      <c r="AF73" s="21">
        <v>7</v>
      </c>
      <c r="AG73" s="21">
        <v>12435</v>
      </c>
      <c r="AH73" s="21">
        <v>1776.4285714285713</v>
      </c>
      <c r="AI73" s="21">
        <v>3402585.952380952</v>
      </c>
    </row>
    <row r="74" spans="1:37" ht="15.75" thickBot="1" x14ac:dyDescent="0.3">
      <c r="A74" s="8">
        <v>40718</v>
      </c>
      <c r="B74">
        <v>1438830.15</v>
      </c>
      <c r="C74">
        <v>0</v>
      </c>
      <c r="D74">
        <v>83.58</v>
      </c>
      <c r="E74">
        <v>3.5939999999999999</v>
      </c>
      <c r="F74">
        <v>215.0910982</v>
      </c>
      <c r="G74">
        <v>7.6820000000000004</v>
      </c>
      <c r="J74" s="21">
        <v>1</v>
      </c>
      <c r="K74" s="21">
        <v>52</v>
      </c>
      <c r="L74" s="21">
        <v>101</v>
      </c>
      <c r="M74" s="21">
        <v>1.9423076923076923</v>
      </c>
      <c r="N74" s="21">
        <v>0.64366515837104055</v>
      </c>
      <c r="U74" s="21"/>
      <c r="V74" s="21"/>
      <c r="W74" s="21"/>
      <c r="X74" s="21"/>
      <c r="AE74" s="18">
        <v>124</v>
      </c>
      <c r="AF74" s="18">
        <v>7</v>
      </c>
      <c r="AG74" s="18">
        <v>8479</v>
      </c>
      <c r="AH74" s="18">
        <v>1211.2857142857142</v>
      </c>
      <c r="AI74" s="18">
        <v>853347.90476190485</v>
      </c>
    </row>
    <row r="75" spans="1:37" ht="15.75" thickBot="1" x14ac:dyDescent="0.3">
      <c r="A75" s="8">
        <v>40725</v>
      </c>
      <c r="B75">
        <v>1488538.09</v>
      </c>
      <c r="C75">
        <v>0</v>
      </c>
      <c r="D75">
        <v>85.55</v>
      </c>
      <c r="E75">
        <v>3.524</v>
      </c>
      <c r="F75">
        <v>215.1841368</v>
      </c>
      <c r="G75">
        <v>7.9619999999999997</v>
      </c>
      <c r="J75" s="21">
        <v>40214</v>
      </c>
      <c r="K75" s="21">
        <v>52</v>
      </c>
      <c r="L75" s="21">
        <v>2096014</v>
      </c>
      <c r="M75" s="21">
        <v>40307.961538461539</v>
      </c>
      <c r="N75" s="21">
        <v>2575.5671191553552</v>
      </c>
      <c r="U75" s="33" t="s">
        <v>313</v>
      </c>
      <c r="V75" s="33"/>
      <c r="W75" s="33"/>
      <c r="X75" s="33"/>
    </row>
    <row r="76" spans="1:37" ht="15.75" thickBot="1" x14ac:dyDescent="0.3">
      <c r="A76" s="8">
        <v>40732</v>
      </c>
      <c r="B76">
        <v>1534849.64</v>
      </c>
      <c r="C76">
        <v>0</v>
      </c>
      <c r="D76">
        <v>85.83</v>
      </c>
      <c r="E76">
        <v>3.48</v>
      </c>
      <c r="F76">
        <v>215.2771754</v>
      </c>
      <c r="G76">
        <v>7.9619999999999997</v>
      </c>
      <c r="J76" s="18">
        <v>1643690.9</v>
      </c>
      <c r="K76" s="18">
        <v>52</v>
      </c>
      <c r="L76" s="18">
        <v>69019796.639999986</v>
      </c>
      <c r="M76" s="18">
        <v>1327303.7815384613</v>
      </c>
      <c r="N76" s="18">
        <v>422547162519.45953</v>
      </c>
      <c r="U76" s="21" t="s">
        <v>248</v>
      </c>
      <c r="V76" s="21">
        <v>2</v>
      </c>
      <c r="W76" s="21">
        <v>2</v>
      </c>
      <c r="X76" s="21">
        <v>4</v>
      </c>
    </row>
    <row r="77" spans="1:37" ht="15.75" thickBot="1" x14ac:dyDescent="0.3">
      <c r="A77" s="8">
        <v>40739</v>
      </c>
      <c r="B77">
        <v>1455119.97</v>
      </c>
      <c r="C77">
        <v>0</v>
      </c>
      <c r="D77">
        <v>88.54</v>
      </c>
      <c r="E77">
        <v>3.5750000000000002</v>
      </c>
      <c r="F77">
        <v>215.36110869999999</v>
      </c>
      <c r="G77">
        <v>7.9619999999999997</v>
      </c>
      <c r="K77"/>
      <c r="U77" s="21" t="s">
        <v>247</v>
      </c>
      <c r="V77" s="21">
        <v>7794</v>
      </c>
      <c r="W77" s="21">
        <v>3867</v>
      </c>
      <c r="X77" s="21">
        <v>11661</v>
      </c>
      <c r="AE77" t="s">
        <v>260</v>
      </c>
    </row>
    <row r="78" spans="1:37" x14ac:dyDescent="0.25">
      <c r="A78" s="8">
        <v>40746</v>
      </c>
      <c r="B78">
        <v>1396926.82</v>
      </c>
      <c r="C78">
        <v>0</v>
      </c>
      <c r="D78">
        <v>85.77</v>
      </c>
      <c r="E78">
        <v>3.6509999999999998</v>
      </c>
      <c r="F78">
        <v>215.42227840000001</v>
      </c>
      <c r="G78">
        <v>7.9619999999999997</v>
      </c>
      <c r="K78"/>
      <c r="U78" s="21" t="s">
        <v>297</v>
      </c>
      <c r="V78" s="21">
        <v>3897</v>
      </c>
      <c r="W78" s="21">
        <v>1933.5</v>
      </c>
      <c r="X78" s="21">
        <v>2915.25</v>
      </c>
      <c r="AE78" s="19" t="s">
        <v>299</v>
      </c>
      <c r="AF78" s="19" t="s">
        <v>266</v>
      </c>
      <c r="AG78" s="19" t="s">
        <v>265</v>
      </c>
      <c r="AH78" s="19" t="s">
        <v>267</v>
      </c>
      <c r="AI78" s="19" t="s">
        <v>268</v>
      </c>
      <c r="AJ78" s="19" t="s">
        <v>272</v>
      </c>
      <c r="AK78" s="19" t="s">
        <v>300</v>
      </c>
    </row>
    <row r="79" spans="1:37" ht="15.75" thickBot="1" x14ac:dyDescent="0.3">
      <c r="A79" s="8">
        <v>40753</v>
      </c>
      <c r="B79">
        <v>1352219.79</v>
      </c>
      <c r="C79">
        <v>0</v>
      </c>
      <c r="D79">
        <v>86.83</v>
      </c>
      <c r="E79">
        <v>3.6819999999999999</v>
      </c>
      <c r="F79">
        <v>215.4834482</v>
      </c>
      <c r="G79">
        <v>7.9619999999999997</v>
      </c>
      <c r="J79" t="s">
        <v>260</v>
      </c>
      <c r="K79"/>
      <c r="U79" s="21" t="s">
        <v>298</v>
      </c>
      <c r="V79" s="21">
        <v>4842272</v>
      </c>
      <c r="W79" s="21">
        <v>501000.5</v>
      </c>
      <c r="X79" s="21">
        <v>3066201.5833333335</v>
      </c>
      <c r="AE79" s="21" t="s">
        <v>327</v>
      </c>
      <c r="AF79" s="21">
        <v>21674821.714285716</v>
      </c>
      <c r="AG79" s="21">
        <v>6</v>
      </c>
      <c r="AH79" s="21">
        <v>3612470.2857142859</v>
      </c>
      <c r="AI79" s="21">
        <v>5.6141022524307624</v>
      </c>
      <c r="AJ79" s="21">
        <v>2.7197055546145116E-2</v>
      </c>
      <c r="AK79" s="21">
        <v>4.2838657138226397</v>
      </c>
    </row>
    <row r="80" spans="1:37" x14ac:dyDescent="0.25">
      <c r="A80" s="8">
        <v>40760</v>
      </c>
      <c r="B80">
        <v>1624383.75</v>
      </c>
      <c r="C80">
        <v>0</v>
      </c>
      <c r="D80">
        <v>91.65</v>
      </c>
      <c r="E80">
        <v>3.6840000000000002</v>
      </c>
      <c r="F80">
        <v>215.54461800000001</v>
      </c>
      <c r="G80">
        <v>7.9619999999999997</v>
      </c>
      <c r="J80" s="19" t="s">
        <v>299</v>
      </c>
      <c r="K80" s="19" t="s">
        <v>266</v>
      </c>
      <c r="L80" s="19" t="s">
        <v>265</v>
      </c>
      <c r="M80" s="19" t="s">
        <v>267</v>
      </c>
      <c r="N80" s="19" t="s">
        <v>268</v>
      </c>
      <c r="O80" s="19" t="s">
        <v>272</v>
      </c>
      <c r="P80" s="19" t="s">
        <v>300</v>
      </c>
      <c r="U80" s="21"/>
      <c r="V80" s="21"/>
      <c r="W80" s="21"/>
      <c r="X80" s="21"/>
      <c r="AE80" s="21" t="s">
        <v>317</v>
      </c>
      <c r="AF80" s="21">
        <v>1117852.5714285709</v>
      </c>
      <c r="AG80" s="21">
        <v>1</v>
      </c>
      <c r="AH80" s="21">
        <v>1117852.5714285709</v>
      </c>
      <c r="AI80" s="21">
        <v>1.7372429785679944</v>
      </c>
      <c r="AJ80" s="21">
        <v>0.23557150828553833</v>
      </c>
      <c r="AK80" s="21">
        <v>5.9873776072737011</v>
      </c>
    </row>
    <row r="81" spans="1:37" ht="15.75" thickBot="1" x14ac:dyDescent="0.3">
      <c r="A81" s="8">
        <v>40767</v>
      </c>
      <c r="B81">
        <v>1525147.09</v>
      </c>
      <c r="C81">
        <v>0</v>
      </c>
      <c r="D81">
        <v>90.76</v>
      </c>
      <c r="E81">
        <v>3.6379999999999999</v>
      </c>
      <c r="F81">
        <v>215.6057878</v>
      </c>
      <c r="G81">
        <v>7.9619999999999997</v>
      </c>
      <c r="J81" s="21" t="s">
        <v>301</v>
      </c>
      <c r="K81" s="21">
        <v>59275025130690.742</v>
      </c>
      <c r="L81" s="21">
        <v>2</v>
      </c>
      <c r="M81" s="21">
        <v>29637512565345.371</v>
      </c>
      <c r="N81" s="21">
        <v>210.42038626837132</v>
      </c>
      <c r="O81" s="21">
        <v>1.2060134918254488E-44</v>
      </c>
      <c r="P81" s="21">
        <v>3.0551617731389111</v>
      </c>
      <c r="U81" s="33" t="s">
        <v>314</v>
      </c>
      <c r="V81" s="33"/>
      <c r="W81" s="33"/>
      <c r="X81" s="33"/>
      <c r="AE81" s="21" t="s">
        <v>328</v>
      </c>
      <c r="AF81" s="21">
        <v>3860781.4285714291</v>
      </c>
      <c r="AG81" s="21">
        <v>6</v>
      </c>
      <c r="AH81" s="21">
        <v>643463.57142857148</v>
      </c>
      <c r="AI81" s="21"/>
      <c r="AJ81" s="21"/>
      <c r="AK81" s="21"/>
    </row>
    <row r="82" spans="1:37" x14ac:dyDescent="0.25">
      <c r="A82" s="8">
        <v>40774</v>
      </c>
      <c r="B82">
        <v>1530761.43</v>
      </c>
      <c r="C82">
        <v>0</v>
      </c>
      <c r="D82">
        <v>89.94</v>
      </c>
      <c r="E82">
        <v>3.5539999999999998</v>
      </c>
      <c r="F82">
        <v>215.66931070000001</v>
      </c>
      <c r="G82">
        <v>7.9619999999999997</v>
      </c>
      <c r="J82" s="21" t="s">
        <v>302</v>
      </c>
      <c r="K82" s="21">
        <v>21549905419879.164</v>
      </c>
      <c r="L82" s="21">
        <v>153</v>
      </c>
      <c r="M82" s="21">
        <v>140849055031.88995</v>
      </c>
      <c r="N82" s="21"/>
      <c r="O82" s="21"/>
      <c r="P82" s="21"/>
      <c r="U82" s="21" t="s">
        <v>248</v>
      </c>
      <c r="V82" s="21">
        <v>2</v>
      </c>
      <c r="W82" s="21">
        <v>2</v>
      </c>
      <c r="X82" s="21">
        <v>4</v>
      </c>
      <c r="AE82" s="21"/>
      <c r="AF82" s="21"/>
      <c r="AG82" s="21"/>
      <c r="AH82" s="21"/>
      <c r="AI82" s="21"/>
      <c r="AJ82" s="21"/>
      <c r="AK82" s="21"/>
    </row>
    <row r="83" spans="1:37" ht="15.75" thickBot="1" x14ac:dyDescent="0.3">
      <c r="A83" s="8">
        <v>40781</v>
      </c>
      <c r="B83">
        <v>1464693.46</v>
      </c>
      <c r="C83">
        <v>0</v>
      </c>
      <c r="D83">
        <v>87.96</v>
      </c>
      <c r="E83">
        <v>3.5230000000000001</v>
      </c>
      <c r="F83">
        <v>215.73322580000001</v>
      </c>
      <c r="G83">
        <v>7.9619999999999997</v>
      </c>
      <c r="J83" s="21"/>
      <c r="K83" s="21"/>
      <c r="L83" s="21"/>
      <c r="M83" s="21"/>
      <c r="N83" s="21"/>
      <c r="O83" s="21"/>
      <c r="P83" s="21"/>
      <c r="U83" s="21" t="s">
        <v>247</v>
      </c>
      <c r="V83" s="21">
        <v>759</v>
      </c>
      <c r="W83" s="21">
        <v>557</v>
      </c>
      <c r="X83" s="21">
        <v>1316</v>
      </c>
      <c r="AE83" s="18" t="s">
        <v>263</v>
      </c>
      <c r="AF83" s="18">
        <v>26653455.714285716</v>
      </c>
      <c r="AG83" s="18">
        <v>13</v>
      </c>
      <c r="AH83" s="18"/>
      <c r="AI83" s="18"/>
      <c r="AJ83" s="18"/>
      <c r="AK83" s="18"/>
    </row>
    <row r="84" spans="1:37" ht="15.75" thickBot="1" x14ac:dyDescent="0.3">
      <c r="A84" s="8">
        <v>40788</v>
      </c>
      <c r="B84">
        <v>1550229.22</v>
      </c>
      <c r="C84">
        <v>0</v>
      </c>
      <c r="D84">
        <v>87.83</v>
      </c>
      <c r="E84">
        <v>3.5329999999999999</v>
      </c>
      <c r="F84">
        <v>215.79714089999999</v>
      </c>
      <c r="G84">
        <v>7.9619999999999997</v>
      </c>
      <c r="J84" s="18" t="s">
        <v>263</v>
      </c>
      <c r="K84" s="18">
        <v>80824930550569.906</v>
      </c>
      <c r="L84" s="18">
        <v>155</v>
      </c>
      <c r="M84" s="18"/>
      <c r="N84" s="18"/>
      <c r="O84" s="18"/>
      <c r="P84" s="18"/>
      <c r="U84" s="21" t="s">
        <v>297</v>
      </c>
      <c r="V84" s="21">
        <v>379.5</v>
      </c>
      <c r="W84" s="21">
        <v>278.5</v>
      </c>
      <c r="X84" s="21">
        <v>329</v>
      </c>
    </row>
    <row r="85" spans="1:37" x14ac:dyDescent="0.25">
      <c r="A85" s="8">
        <v>40795</v>
      </c>
      <c r="B85">
        <v>1540471.24</v>
      </c>
      <c r="C85">
        <v>1</v>
      </c>
      <c r="D85">
        <v>76</v>
      </c>
      <c r="E85">
        <v>3.5459999999999998</v>
      </c>
      <c r="F85">
        <v>215.86105599999999</v>
      </c>
      <c r="G85">
        <v>7.9619999999999997</v>
      </c>
      <c r="N85" s="8"/>
      <c r="U85" s="21" t="s">
        <v>298</v>
      </c>
      <c r="V85" s="21">
        <v>6160.5</v>
      </c>
      <c r="W85" s="21">
        <v>48360.5</v>
      </c>
      <c r="X85" s="21">
        <v>21574</v>
      </c>
    </row>
    <row r="86" spans="1:37" x14ac:dyDescent="0.25">
      <c r="A86" s="8">
        <v>40802</v>
      </c>
      <c r="B86">
        <v>1514259.78</v>
      </c>
      <c r="C86">
        <v>0</v>
      </c>
      <c r="D86">
        <v>79.94</v>
      </c>
      <c r="E86">
        <v>3.5259999999999998</v>
      </c>
      <c r="F86">
        <v>216.0410526</v>
      </c>
      <c r="G86">
        <v>7.9619999999999997</v>
      </c>
      <c r="K86"/>
    </row>
    <row r="87" spans="1:37" x14ac:dyDescent="0.25">
      <c r="A87" s="8">
        <v>40809</v>
      </c>
      <c r="B87">
        <v>1380020.27</v>
      </c>
      <c r="C87">
        <v>0</v>
      </c>
      <c r="D87">
        <v>75.8</v>
      </c>
      <c r="E87">
        <v>3.4670000000000001</v>
      </c>
      <c r="F87">
        <v>216.37582459999999</v>
      </c>
      <c r="G87">
        <v>7.9619999999999997</v>
      </c>
      <c r="K87"/>
    </row>
    <row r="88" spans="1:37" x14ac:dyDescent="0.25">
      <c r="A88" s="8">
        <v>40816</v>
      </c>
      <c r="B88">
        <v>1394561.83</v>
      </c>
      <c r="C88">
        <v>0</v>
      </c>
      <c r="D88">
        <v>79.69</v>
      </c>
      <c r="E88">
        <v>3.355</v>
      </c>
      <c r="F88">
        <v>216.71059650000001</v>
      </c>
      <c r="G88">
        <v>7.9619999999999997</v>
      </c>
      <c r="K88"/>
    </row>
    <row r="89" spans="1:37" x14ac:dyDescent="0.25">
      <c r="A89" s="8">
        <v>40823</v>
      </c>
      <c r="B89">
        <v>1630989.95</v>
      </c>
      <c r="C89">
        <v>0</v>
      </c>
      <c r="D89">
        <v>69.31</v>
      </c>
      <c r="E89">
        <v>3.2850000000000001</v>
      </c>
      <c r="F89">
        <v>217.0453684</v>
      </c>
      <c r="G89">
        <v>7.8659999999999997</v>
      </c>
      <c r="J89" s="34" t="s">
        <v>330</v>
      </c>
      <c r="K89" s="34" t="s">
        <v>331</v>
      </c>
      <c r="L89" s="34" t="s">
        <v>332</v>
      </c>
      <c r="M89" s="34" t="s">
        <v>333</v>
      </c>
      <c r="Q89" s="34" t="s">
        <v>192</v>
      </c>
      <c r="R89" s="34" t="s">
        <v>334</v>
      </c>
      <c r="S89" s="34" t="s">
        <v>335</v>
      </c>
    </row>
    <row r="90" spans="1:37" x14ac:dyDescent="0.25">
      <c r="A90" s="8">
        <v>40830</v>
      </c>
      <c r="B90">
        <v>1493525.93</v>
      </c>
      <c r="C90">
        <v>0</v>
      </c>
      <c r="D90">
        <v>71.739999999999995</v>
      </c>
      <c r="E90">
        <v>3.274</v>
      </c>
      <c r="F90">
        <v>217.35527329999999</v>
      </c>
      <c r="G90">
        <v>7.8659999999999997</v>
      </c>
      <c r="J90" s="35">
        <v>100</v>
      </c>
      <c r="K90" s="35">
        <v>120</v>
      </c>
      <c r="L90" s="35">
        <v>110</v>
      </c>
      <c r="M90" s="35">
        <v>130</v>
      </c>
      <c r="Q90" s="35" t="s">
        <v>336</v>
      </c>
      <c r="R90" s="35">
        <v>110</v>
      </c>
      <c r="S90" s="35">
        <v>130</v>
      </c>
    </row>
    <row r="91" spans="1:37" x14ac:dyDescent="0.25">
      <c r="A91" s="8">
        <v>40837</v>
      </c>
      <c r="B91">
        <v>1502562.78</v>
      </c>
      <c r="C91">
        <v>0</v>
      </c>
      <c r="D91">
        <v>63.71</v>
      </c>
      <c r="E91">
        <v>3.3530000000000002</v>
      </c>
      <c r="F91">
        <v>217.51597620000001</v>
      </c>
      <c r="G91">
        <v>7.8659999999999997</v>
      </c>
      <c r="J91" s="35">
        <v>102</v>
      </c>
      <c r="K91" s="35">
        <v>122</v>
      </c>
      <c r="L91" s="35">
        <v>112</v>
      </c>
      <c r="M91" s="35">
        <v>132</v>
      </c>
      <c r="Q91" s="35" t="s">
        <v>337</v>
      </c>
      <c r="R91" s="35">
        <v>120</v>
      </c>
      <c r="S91" s="35">
        <v>140</v>
      </c>
    </row>
    <row r="92" spans="1:37" x14ac:dyDescent="0.25">
      <c r="A92" s="8">
        <v>40844</v>
      </c>
      <c r="B92">
        <v>1445249.09</v>
      </c>
      <c r="C92">
        <v>0</v>
      </c>
      <c r="D92">
        <v>66.569999999999993</v>
      </c>
      <c r="E92">
        <v>3.3719999999999999</v>
      </c>
      <c r="F92">
        <v>217.6766791</v>
      </c>
      <c r="G92">
        <v>7.8659999999999997</v>
      </c>
      <c r="J92" s="35">
        <v>104</v>
      </c>
      <c r="K92" s="35">
        <v>124</v>
      </c>
      <c r="L92" s="35">
        <v>114</v>
      </c>
      <c r="M92" s="35">
        <v>134</v>
      </c>
      <c r="Q92" s="35" t="s">
        <v>338</v>
      </c>
      <c r="R92" s="35">
        <v>125</v>
      </c>
      <c r="S92" s="35">
        <v>150</v>
      </c>
    </row>
    <row r="93" spans="1:37" x14ac:dyDescent="0.25">
      <c r="A93" s="8">
        <v>40851</v>
      </c>
      <c r="B93">
        <v>1697229.58</v>
      </c>
      <c r="C93">
        <v>0</v>
      </c>
      <c r="D93">
        <v>54.98</v>
      </c>
      <c r="E93">
        <v>3.3319999999999999</v>
      </c>
      <c r="F93">
        <v>217.83738199999999</v>
      </c>
      <c r="G93">
        <v>7.8659999999999997</v>
      </c>
      <c r="J93" s="35">
        <v>106</v>
      </c>
      <c r="K93" s="35">
        <v>126</v>
      </c>
      <c r="L93" s="35">
        <v>116</v>
      </c>
      <c r="M93" s="35">
        <v>136</v>
      </c>
      <c r="Q93" s="35" t="s">
        <v>339</v>
      </c>
      <c r="R93" s="35">
        <v>135</v>
      </c>
      <c r="S93" s="35">
        <v>160</v>
      </c>
    </row>
    <row r="94" spans="1:37" x14ac:dyDescent="0.25">
      <c r="A94" s="8">
        <v>40858</v>
      </c>
      <c r="B94">
        <v>1594938.89</v>
      </c>
      <c r="C94">
        <v>0</v>
      </c>
      <c r="D94">
        <v>59.11</v>
      </c>
      <c r="E94">
        <v>3.2970000000000002</v>
      </c>
      <c r="F94">
        <v>217.99808490000001</v>
      </c>
      <c r="G94">
        <v>7.8659999999999997</v>
      </c>
      <c r="J94" s="35">
        <v>108</v>
      </c>
      <c r="K94" s="35">
        <v>128</v>
      </c>
      <c r="L94" s="35">
        <v>118</v>
      </c>
      <c r="M94" s="35">
        <v>138</v>
      </c>
      <c r="Q94" s="35" t="s">
        <v>340</v>
      </c>
      <c r="R94" s="35">
        <v>145</v>
      </c>
      <c r="S94" s="35">
        <v>170</v>
      </c>
    </row>
    <row r="95" spans="1:37" x14ac:dyDescent="0.25">
      <c r="A95" s="8">
        <v>40865</v>
      </c>
      <c r="B95">
        <v>1539483.7</v>
      </c>
      <c r="C95">
        <v>0</v>
      </c>
      <c r="D95">
        <v>62.25</v>
      </c>
      <c r="E95">
        <v>3.3079999999999998</v>
      </c>
      <c r="F95">
        <v>218.2205088</v>
      </c>
      <c r="G95">
        <v>7.8659999999999997</v>
      </c>
      <c r="J95" s="35">
        <v>110</v>
      </c>
      <c r="K95" s="35">
        <v>130</v>
      </c>
      <c r="L95" s="35">
        <v>120</v>
      </c>
      <c r="M95" s="35">
        <v>140</v>
      </c>
      <c r="Q95" s="35" t="s">
        <v>341</v>
      </c>
      <c r="R95" s="35">
        <v>150</v>
      </c>
      <c r="S95" s="35">
        <v>175</v>
      </c>
    </row>
    <row r="96" spans="1:37" x14ac:dyDescent="0.25">
      <c r="A96" s="8">
        <v>40872</v>
      </c>
      <c r="B96">
        <v>2033320.66</v>
      </c>
      <c r="C96">
        <v>1</v>
      </c>
      <c r="D96">
        <v>60.14</v>
      </c>
      <c r="E96">
        <v>3.2360000000000002</v>
      </c>
      <c r="F96">
        <v>218.4676211</v>
      </c>
      <c r="G96">
        <v>7.8659999999999997</v>
      </c>
      <c r="J96" s="35">
        <v>112</v>
      </c>
      <c r="K96" s="35">
        <v>132</v>
      </c>
      <c r="L96" s="35">
        <v>122</v>
      </c>
      <c r="M96" s="35">
        <v>142</v>
      </c>
      <c r="Q96" s="35" t="s">
        <v>342</v>
      </c>
      <c r="R96" s="35">
        <v>155</v>
      </c>
      <c r="S96" s="35">
        <v>180</v>
      </c>
    </row>
    <row r="97" spans="1:21" x14ac:dyDescent="0.25">
      <c r="A97" s="8">
        <v>40879</v>
      </c>
      <c r="B97">
        <v>1584083.95</v>
      </c>
      <c r="C97">
        <v>0</v>
      </c>
      <c r="D97">
        <v>48.91</v>
      </c>
      <c r="E97">
        <v>3.1720000000000002</v>
      </c>
      <c r="F97">
        <v>218.71473330000001</v>
      </c>
      <c r="G97">
        <v>7.8659999999999997</v>
      </c>
      <c r="J97" s="35">
        <v>114</v>
      </c>
      <c r="K97" s="35">
        <v>134</v>
      </c>
      <c r="L97" s="35">
        <v>124</v>
      </c>
      <c r="M97" s="35">
        <v>144</v>
      </c>
      <c r="Q97" s="35" t="s">
        <v>343</v>
      </c>
      <c r="R97" s="35">
        <v>160</v>
      </c>
      <c r="S97" s="35">
        <v>185</v>
      </c>
    </row>
    <row r="98" spans="1:21" x14ac:dyDescent="0.25">
      <c r="A98" s="8">
        <v>40886</v>
      </c>
      <c r="B98">
        <v>1799682.38</v>
      </c>
      <c r="C98">
        <v>0</v>
      </c>
      <c r="D98">
        <v>43.93</v>
      </c>
      <c r="E98">
        <v>3.1579999999999999</v>
      </c>
      <c r="F98">
        <v>218.9618456</v>
      </c>
      <c r="G98">
        <v>7.8659999999999997</v>
      </c>
      <c r="J98" s="35">
        <v>116</v>
      </c>
      <c r="K98" s="35">
        <v>136</v>
      </c>
      <c r="L98" s="35">
        <v>126</v>
      </c>
      <c r="M98" s="35">
        <v>146</v>
      </c>
      <c r="Q98" s="35" t="s">
        <v>344</v>
      </c>
      <c r="R98" s="35">
        <v>170</v>
      </c>
      <c r="S98" s="35">
        <v>190</v>
      </c>
    </row>
    <row r="99" spans="1:21" x14ac:dyDescent="0.25">
      <c r="A99" s="8">
        <v>40893</v>
      </c>
      <c r="B99">
        <v>1881176.67</v>
      </c>
      <c r="C99">
        <v>0</v>
      </c>
      <c r="D99">
        <v>51.63</v>
      </c>
      <c r="E99">
        <v>3.1589999999999998</v>
      </c>
      <c r="F99">
        <v>219.17945330000001</v>
      </c>
      <c r="G99">
        <v>7.8659999999999997</v>
      </c>
      <c r="J99" s="35">
        <v>118</v>
      </c>
      <c r="K99" s="35">
        <v>138</v>
      </c>
      <c r="L99" s="35">
        <v>128</v>
      </c>
      <c r="M99" s="35">
        <v>148</v>
      </c>
      <c r="Q99" s="35" t="s">
        <v>345</v>
      </c>
      <c r="R99" s="35">
        <v>180</v>
      </c>
      <c r="S99" s="35">
        <v>200</v>
      </c>
    </row>
    <row r="100" spans="1:21" x14ac:dyDescent="0.25">
      <c r="A100" s="8">
        <v>40900</v>
      </c>
      <c r="B100">
        <v>2270188.9900000002</v>
      </c>
      <c r="C100">
        <v>0</v>
      </c>
      <c r="D100">
        <v>47.96</v>
      </c>
      <c r="E100">
        <v>3.1120000000000001</v>
      </c>
      <c r="F100">
        <v>219.35772159999999</v>
      </c>
      <c r="G100">
        <v>7.8659999999999997</v>
      </c>
      <c r="K100"/>
    </row>
    <row r="101" spans="1:21" x14ac:dyDescent="0.25">
      <c r="A101" s="8">
        <v>40907</v>
      </c>
      <c r="B101">
        <v>1497462.72</v>
      </c>
      <c r="C101">
        <v>1</v>
      </c>
      <c r="D101">
        <v>44.55</v>
      </c>
      <c r="E101">
        <v>3.129</v>
      </c>
      <c r="F101">
        <v>219.53598980000001</v>
      </c>
      <c r="G101">
        <v>7.8659999999999997</v>
      </c>
      <c r="K101"/>
    </row>
    <row r="102" spans="1:21" x14ac:dyDescent="0.25">
      <c r="A102" s="8">
        <v>40914</v>
      </c>
      <c r="B102">
        <v>1550369.92</v>
      </c>
      <c r="C102">
        <v>0</v>
      </c>
      <c r="D102">
        <v>49.01</v>
      </c>
      <c r="E102">
        <v>3.157</v>
      </c>
      <c r="F102">
        <v>219.7142581</v>
      </c>
      <c r="G102">
        <v>7.3479999999999999</v>
      </c>
      <c r="J102" t="s">
        <v>315</v>
      </c>
      <c r="K102"/>
    </row>
    <row r="103" spans="1:21" x14ac:dyDescent="0.25">
      <c r="A103" s="8">
        <v>40921</v>
      </c>
      <c r="B103">
        <v>1459601.17</v>
      </c>
      <c r="C103">
        <v>0</v>
      </c>
      <c r="D103">
        <v>48.53</v>
      </c>
      <c r="E103">
        <v>3.2610000000000001</v>
      </c>
      <c r="F103">
        <v>219.89252629999999</v>
      </c>
      <c r="G103">
        <v>7.3479999999999999</v>
      </c>
      <c r="K103"/>
      <c r="Q103" t="s">
        <v>326</v>
      </c>
    </row>
    <row r="104" spans="1:21" ht="15.75" thickBot="1" x14ac:dyDescent="0.3">
      <c r="A104" s="8">
        <v>40928</v>
      </c>
      <c r="B104">
        <v>1394393.84</v>
      </c>
      <c r="C104">
        <v>0</v>
      </c>
      <c r="D104">
        <v>54.11</v>
      </c>
      <c r="E104">
        <v>3.2679999999999998</v>
      </c>
      <c r="F104">
        <v>219.98568929999999</v>
      </c>
      <c r="G104">
        <v>7.3479999999999999</v>
      </c>
      <c r="J104" t="s">
        <v>295</v>
      </c>
      <c r="K104" t="s">
        <v>331</v>
      </c>
      <c r="L104" t="s">
        <v>332</v>
      </c>
      <c r="M104" t="s">
        <v>333</v>
      </c>
      <c r="N104" t="s">
        <v>263</v>
      </c>
    </row>
    <row r="105" spans="1:21" ht="15.75" thickBot="1" x14ac:dyDescent="0.3">
      <c r="A105" s="8">
        <v>40935</v>
      </c>
      <c r="B105">
        <v>1319325.5900000001</v>
      </c>
      <c r="C105">
        <v>0</v>
      </c>
      <c r="D105">
        <v>54.26</v>
      </c>
      <c r="E105">
        <v>3.29</v>
      </c>
      <c r="F105">
        <v>220.07885229999999</v>
      </c>
      <c r="G105">
        <v>7.3479999999999999</v>
      </c>
      <c r="J105" s="33">
        <v>100</v>
      </c>
      <c r="K105" s="33"/>
      <c r="L105" s="33"/>
      <c r="M105" s="33"/>
      <c r="N105" s="33"/>
      <c r="Q105" s="19" t="s">
        <v>295</v>
      </c>
      <c r="R105" s="19" t="s">
        <v>248</v>
      </c>
      <c r="S105" s="19" t="s">
        <v>247</v>
      </c>
      <c r="T105" s="19" t="s">
        <v>297</v>
      </c>
      <c r="U105" s="19" t="s">
        <v>298</v>
      </c>
    </row>
    <row r="106" spans="1:21" x14ac:dyDescent="0.25">
      <c r="A106" s="8">
        <v>40942</v>
      </c>
      <c r="B106">
        <v>1636339.65</v>
      </c>
      <c r="C106">
        <v>0</v>
      </c>
      <c r="D106">
        <v>56.55</v>
      </c>
      <c r="E106">
        <v>3.36</v>
      </c>
      <c r="F106">
        <v>220.1720153</v>
      </c>
      <c r="G106">
        <v>7.3479999999999999</v>
      </c>
      <c r="J106" s="21" t="s">
        <v>248</v>
      </c>
      <c r="K106" s="21">
        <v>2</v>
      </c>
      <c r="L106" s="21">
        <v>2</v>
      </c>
      <c r="M106" s="21">
        <v>2</v>
      </c>
      <c r="N106" s="21">
        <v>6</v>
      </c>
      <c r="Q106" s="21" t="s">
        <v>336</v>
      </c>
      <c r="R106" s="21">
        <v>2</v>
      </c>
      <c r="S106" s="21">
        <v>240</v>
      </c>
      <c r="T106" s="21">
        <v>120</v>
      </c>
      <c r="U106" s="21">
        <v>200</v>
      </c>
    </row>
    <row r="107" spans="1:21" x14ac:dyDescent="0.25">
      <c r="A107" s="8">
        <v>40949</v>
      </c>
      <c r="B107">
        <v>1802477.43</v>
      </c>
      <c r="C107">
        <v>1</v>
      </c>
      <c r="D107">
        <v>48.02</v>
      </c>
      <c r="E107">
        <v>3.4089999999999998</v>
      </c>
      <c r="F107">
        <v>220.2651783</v>
      </c>
      <c r="G107">
        <v>7.3479999999999999</v>
      </c>
      <c r="J107" s="21" t="s">
        <v>247</v>
      </c>
      <c r="K107" s="21">
        <v>242</v>
      </c>
      <c r="L107" s="21">
        <v>222</v>
      </c>
      <c r="M107" s="21">
        <v>262</v>
      </c>
      <c r="N107" s="21">
        <v>726</v>
      </c>
      <c r="Q107" s="21" t="s">
        <v>337</v>
      </c>
      <c r="R107" s="21">
        <v>2</v>
      </c>
      <c r="S107" s="21">
        <v>260</v>
      </c>
      <c r="T107" s="21">
        <v>130</v>
      </c>
      <c r="U107" s="21">
        <v>200</v>
      </c>
    </row>
    <row r="108" spans="1:21" x14ac:dyDescent="0.25">
      <c r="A108" s="8">
        <v>40956</v>
      </c>
      <c r="B108">
        <v>1819870</v>
      </c>
      <c r="C108">
        <v>0</v>
      </c>
      <c r="D108">
        <v>45.32</v>
      </c>
      <c r="E108">
        <v>3.51</v>
      </c>
      <c r="F108">
        <v>220.42575859999999</v>
      </c>
      <c r="G108">
        <v>7.3479999999999999</v>
      </c>
      <c r="J108" s="21" t="s">
        <v>297</v>
      </c>
      <c r="K108" s="21">
        <v>121</v>
      </c>
      <c r="L108" s="21">
        <v>111</v>
      </c>
      <c r="M108" s="21">
        <v>131</v>
      </c>
      <c r="N108" s="21">
        <v>121</v>
      </c>
      <c r="Q108" s="21" t="s">
        <v>338</v>
      </c>
      <c r="R108" s="21">
        <v>2</v>
      </c>
      <c r="S108" s="21">
        <v>275</v>
      </c>
      <c r="T108" s="21">
        <v>137.5</v>
      </c>
      <c r="U108" s="21">
        <v>312.5</v>
      </c>
    </row>
    <row r="109" spans="1:21" x14ac:dyDescent="0.25">
      <c r="A109" s="8">
        <v>40963</v>
      </c>
      <c r="B109">
        <v>1539387.83</v>
      </c>
      <c r="C109">
        <v>0</v>
      </c>
      <c r="D109">
        <v>57.25</v>
      </c>
      <c r="E109">
        <v>3.5550000000000002</v>
      </c>
      <c r="F109">
        <v>220.63690199999999</v>
      </c>
      <c r="G109">
        <v>7.3479999999999999</v>
      </c>
      <c r="J109" s="21" t="s">
        <v>298</v>
      </c>
      <c r="K109" s="21">
        <v>2</v>
      </c>
      <c r="L109" s="21">
        <v>2</v>
      </c>
      <c r="M109" s="21">
        <v>2</v>
      </c>
      <c r="N109" s="21">
        <v>81.2</v>
      </c>
      <c r="Q109" s="21" t="s">
        <v>339</v>
      </c>
      <c r="R109" s="21">
        <v>2</v>
      </c>
      <c r="S109" s="21">
        <v>295</v>
      </c>
      <c r="T109" s="21">
        <v>147.5</v>
      </c>
      <c r="U109" s="21">
        <v>312.5</v>
      </c>
    </row>
    <row r="110" spans="1:21" x14ac:dyDescent="0.25">
      <c r="A110" s="8">
        <v>40970</v>
      </c>
      <c r="B110">
        <v>1688420.76</v>
      </c>
      <c r="C110">
        <v>0</v>
      </c>
      <c r="D110">
        <v>60.96</v>
      </c>
      <c r="E110">
        <v>3.63</v>
      </c>
      <c r="F110">
        <v>220.84804539999999</v>
      </c>
      <c r="G110">
        <v>7.3479999999999999</v>
      </c>
      <c r="J110" s="21"/>
      <c r="K110" s="21"/>
      <c r="L110" s="21"/>
      <c r="M110" s="21"/>
      <c r="N110" s="21"/>
      <c r="Q110" s="21" t="s">
        <v>340</v>
      </c>
      <c r="R110" s="21">
        <v>2</v>
      </c>
      <c r="S110" s="21">
        <v>315</v>
      </c>
      <c r="T110" s="21">
        <v>157.5</v>
      </c>
      <c r="U110" s="21">
        <v>312.5</v>
      </c>
    </row>
    <row r="111" spans="1:21" ht="15.75" thickBot="1" x14ac:dyDescent="0.3">
      <c r="A111" s="8">
        <v>40977</v>
      </c>
      <c r="B111">
        <v>1675431.16</v>
      </c>
      <c r="C111">
        <v>0</v>
      </c>
      <c r="D111">
        <v>58.76</v>
      </c>
      <c r="E111">
        <v>3.669</v>
      </c>
      <c r="F111">
        <v>221.05918869999999</v>
      </c>
      <c r="G111">
        <v>7.3479999999999999</v>
      </c>
      <c r="J111" s="33">
        <v>104</v>
      </c>
      <c r="K111" s="33"/>
      <c r="L111" s="33"/>
      <c r="M111" s="33"/>
      <c r="N111" s="33"/>
      <c r="Q111" s="21" t="s">
        <v>341</v>
      </c>
      <c r="R111" s="21">
        <v>2</v>
      </c>
      <c r="S111" s="21">
        <v>325</v>
      </c>
      <c r="T111" s="21">
        <v>162.5</v>
      </c>
      <c r="U111" s="21">
        <v>312.5</v>
      </c>
    </row>
    <row r="112" spans="1:21" x14ac:dyDescent="0.25">
      <c r="A112" s="8">
        <v>40984</v>
      </c>
      <c r="B112">
        <v>1677472.78</v>
      </c>
      <c r="C112">
        <v>0</v>
      </c>
      <c r="D112">
        <v>64.739999999999995</v>
      </c>
      <c r="E112">
        <v>3.734</v>
      </c>
      <c r="F112">
        <v>221.21181319999999</v>
      </c>
      <c r="G112">
        <v>7.3479999999999999</v>
      </c>
      <c r="J112" s="21" t="s">
        <v>248</v>
      </c>
      <c r="K112" s="21">
        <v>2</v>
      </c>
      <c r="L112" s="21">
        <v>2</v>
      </c>
      <c r="M112" s="21">
        <v>2</v>
      </c>
      <c r="N112" s="21">
        <v>6</v>
      </c>
      <c r="Q112" s="21" t="s">
        <v>342</v>
      </c>
      <c r="R112" s="21">
        <v>2</v>
      </c>
      <c r="S112" s="21">
        <v>335</v>
      </c>
      <c r="T112" s="21">
        <v>167.5</v>
      </c>
      <c r="U112" s="21">
        <v>312.5</v>
      </c>
    </row>
    <row r="113" spans="1:23" x14ac:dyDescent="0.25">
      <c r="A113" s="8">
        <v>40991</v>
      </c>
      <c r="B113">
        <v>1511068.07</v>
      </c>
      <c r="C113">
        <v>0</v>
      </c>
      <c r="D113">
        <v>65.930000000000007</v>
      </c>
      <c r="E113">
        <v>3.7869999999999999</v>
      </c>
      <c r="F113">
        <v>221.28641260000001</v>
      </c>
      <c r="G113">
        <v>7.3479999999999999</v>
      </c>
      <c r="J113" s="21" t="s">
        <v>247</v>
      </c>
      <c r="K113" s="21">
        <v>250</v>
      </c>
      <c r="L113" s="21">
        <v>230</v>
      </c>
      <c r="M113" s="21">
        <v>270</v>
      </c>
      <c r="N113" s="21">
        <v>750</v>
      </c>
      <c r="Q113" s="21" t="s">
        <v>343</v>
      </c>
      <c r="R113" s="21">
        <v>2</v>
      </c>
      <c r="S113" s="21">
        <v>345</v>
      </c>
      <c r="T113" s="21">
        <v>172.5</v>
      </c>
      <c r="U113" s="21">
        <v>312.5</v>
      </c>
    </row>
    <row r="114" spans="1:23" x14ac:dyDescent="0.25">
      <c r="A114" s="8">
        <v>40998</v>
      </c>
      <c r="B114">
        <v>1649604.63</v>
      </c>
      <c r="C114">
        <v>0</v>
      </c>
      <c r="D114">
        <v>67.61</v>
      </c>
      <c r="E114">
        <v>3.8450000000000002</v>
      </c>
      <c r="F114">
        <v>221.36101189999999</v>
      </c>
      <c r="G114">
        <v>7.3479999999999999</v>
      </c>
      <c r="J114" s="21" t="s">
        <v>297</v>
      </c>
      <c r="K114" s="21">
        <v>125</v>
      </c>
      <c r="L114" s="21">
        <v>115</v>
      </c>
      <c r="M114" s="21">
        <v>135</v>
      </c>
      <c r="N114" s="21">
        <v>125</v>
      </c>
      <c r="Q114" s="21" t="s">
        <v>344</v>
      </c>
      <c r="R114" s="21">
        <v>2</v>
      </c>
      <c r="S114" s="21">
        <v>360</v>
      </c>
      <c r="T114" s="21">
        <v>180</v>
      </c>
      <c r="U114" s="21">
        <v>200</v>
      </c>
    </row>
    <row r="115" spans="1:23" x14ac:dyDescent="0.25">
      <c r="A115" s="8">
        <v>41005</v>
      </c>
      <c r="B115">
        <v>1899676.88</v>
      </c>
      <c r="C115">
        <v>0</v>
      </c>
      <c r="D115">
        <v>70.430000000000007</v>
      </c>
      <c r="E115">
        <v>3.891</v>
      </c>
      <c r="F115">
        <v>221.43561120000001</v>
      </c>
      <c r="G115">
        <v>7.1429999999999998</v>
      </c>
      <c r="J115" s="21" t="s">
        <v>298</v>
      </c>
      <c r="K115" s="21">
        <v>2</v>
      </c>
      <c r="L115" s="21">
        <v>2</v>
      </c>
      <c r="M115" s="21">
        <v>2</v>
      </c>
      <c r="N115" s="21">
        <v>81.2</v>
      </c>
      <c r="Q115" s="21" t="s">
        <v>345</v>
      </c>
      <c r="R115" s="21">
        <v>2</v>
      </c>
      <c r="S115" s="21">
        <v>380</v>
      </c>
      <c r="T115" s="21">
        <v>190</v>
      </c>
      <c r="U115" s="21">
        <v>200</v>
      </c>
    </row>
    <row r="116" spans="1:23" x14ac:dyDescent="0.25">
      <c r="A116" s="8">
        <v>41012</v>
      </c>
      <c r="B116">
        <v>1621031.7</v>
      </c>
      <c r="C116">
        <v>0</v>
      </c>
      <c r="D116">
        <v>69.069999999999993</v>
      </c>
      <c r="E116">
        <v>3.891</v>
      </c>
      <c r="F116">
        <v>221.5102105</v>
      </c>
      <c r="G116">
        <v>7.1429999999999998</v>
      </c>
      <c r="J116" s="21"/>
      <c r="K116" s="21"/>
      <c r="L116" s="21"/>
      <c r="M116" s="21"/>
      <c r="N116" s="21"/>
      <c r="Q116" s="21"/>
      <c r="R116" s="21"/>
      <c r="S116" s="21"/>
      <c r="T116" s="21"/>
      <c r="U116" s="21"/>
    </row>
    <row r="117" spans="1:23" ht="15.75" thickBot="1" x14ac:dyDescent="0.3">
      <c r="A117" s="8">
        <v>41019</v>
      </c>
      <c r="B117">
        <v>1521577.87</v>
      </c>
      <c r="C117">
        <v>0</v>
      </c>
      <c r="D117">
        <v>66.760000000000005</v>
      </c>
      <c r="E117">
        <v>3.8769999999999998</v>
      </c>
      <c r="F117">
        <v>221.56407369999999</v>
      </c>
      <c r="G117">
        <v>7.1429999999999998</v>
      </c>
      <c r="J117" s="33">
        <v>108</v>
      </c>
      <c r="K117" s="33"/>
      <c r="L117" s="33"/>
      <c r="M117" s="33"/>
      <c r="N117" s="33"/>
      <c r="Q117" s="21" t="s">
        <v>334</v>
      </c>
      <c r="R117" s="21">
        <v>10</v>
      </c>
      <c r="S117" s="21">
        <v>1450</v>
      </c>
      <c r="T117" s="21">
        <v>145</v>
      </c>
      <c r="U117" s="21">
        <v>505.55555555555554</v>
      </c>
    </row>
    <row r="118" spans="1:23" ht="15.75" thickBot="1" x14ac:dyDescent="0.3">
      <c r="A118" s="8">
        <v>41026</v>
      </c>
      <c r="B118">
        <v>1468928.37</v>
      </c>
      <c r="C118">
        <v>0</v>
      </c>
      <c r="D118">
        <v>67.23</v>
      </c>
      <c r="E118">
        <v>3.8140000000000001</v>
      </c>
      <c r="F118">
        <v>221.6179368</v>
      </c>
      <c r="G118">
        <v>7.1429999999999998</v>
      </c>
      <c r="J118" s="21" t="s">
        <v>248</v>
      </c>
      <c r="K118" s="21">
        <v>2</v>
      </c>
      <c r="L118" s="21">
        <v>2</v>
      </c>
      <c r="M118" s="21">
        <v>2</v>
      </c>
      <c r="N118" s="21">
        <v>6</v>
      </c>
      <c r="Q118" s="18" t="s">
        <v>335</v>
      </c>
      <c r="R118" s="18">
        <v>10</v>
      </c>
      <c r="S118" s="18">
        <v>1680</v>
      </c>
      <c r="T118" s="18">
        <v>168</v>
      </c>
      <c r="U118" s="18">
        <v>512.22222222222217</v>
      </c>
    </row>
    <row r="119" spans="1:23" x14ac:dyDescent="0.25">
      <c r="A119" s="8">
        <v>41033</v>
      </c>
      <c r="B119">
        <v>1684519.99</v>
      </c>
      <c r="C119">
        <v>0</v>
      </c>
      <c r="D119">
        <v>75.55</v>
      </c>
      <c r="E119">
        <v>3.7490000000000001</v>
      </c>
      <c r="F119">
        <v>221.67179999999999</v>
      </c>
      <c r="G119">
        <v>7.1429999999999998</v>
      </c>
      <c r="J119" s="21" t="s">
        <v>247</v>
      </c>
      <c r="K119" s="21">
        <v>258</v>
      </c>
      <c r="L119" s="21">
        <v>238</v>
      </c>
      <c r="M119" s="21">
        <v>278</v>
      </c>
      <c r="N119" s="21">
        <v>774</v>
      </c>
    </row>
    <row r="120" spans="1:23" x14ac:dyDescent="0.25">
      <c r="A120" s="8">
        <v>41040</v>
      </c>
      <c r="B120">
        <v>1611096.05</v>
      </c>
      <c r="C120">
        <v>0</v>
      </c>
      <c r="D120">
        <v>73.77</v>
      </c>
      <c r="E120">
        <v>3.6880000000000002</v>
      </c>
      <c r="F120">
        <v>221.72566320000001</v>
      </c>
      <c r="G120">
        <v>7.1429999999999998</v>
      </c>
      <c r="J120" s="21" t="s">
        <v>297</v>
      </c>
      <c r="K120" s="21">
        <v>129</v>
      </c>
      <c r="L120" s="21">
        <v>119</v>
      </c>
      <c r="M120" s="21">
        <v>139</v>
      </c>
      <c r="N120" s="21">
        <v>129</v>
      </c>
    </row>
    <row r="121" spans="1:23" ht="15.75" thickBot="1" x14ac:dyDescent="0.3">
      <c r="A121" s="8">
        <v>41047</v>
      </c>
      <c r="B121">
        <v>1595901.87</v>
      </c>
      <c r="C121">
        <v>0</v>
      </c>
      <c r="D121">
        <v>70.33</v>
      </c>
      <c r="E121">
        <v>3.63</v>
      </c>
      <c r="F121">
        <v>221.74267399999999</v>
      </c>
      <c r="G121">
        <v>7.1429999999999998</v>
      </c>
      <c r="J121" s="21" t="s">
        <v>298</v>
      </c>
      <c r="K121" s="21">
        <v>2</v>
      </c>
      <c r="L121" s="21">
        <v>2</v>
      </c>
      <c r="M121" s="21">
        <v>2</v>
      </c>
      <c r="N121" s="21">
        <v>81.2</v>
      </c>
      <c r="Q121" t="s">
        <v>260</v>
      </c>
    </row>
    <row r="122" spans="1:23" x14ac:dyDescent="0.25">
      <c r="A122" s="8">
        <v>41054</v>
      </c>
      <c r="B122">
        <v>1555444.55</v>
      </c>
      <c r="C122">
        <v>0</v>
      </c>
      <c r="D122">
        <v>77.22</v>
      </c>
      <c r="E122">
        <v>3.5609999999999999</v>
      </c>
      <c r="F122">
        <v>221.744944</v>
      </c>
      <c r="G122">
        <v>7.1429999999999998</v>
      </c>
      <c r="J122" s="21"/>
      <c r="K122" s="21"/>
      <c r="L122" s="21"/>
      <c r="M122" s="21"/>
      <c r="N122" s="21"/>
      <c r="Q122" s="19" t="s">
        <v>299</v>
      </c>
      <c r="R122" s="19" t="s">
        <v>266</v>
      </c>
      <c r="S122" s="19" t="s">
        <v>265</v>
      </c>
      <c r="T122" s="19" t="s">
        <v>267</v>
      </c>
      <c r="U122" s="19" t="s">
        <v>268</v>
      </c>
      <c r="V122" s="19" t="s">
        <v>272</v>
      </c>
      <c r="W122" s="19" t="s">
        <v>300</v>
      </c>
    </row>
    <row r="123" spans="1:23" ht="15.75" thickBot="1" x14ac:dyDescent="0.3">
      <c r="A123" s="8">
        <v>41061</v>
      </c>
      <c r="B123">
        <v>1624477.58</v>
      </c>
      <c r="C123">
        <v>0</v>
      </c>
      <c r="D123">
        <v>77.95</v>
      </c>
      <c r="E123">
        <v>3.5009999999999999</v>
      </c>
      <c r="F123">
        <v>221.74721389999999</v>
      </c>
      <c r="G123">
        <v>7.1429999999999998</v>
      </c>
      <c r="J123" s="33">
        <v>112</v>
      </c>
      <c r="K123" s="33"/>
      <c r="L123" s="33"/>
      <c r="M123" s="33"/>
      <c r="N123" s="33"/>
      <c r="Q123" s="21" t="s">
        <v>327</v>
      </c>
      <c r="R123" s="21">
        <v>9130</v>
      </c>
      <c r="S123" s="21">
        <v>9</v>
      </c>
      <c r="T123" s="21">
        <v>1014.4444444444445</v>
      </c>
      <c r="U123" s="21">
        <v>304.33333333333331</v>
      </c>
      <c r="V123" s="21">
        <v>4.319737870509731E-10</v>
      </c>
      <c r="W123" s="21">
        <v>3.17889310445827</v>
      </c>
    </row>
    <row r="124" spans="1:23" x14ac:dyDescent="0.25">
      <c r="A124" s="8">
        <v>41068</v>
      </c>
      <c r="B124">
        <v>1697230.96</v>
      </c>
      <c r="C124">
        <v>0</v>
      </c>
      <c r="D124">
        <v>78.3</v>
      </c>
      <c r="E124">
        <v>3.452</v>
      </c>
      <c r="F124">
        <v>221.7494839</v>
      </c>
      <c r="G124">
        <v>7.1429999999999998</v>
      </c>
      <c r="J124" s="21" t="s">
        <v>248</v>
      </c>
      <c r="K124" s="21">
        <v>2</v>
      </c>
      <c r="L124" s="21">
        <v>2</v>
      </c>
      <c r="M124" s="21">
        <v>2</v>
      </c>
      <c r="N124" s="21">
        <v>6</v>
      </c>
      <c r="Q124" s="21" t="s">
        <v>317</v>
      </c>
      <c r="R124" s="21">
        <v>2645</v>
      </c>
      <c r="S124" s="21">
        <v>1</v>
      </c>
      <c r="T124" s="21">
        <v>2645</v>
      </c>
      <c r="U124" s="21">
        <v>793.5</v>
      </c>
      <c r="V124" s="21">
        <v>4.3538186572428491E-10</v>
      </c>
      <c r="W124" s="21">
        <v>5.1173550291992269</v>
      </c>
    </row>
    <row r="125" spans="1:23" x14ac:dyDescent="0.25">
      <c r="A125" s="8">
        <v>41075</v>
      </c>
      <c r="B125">
        <v>1630607</v>
      </c>
      <c r="C125">
        <v>0</v>
      </c>
      <c r="D125">
        <v>79.349999999999994</v>
      </c>
      <c r="E125">
        <v>3.3929999999999998</v>
      </c>
      <c r="F125">
        <v>221.76264209999999</v>
      </c>
      <c r="G125">
        <v>7.1429999999999998</v>
      </c>
      <c r="J125" s="21" t="s">
        <v>247</v>
      </c>
      <c r="K125" s="21">
        <v>266</v>
      </c>
      <c r="L125" s="21">
        <v>246</v>
      </c>
      <c r="M125" s="21">
        <v>286</v>
      </c>
      <c r="N125" s="21">
        <v>798</v>
      </c>
      <c r="Q125" s="21" t="s">
        <v>328</v>
      </c>
      <c r="R125" s="21">
        <v>30</v>
      </c>
      <c r="S125" s="21">
        <v>9</v>
      </c>
      <c r="T125" s="21">
        <v>3.3333333333333335</v>
      </c>
      <c r="U125" s="21"/>
      <c r="V125" s="21"/>
      <c r="W125" s="21"/>
    </row>
    <row r="126" spans="1:23" x14ac:dyDescent="0.25">
      <c r="A126" s="8">
        <v>41082</v>
      </c>
      <c r="B126">
        <v>1527845.81</v>
      </c>
      <c r="C126">
        <v>0</v>
      </c>
      <c r="D126">
        <v>78.39</v>
      </c>
      <c r="E126">
        <v>3.3460000000000001</v>
      </c>
      <c r="F126">
        <v>221.8030211</v>
      </c>
      <c r="G126">
        <v>7.1429999999999998</v>
      </c>
      <c r="J126" s="21" t="s">
        <v>297</v>
      </c>
      <c r="K126" s="21">
        <v>133</v>
      </c>
      <c r="L126" s="21">
        <v>123</v>
      </c>
      <c r="M126" s="21">
        <v>143</v>
      </c>
      <c r="N126" s="21">
        <v>133</v>
      </c>
      <c r="Q126" s="21"/>
      <c r="R126" s="21"/>
      <c r="S126" s="21"/>
      <c r="T126" s="21"/>
      <c r="U126" s="21"/>
      <c r="V126" s="21"/>
      <c r="W126" s="21"/>
    </row>
    <row r="127" spans="1:23" ht="15.75" thickBot="1" x14ac:dyDescent="0.3">
      <c r="A127" s="8">
        <v>41089</v>
      </c>
      <c r="B127">
        <v>1540421.49</v>
      </c>
      <c r="C127">
        <v>0</v>
      </c>
      <c r="D127">
        <v>84.88</v>
      </c>
      <c r="E127">
        <v>3.286</v>
      </c>
      <c r="F127">
        <v>221.8434</v>
      </c>
      <c r="G127">
        <v>7.1429999999999998</v>
      </c>
      <c r="J127" s="21" t="s">
        <v>298</v>
      </c>
      <c r="K127" s="21">
        <v>2</v>
      </c>
      <c r="L127" s="21">
        <v>2</v>
      </c>
      <c r="M127" s="21">
        <v>2</v>
      </c>
      <c r="N127" s="21">
        <v>81.2</v>
      </c>
      <c r="Q127" s="18" t="s">
        <v>263</v>
      </c>
      <c r="R127" s="18">
        <v>11805</v>
      </c>
      <c r="S127" s="18">
        <v>19</v>
      </c>
      <c r="T127" s="18"/>
      <c r="U127" s="18"/>
      <c r="V127" s="18"/>
      <c r="W127" s="18"/>
    </row>
    <row r="128" spans="1:23" x14ac:dyDescent="0.25">
      <c r="A128" s="8">
        <v>41096</v>
      </c>
      <c r="B128">
        <v>1769854.16</v>
      </c>
      <c r="C128">
        <v>0</v>
      </c>
      <c r="D128">
        <v>81.569999999999993</v>
      </c>
      <c r="E128">
        <v>3.2269999999999999</v>
      </c>
      <c r="F128">
        <v>221.88377890000001</v>
      </c>
      <c r="G128">
        <v>6.9080000000000004</v>
      </c>
      <c r="J128" s="21"/>
      <c r="K128" s="21"/>
      <c r="L128" s="21"/>
      <c r="M128" s="21"/>
      <c r="N128" s="21"/>
    </row>
    <row r="129" spans="1:16" ht="15.75" thickBot="1" x14ac:dyDescent="0.3">
      <c r="A129" s="8">
        <v>41103</v>
      </c>
      <c r="B129">
        <v>1527014.04</v>
      </c>
      <c r="C129">
        <v>0</v>
      </c>
      <c r="D129">
        <v>77.12</v>
      </c>
      <c r="E129">
        <v>3.2559999999999998</v>
      </c>
      <c r="F129">
        <v>221.92415790000001</v>
      </c>
      <c r="G129">
        <v>6.9080000000000004</v>
      </c>
      <c r="J129" s="33">
        <v>116</v>
      </c>
      <c r="K129" s="33"/>
      <c r="L129" s="33"/>
      <c r="M129" s="33"/>
      <c r="N129" s="33"/>
    </row>
    <row r="130" spans="1:16" x14ac:dyDescent="0.25">
      <c r="A130" s="8">
        <v>41110</v>
      </c>
      <c r="B130">
        <v>1497954.76</v>
      </c>
      <c r="C130">
        <v>0</v>
      </c>
      <c r="D130">
        <v>80.42</v>
      </c>
      <c r="E130">
        <v>3.3109999999999999</v>
      </c>
      <c r="F130">
        <v>221.93272669999999</v>
      </c>
      <c r="G130">
        <v>6.9080000000000004</v>
      </c>
      <c r="J130" s="21" t="s">
        <v>248</v>
      </c>
      <c r="K130" s="21">
        <v>2</v>
      </c>
      <c r="L130" s="21">
        <v>2</v>
      </c>
      <c r="M130" s="21">
        <v>2</v>
      </c>
      <c r="N130" s="21">
        <v>6</v>
      </c>
    </row>
    <row r="131" spans="1:16" x14ac:dyDescent="0.25">
      <c r="A131" s="8">
        <v>41117</v>
      </c>
      <c r="B131">
        <v>1439123.71</v>
      </c>
      <c r="C131">
        <v>0</v>
      </c>
      <c r="D131">
        <v>82.66</v>
      </c>
      <c r="E131">
        <v>3.407</v>
      </c>
      <c r="F131">
        <v>221.9412954</v>
      </c>
      <c r="G131">
        <v>6.9080000000000004</v>
      </c>
      <c r="J131" s="21" t="s">
        <v>247</v>
      </c>
      <c r="K131" s="21">
        <v>274</v>
      </c>
      <c r="L131" s="21">
        <v>254</v>
      </c>
      <c r="M131" s="21">
        <v>294</v>
      </c>
      <c r="N131" s="21">
        <v>822</v>
      </c>
    </row>
    <row r="132" spans="1:16" x14ac:dyDescent="0.25">
      <c r="A132" s="8">
        <v>41124</v>
      </c>
      <c r="B132">
        <v>1631135.79</v>
      </c>
      <c r="C132">
        <v>0</v>
      </c>
      <c r="D132">
        <v>86.11</v>
      </c>
      <c r="E132">
        <v>3.4169999999999998</v>
      </c>
      <c r="F132">
        <v>221.94986420000001</v>
      </c>
      <c r="G132">
        <v>6.9080000000000004</v>
      </c>
      <c r="J132" s="21" t="s">
        <v>297</v>
      </c>
      <c r="K132" s="21">
        <v>137</v>
      </c>
      <c r="L132" s="21">
        <v>127</v>
      </c>
      <c r="M132" s="21">
        <v>147</v>
      </c>
      <c r="N132" s="21">
        <v>137</v>
      </c>
    </row>
    <row r="133" spans="1:16" x14ac:dyDescent="0.25">
      <c r="A133" s="8">
        <v>41131</v>
      </c>
      <c r="B133">
        <v>1592409.97</v>
      </c>
      <c r="C133">
        <v>0</v>
      </c>
      <c r="D133">
        <v>85.05</v>
      </c>
      <c r="E133">
        <v>3.4940000000000002</v>
      </c>
      <c r="F133">
        <v>221.95843289999999</v>
      </c>
      <c r="G133">
        <v>6.9080000000000004</v>
      </c>
      <c r="J133" s="21" t="s">
        <v>298</v>
      </c>
      <c r="K133" s="21">
        <v>2</v>
      </c>
      <c r="L133" s="21">
        <v>2</v>
      </c>
      <c r="M133" s="21">
        <v>2</v>
      </c>
      <c r="N133" s="21">
        <v>81.2</v>
      </c>
    </row>
    <row r="134" spans="1:16" x14ac:dyDescent="0.25">
      <c r="A134" s="8">
        <v>41138</v>
      </c>
      <c r="B134">
        <v>1597868.05</v>
      </c>
      <c r="C134">
        <v>0</v>
      </c>
      <c r="D134">
        <v>84.85</v>
      </c>
      <c r="E134">
        <v>3.5710000000000002</v>
      </c>
      <c r="F134">
        <v>222.0384109</v>
      </c>
      <c r="G134">
        <v>6.9080000000000004</v>
      </c>
      <c r="J134" s="21"/>
      <c r="K134" s="21"/>
      <c r="L134" s="21"/>
      <c r="M134" s="21"/>
      <c r="N134" s="21"/>
    </row>
    <row r="135" spans="1:16" ht="15.75" thickBot="1" x14ac:dyDescent="0.3">
      <c r="A135" s="8">
        <v>41145</v>
      </c>
      <c r="B135">
        <v>1494122.38</v>
      </c>
      <c r="C135">
        <v>0</v>
      </c>
      <c r="D135">
        <v>77.66</v>
      </c>
      <c r="E135">
        <v>3.62</v>
      </c>
      <c r="F135">
        <v>222.17194570000001</v>
      </c>
      <c r="G135">
        <v>6.9080000000000004</v>
      </c>
      <c r="J135" s="33" t="s">
        <v>263</v>
      </c>
      <c r="K135" s="33"/>
      <c r="L135" s="33"/>
      <c r="M135" s="33"/>
      <c r="N135" s="33"/>
      <c r="O135" s="33"/>
      <c r="P135" s="33"/>
    </row>
    <row r="136" spans="1:16" x14ac:dyDescent="0.25">
      <c r="A136" s="8">
        <v>41152</v>
      </c>
      <c r="B136">
        <v>1582083.4</v>
      </c>
      <c r="C136">
        <v>0</v>
      </c>
      <c r="D136">
        <v>80.489999999999995</v>
      </c>
      <c r="E136">
        <v>3.6379999999999999</v>
      </c>
      <c r="F136">
        <v>222.30548049999999</v>
      </c>
      <c r="G136">
        <v>6.9080000000000004</v>
      </c>
      <c r="J136" s="21" t="s">
        <v>248</v>
      </c>
      <c r="K136" s="21">
        <v>10</v>
      </c>
      <c r="L136" s="21">
        <v>10</v>
      </c>
      <c r="M136" s="21">
        <v>10</v>
      </c>
      <c r="N136" s="21"/>
      <c r="O136" s="21"/>
      <c r="P136" s="21"/>
    </row>
    <row r="137" spans="1:16" x14ac:dyDescent="0.25">
      <c r="A137" s="8">
        <v>41159</v>
      </c>
      <c r="B137">
        <v>1661767.33</v>
      </c>
      <c r="C137">
        <v>1</v>
      </c>
      <c r="D137">
        <v>83.96</v>
      </c>
      <c r="E137">
        <v>3.73</v>
      </c>
      <c r="F137">
        <v>222.43901529999999</v>
      </c>
      <c r="G137">
        <v>6.9080000000000004</v>
      </c>
      <c r="J137" s="21" t="s">
        <v>247</v>
      </c>
      <c r="K137" s="21">
        <v>1290</v>
      </c>
      <c r="L137" s="21">
        <v>1190</v>
      </c>
      <c r="M137" s="21">
        <v>1390</v>
      </c>
      <c r="N137" s="21"/>
      <c r="O137" s="21"/>
      <c r="P137" s="21"/>
    </row>
    <row r="138" spans="1:16" x14ac:dyDescent="0.25">
      <c r="A138" s="8">
        <v>41166</v>
      </c>
      <c r="B138">
        <v>1517428.87</v>
      </c>
      <c r="C138">
        <v>0</v>
      </c>
      <c r="D138">
        <v>74.97</v>
      </c>
      <c r="E138">
        <v>3.7170000000000001</v>
      </c>
      <c r="F138">
        <v>222.58201930000001</v>
      </c>
      <c r="G138">
        <v>6.9080000000000004</v>
      </c>
      <c r="J138" s="21" t="s">
        <v>297</v>
      </c>
      <c r="K138" s="21">
        <v>129</v>
      </c>
      <c r="L138" s="21">
        <v>119</v>
      </c>
      <c r="M138" s="21">
        <v>139</v>
      </c>
      <c r="N138" s="21"/>
      <c r="O138" s="21"/>
      <c r="P138" s="21"/>
    </row>
    <row r="139" spans="1:16" x14ac:dyDescent="0.25">
      <c r="A139" s="8">
        <v>41173</v>
      </c>
      <c r="B139">
        <v>1506126.06</v>
      </c>
      <c r="C139">
        <v>0</v>
      </c>
      <c r="D139">
        <v>69.87</v>
      </c>
      <c r="E139">
        <v>3.7210000000000001</v>
      </c>
      <c r="F139">
        <v>222.78183859999999</v>
      </c>
      <c r="G139">
        <v>6.9080000000000004</v>
      </c>
      <c r="J139" s="21" t="s">
        <v>298</v>
      </c>
      <c r="K139" s="21">
        <v>36.666666666666664</v>
      </c>
      <c r="L139" s="21">
        <v>36.666666666666664</v>
      </c>
      <c r="M139" s="21">
        <v>36.666666666666664</v>
      </c>
      <c r="N139" s="21"/>
      <c r="O139" s="21"/>
      <c r="P139" s="21"/>
    </row>
    <row r="140" spans="1:16" x14ac:dyDescent="0.25">
      <c r="A140" s="8">
        <v>41180</v>
      </c>
      <c r="B140">
        <v>1437059.26</v>
      </c>
      <c r="C140">
        <v>0</v>
      </c>
      <c r="D140">
        <v>76.08</v>
      </c>
      <c r="E140">
        <v>3.6659999999999999</v>
      </c>
      <c r="F140">
        <v>222.98165789999999</v>
      </c>
      <c r="G140">
        <v>6.9080000000000004</v>
      </c>
      <c r="J140" s="21"/>
      <c r="K140" s="21"/>
      <c r="L140" s="21"/>
      <c r="M140" s="21"/>
      <c r="N140" s="21"/>
      <c r="O140" s="21"/>
      <c r="P140" s="21"/>
    </row>
    <row r="141" spans="1:16" x14ac:dyDescent="0.25">
      <c r="A141" s="8">
        <v>41187</v>
      </c>
      <c r="B141">
        <v>1670785.97</v>
      </c>
      <c r="C141">
        <v>0</v>
      </c>
      <c r="D141">
        <v>68.55</v>
      </c>
      <c r="E141">
        <v>3.617</v>
      </c>
      <c r="F141">
        <v>223.18147719999999</v>
      </c>
      <c r="G141">
        <v>6.5730000000000004</v>
      </c>
      <c r="K141"/>
    </row>
    <row r="142" spans="1:16" ht="15.75" thickBot="1" x14ac:dyDescent="0.3">
      <c r="A142" s="8">
        <v>41194</v>
      </c>
      <c r="B142">
        <v>1573072.81</v>
      </c>
      <c r="C142">
        <v>0</v>
      </c>
      <c r="D142">
        <v>62.99</v>
      </c>
      <c r="E142">
        <v>3.601</v>
      </c>
      <c r="F142">
        <v>223.38129649999999</v>
      </c>
      <c r="G142">
        <v>6.5730000000000004</v>
      </c>
      <c r="J142" t="s">
        <v>260</v>
      </c>
      <c r="K142"/>
    </row>
    <row r="143" spans="1:16" x14ac:dyDescent="0.25">
      <c r="A143" s="8">
        <v>41201</v>
      </c>
      <c r="B143">
        <v>1508068.77</v>
      </c>
      <c r="C143">
        <v>0</v>
      </c>
      <c r="D143">
        <v>67.97</v>
      </c>
      <c r="E143">
        <v>3.5939999999999999</v>
      </c>
      <c r="F143">
        <v>223.42572329999999</v>
      </c>
      <c r="G143">
        <v>6.5730000000000004</v>
      </c>
      <c r="J143" s="19" t="s">
        <v>299</v>
      </c>
      <c r="K143" s="19" t="s">
        <v>266</v>
      </c>
      <c r="L143" s="19" t="s">
        <v>265</v>
      </c>
      <c r="M143" s="19" t="s">
        <v>267</v>
      </c>
      <c r="N143" s="19" t="s">
        <v>268</v>
      </c>
      <c r="O143" s="19" t="s">
        <v>272</v>
      </c>
      <c r="P143" s="19" t="s">
        <v>300</v>
      </c>
    </row>
    <row r="144" spans="1:16" x14ac:dyDescent="0.25">
      <c r="A144" s="8">
        <v>41208</v>
      </c>
      <c r="B144">
        <v>1493659.74</v>
      </c>
      <c r="C144">
        <v>0</v>
      </c>
      <c r="D144">
        <v>69.16</v>
      </c>
      <c r="E144">
        <v>3.5059999999999998</v>
      </c>
      <c r="F144">
        <v>223.44425129999999</v>
      </c>
      <c r="G144">
        <v>6.5730000000000004</v>
      </c>
      <c r="J144" s="21" t="s">
        <v>316</v>
      </c>
      <c r="K144" s="21">
        <v>960</v>
      </c>
      <c r="L144" s="21">
        <v>4</v>
      </c>
      <c r="M144" s="21">
        <v>240</v>
      </c>
      <c r="N144" s="21">
        <v>120</v>
      </c>
      <c r="O144" s="21">
        <v>3.3790464207580655E-11</v>
      </c>
      <c r="P144" s="21">
        <v>3.055568275906595</v>
      </c>
    </row>
    <row r="145" spans="1:16" x14ac:dyDescent="0.25">
      <c r="A145" s="8">
        <v>40214</v>
      </c>
      <c r="B145">
        <v>2136989.46</v>
      </c>
      <c r="C145">
        <v>0</v>
      </c>
      <c r="D145">
        <v>40.19</v>
      </c>
      <c r="E145">
        <v>2.5720000000000001</v>
      </c>
      <c r="F145">
        <v>210.7526053</v>
      </c>
      <c r="G145">
        <v>8.3239999999999998</v>
      </c>
      <c r="J145" s="21" t="s">
        <v>317</v>
      </c>
      <c r="K145" s="21">
        <v>2000</v>
      </c>
      <c r="L145" s="21">
        <v>2</v>
      </c>
      <c r="M145" s="21">
        <v>1000</v>
      </c>
      <c r="N145" s="21">
        <v>500</v>
      </c>
      <c r="O145" s="21">
        <v>1.8714969602217871E-14</v>
      </c>
      <c r="P145" s="21">
        <v>3.6823203436732408</v>
      </c>
    </row>
    <row r="146" spans="1:16" x14ac:dyDescent="0.25">
      <c r="A146" s="8">
        <v>40221</v>
      </c>
      <c r="B146">
        <v>2137809.5</v>
      </c>
      <c r="C146">
        <v>1</v>
      </c>
      <c r="D146">
        <v>38.49</v>
      </c>
      <c r="E146">
        <v>2.548</v>
      </c>
      <c r="F146">
        <v>210.89799350000001</v>
      </c>
      <c r="G146">
        <v>8.3239999999999998</v>
      </c>
      <c r="J146" s="21" t="s">
        <v>318</v>
      </c>
      <c r="K146" s="21">
        <v>0</v>
      </c>
      <c r="L146" s="21">
        <v>8</v>
      </c>
      <c r="M146" s="21">
        <v>0</v>
      </c>
      <c r="N146" s="21">
        <v>0</v>
      </c>
      <c r="O146" s="21">
        <v>1</v>
      </c>
      <c r="P146" s="21">
        <v>2.6407968829069026</v>
      </c>
    </row>
    <row r="147" spans="1:16" x14ac:dyDescent="0.25">
      <c r="A147" s="8">
        <v>40228</v>
      </c>
      <c r="B147">
        <v>2124451.54</v>
      </c>
      <c r="C147">
        <v>0</v>
      </c>
      <c r="D147">
        <v>39.69</v>
      </c>
      <c r="E147">
        <v>2.5139999999999998</v>
      </c>
      <c r="F147">
        <v>210.94516049999999</v>
      </c>
      <c r="G147">
        <v>8.3239999999999998</v>
      </c>
      <c r="J147" s="21" t="s">
        <v>319</v>
      </c>
      <c r="K147" s="21">
        <v>30</v>
      </c>
      <c r="L147" s="21">
        <v>15</v>
      </c>
      <c r="M147" s="21">
        <v>2</v>
      </c>
      <c r="N147" s="21"/>
      <c r="O147" s="21"/>
      <c r="P147" s="21"/>
    </row>
    <row r="148" spans="1:16" x14ac:dyDescent="0.25">
      <c r="A148" s="8">
        <v>40235</v>
      </c>
      <c r="B148">
        <v>1865097.27</v>
      </c>
      <c r="C148">
        <v>0</v>
      </c>
      <c r="D148">
        <v>46.1</v>
      </c>
      <c r="E148">
        <v>2.5609999999999999</v>
      </c>
      <c r="F148">
        <v>210.9759573</v>
      </c>
      <c r="G148">
        <v>8.3239999999999998</v>
      </c>
      <c r="J148" s="21"/>
      <c r="K148" s="21"/>
      <c r="L148" s="21"/>
      <c r="M148" s="21"/>
      <c r="N148" s="21"/>
      <c r="O148" s="21"/>
      <c r="P148" s="21"/>
    </row>
    <row r="149" spans="1:16" ht="15.75" thickBot="1" x14ac:dyDescent="0.3">
      <c r="A149" s="8">
        <v>40242</v>
      </c>
      <c r="B149">
        <v>1991013.13</v>
      </c>
      <c r="C149">
        <v>0</v>
      </c>
      <c r="D149">
        <v>47.17</v>
      </c>
      <c r="E149">
        <v>2.625</v>
      </c>
      <c r="F149">
        <v>211.00675419999999</v>
      </c>
      <c r="G149">
        <v>8.3239999999999998</v>
      </c>
      <c r="J149" s="18" t="s">
        <v>263</v>
      </c>
      <c r="K149" s="18">
        <v>2990</v>
      </c>
      <c r="L149" s="18">
        <v>29</v>
      </c>
      <c r="M149" s="18"/>
      <c r="N149" s="18"/>
      <c r="O149" s="18"/>
      <c r="P149" s="18"/>
    </row>
    <row r="150" spans="1:16" x14ac:dyDescent="0.25">
      <c r="A150" s="8">
        <v>40249</v>
      </c>
      <c r="B150">
        <v>1990483.78</v>
      </c>
      <c r="C150">
        <v>0</v>
      </c>
      <c r="D150">
        <v>57.56</v>
      </c>
      <c r="E150">
        <v>2.6669999999999998</v>
      </c>
      <c r="F150">
        <v>211.03755100000001</v>
      </c>
      <c r="G150">
        <v>8.3239999999999998</v>
      </c>
      <c r="N150" s="8"/>
    </row>
    <row r="151" spans="1:16" x14ac:dyDescent="0.25">
      <c r="A151" s="8">
        <v>40256</v>
      </c>
      <c r="B151">
        <v>1946070.88</v>
      </c>
      <c r="C151">
        <v>0</v>
      </c>
      <c r="D151">
        <v>54.52</v>
      </c>
      <c r="E151">
        <v>2.72</v>
      </c>
      <c r="F151">
        <v>210.8733316</v>
      </c>
      <c r="G151">
        <v>8.3239999999999998</v>
      </c>
      <c r="N151" s="8"/>
    </row>
    <row r="152" spans="1:16" x14ac:dyDescent="0.25">
      <c r="A152" s="8">
        <v>40263</v>
      </c>
      <c r="B152">
        <v>1750197.81</v>
      </c>
      <c r="C152">
        <v>0</v>
      </c>
      <c r="D152">
        <v>51.26</v>
      </c>
      <c r="E152">
        <v>2.7320000000000002</v>
      </c>
      <c r="F152">
        <v>210.67660950000001</v>
      </c>
      <c r="G152">
        <v>8.3239999999999998</v>
      </c>
      <c r="N152" s="8"/>
    </row>
    <row r="153" spans="1:16" x14ac:dyDescent="0.25">
      <c r="A153" s="8">
        <v>40270</v>
      </c>
      <c r="B153">
        <v>2066187.72</v>
      </c>
      <c r="C153">
        <v>0</v>
      </c>
      <c r="D153">
        <v>63.27</v>
      </c>
      <c r="E153">
        <v>2.7189999999999999</v>
      </c>
      <c r="F153">
        <v>210.4798874</v>
      </c>
      <c r="G153">
        <v>8.1999999999999993</v>
      </c>
      <c r="N153" s="8"/>
    </row>
    <row r="154" spans="1:16" x14ac:dyDescent="0.25">
      <c r="A154" s="8">
        <v>40277</v>
      </c>
      <c r="B154">
        <v>1954689.21</v>
      </c>
      <c r="C154">
        <v>0</v>
      </c>
      <c r="D154">
        <v>65.41</v>
      </c>
      <c r="E154">
        <v>2.77</v>
      </c>
      <c r="F154">
        <v>210.28316530000001</v>
      </c>
      <c r="G154">
        <v>8.1999999999999993</v>
      </c>
      <c r="N154" s="8"/>
    </row>
    <row r="155" spans="1:16" x14ac:dyDescent="0.25">
      <c r="A155" s="8">
        <v>40284</v>
      </c>
      <c r="B155">
        <v>1874957.94</v>
      </c>
      <c r="C155">
        <v>0</v>
      </c>
      <c r="D155">
        <v>68.069999999999993</v>
      </c>
      <c r="E155">
        <v>2.8079999999999998</v>
      </c>
      <c r="F155">
        <v>210.1495463</v>
      </c>
      <c r="G155">
        <v>8.1999999999999993</v>
      </c>
      <c r="N155" s="8"/>
    </row>
    <row r="156" spans="1:16" x14ac:dyDescent="0.25">
      <c r="A156" s="8">
        <v>40291</v>
      </c>
      <c r="B156">
        <v>1821990.93</v>
      </c>
      <c r="C156">
        <v>0</v>
      </c>
      <c r="D156">
        <v>65.11</v>
      </c>
      <c r="E156">
        <v>2.7949999999999999</v>
      </c>
      <c r="F156">
        <v>210.10006480000001</v>
      </c>
      <c r="G156">
        <v>8.1999999999999993</v>
      </c>
      <c r="N156" s="8"/>
    </row>
    <row r="157" spans="1:16" x14ac:dyDescent="0.25">
      <c r="A157" s="8">
        <v>40298</v>
      </c>
      <c r="B157">
        <v>1802450.29</v>
      </c>
      <c r="C157">
        <v>0</v>
      </c>
      <c r="D157">
        <v>66.98</v>
      </c>
      <c r="E157">
        <v>2.78</v>
      </c>
      <c r="F157">
        <v>210.0505833</v>
      </c>
      <c r="G157">
        <v>8.1999999999999993</v>
      </c>
      <c r="N157" s="8"/>
    </row>
    <row r="158" spans="1:16" x14ac:dyDescent="0.25">
      <c r="A158" s="8">
        <v>40305</v>
      </c>
      <c r="B158">
        <v>2042581.71</v>
      </c>
      <c r="C158">
        <v>0</v>
      </c>
      <c r="D158">
        <v>71.28</v>
      </c>
      <c r="E158">
        <v>2.835</v>
      </c>
      <c r="F158">
        <v>210.00110179999999</v>
      </c>
      <c r="G158">
        <v>8.1999999999999993</v>
      </c>
      <c r="N158" s="8"/>
    </row>
    <row r="159" spans="1:16" x14ac:dyDescent="0.25">
      <c r="A159" s="8">
        <v>40312</v>
      </c>
      <c r="B159">
        <v>1880752.36</v>
      </c>
      <c r="C159">
        <v>0</v>
      </c>
      <c r="D159">
        <v>73.31</v>
      </c>
      <c r="E159">
        <v>2.8540000000000001</v>
      </c>
      <c r="F159">
        <v>209.9984585</v>
      </c>
      <c r="G159">
        <v>8.1999999999999993</v>
      </c>
      <c r="N159" s="8"/>
    </row>
    <row r="160" spans="1:16" x14ac:dyDescent="0.25">
      <c r="A160" s="8">
        <v>40319</v>
      </c>
      <c r="B160">
        <v>1896937.1</v>
      </c>
      <c r="C160">
        <v>0</v>
      </c>
      <c r="D160">
        <v>74.83</v>
      </c>
      <c r="E160">
        <v>2.8260000000000001</v>
      </c>
      <c r="F160">
        <v>210.27684429999999</v>
      </c>
      <c r="G160">
        <v>8.1999999999999993</v>
      </c>
      <c r="N160" s="8"/>
    </row>
    <row r="161" spans="1:14" x14ac:dyDescent="0.25">
      <c r="A161" s="8">
        <v>40326</v>
      </c>
      <c r="B161">
        <v>1957113.89</v>
      </c>
      <c r="C161">
        <v>0</v>
      </c>
      <c r="D161">
        <v>81.13</v>
      </c>
      <c r="E161">
        <v>2.7589999999999999</v>
      </c>
      <c r="F161">
        <v>210.55523009999999</v>
      </c>
      <c r="G161">
        <v>8.1999999999999993</v>
      </c>
      <c r="N161" s="8"/>
    </row>
    <row r="162" spans="1:14" x14ac:dyDescent="0.25">
      <c r="A162" s="8">
        <v>40333</v>
      </c>
      <c r="B162">
        <v>2102539.9300000002</v>
      </c>
      <c r="C162">
        <v>0</v>
      </c>
      <c r="D162">
        <v>81.81</v>
      </c>
      <c r="E162">
        <v>2.7050000000000001</v>
      </c>
      <c r="F162">
        <v>210.83361600000001</v>
      </c>
      <c r="G162">
        <v>8.1999999999999993</v>
      </c>
      <c r="N162" s="8"/>
    </row>
    <row r="163" spans="1:14" x14ac:dyDescent="0.25">
      <c r="A163" s="8">
        <v>40340</v>
      </c>
      <c r="B163">
        <v>2025538.76</v>
      </c>
      <c r="C163">
        <v>0</v>
      </c>
      <c r="D163">
        <v>83.4</v>
      </c>
      <c r="E163">
        <v>2.6680000000000001</v>
      </c>
      <c r="F163">
        <v>211.1120018</v>
      </c>
      <c r="G163">
        <v>8.1999999999999993</v>
      </c>
      <c r="N163" s="8"/>
    </row>
    <row r="164" spans="1:14" x14ac:dyDescent="0.25">
      <c r="A164" s="8">
        <v>40347</v>
      </c>
      <c r="B164">
        <v>2001636.96</v>
      </c>
      <c r="C164">
        <v>0</v>
      </c>
      <c r="D164">
        <v>85.81</v>
      </c>
      <c r="E164">
        <v>2.637</v>
      </c>
      <c r="F164">
        <v>211.10965429999999</v>
      </c>
      <c r="G164">
        <v>8.1999999999999993</v>
      </c>
      <c r="N164" s="8"/>
    </row>
    <row r="165" spans="1:14" x14ac:dyDescent="0.25">
      <c r="A165" s="8">
        <v>40354</v>
      </c>
      <c r="B165">
        <v>1939927.09</v>
      </c>
      <c r="C165">
        <v>0</v>
      </c>
      <c r="D165">
        <v>86.26</v>
      </c>
      <c r="E165">
        <v>2.653</v>
      </c>
      <c r="F165">
        <v>210.9950134</v>
      </c>
      <c r="G165">
        <v>8.1999999999999993</v>
      </c>
      <c r="N165" s="8"/>
    </row>
    <row r="166" spans="1:14" x14ac:dyDescent="0.25">
      <c r="A166" s="8">
        <v>40361</v>
      </c>
      <c r="B166">
        <v>2003940.64</v>
      </c>
      <c r="C166">
        <v>0</v>
      </c>
      <c r="D166">
        <v>82.74</v>
      </c>
      <c r="E166">
        <v>2.669</v>
      </c>
      <c r="F166">
        <v>210.88037259999999</v>
      </c>
      <c r="G166">
        <v>8.0990000000000002</v>
      </c>
      <c r="N166" s="8"/>
    </row>
    <row r="167" spans="1:14" x14ac:dyDescent="0.25">
      <c r="A167" s="8">
        <v>40368</v>
      </c>
      <c r="B167">
        <v>1880902.62</v>
      </c>
      <c r="C167">
        <v>0</v>
      </c>
      <c r="D167">
        <v>82.59</v>
      </c>
      <c r="E167">
        <v>2.6419999999999999</v>
      </c>
      <c r="F167">
        <v>210.7657317</v>
      </c>
      <c r="G167">
        <v>8.0990000000000002</v>
      </c>
      <c r="N167" s="8"/>
    </row>
    <row r="168" spans="1:14" x14ac:dyDescent="0.25">
      <c r="A168" s="8">
        <v>40375</v>
      </c>
      <c r="B168">
        <v>1845879.79</v>
      </c>
      <c r="C168">
        <v>0</v>
      </c>
      <c r="D168">
        <v>85.32</v>
      </c>
      <c r="E168">
        <v>2.6230000000000002</v>
      </c>
      <c r="F168">
        <v>210.75779539999999</v>
      </c>
      <c r="G168">
        <v>8.0990000000000002</v>
      </c>
      <c r="N168" s="8"/>
    </row>
    <row r="169" spans="1:14" x14ac:dyDescent="0.25">
      <c r="A169" s="8">
        <v>40382</v>
      </c>
      <c r="B169">
        <v>1781717.71</v>
      </c>
      <c r="C169">
        <v>0</v>
      </c>
      <c r="D169">
        <v>87.66</v>
      </c>
      <c r="E169">
        <v>2.6080000000000001</v>
      </c>
      <c r="F169">
        <v>210.89213190000001</v>
      </c>
      <c r="G169">
        <v>8.0990000000000002</v>
      </c>
      <c r="N169" s="8"/>
    </row>
    <row r="170" spans="1:14" x14ac:dyDescent="0.25">
      <c r="A170" s="8">
        <v>40389</v>
      </c>
      <c r="B170">
        <v>1804246.16</v>
      </c>
      <c r="C170">
        <v>0</v>
      </c>
      <c r="D170">
        <v>83.49</v>
      </c>
      <c r="E170">
        <v>2.64</v>
      </c>
      <c r="F170">
        <v>211.0264684</v>
      </c>
      <c r="G170">
        <v>8.0990000000000002</v>
      </c>
      <c r="N170" s="8"/>
    </row>
    <row r="171" spans="1:14" x14ac:dyDescent="0.25">
      <c r="A171" s="8">
        <v>40396</v>
      </c>
      <c r="B171">
        <v>1991909.98</v>
      </c>
      <c r="C171">
        <v>0</v>
      </c>
      <c r="D171">
        <v>89.53</v>
      </c>
      <c r="E171">
        <v>2.6269999999999998</v>
      </c>
      <c r="F171">
        <v>211.16080489999999</v>
      </c>
      <c r="G171">
        <v>8.0990000000000002</v>
      </c>
      <c r="N171" s="8"/>
    </row>
    <row r="172" spans="1:14" x14ac:dyDescent="0.25">
      <c r="A172" s="8">
        <v>40403</v>
      </c>
      <c r="B172">
        <v>1895601.05</v>
      </c>
      <c r="C172">
        <v>0</v>
      </c>
      <c r="D172">
        <v>89.05</v>
      </c>
      <c r="E172">
        <v>2.6920000000000002</v>
      </c>
      <c r="F172">
        <v>211.29514130000001</v>
      </c>
      <c r="G172">
        <v>8.0990000000000002</v>
      </c>
      <c r="N172" s="8"/>
    </row>
    <row r="173" spans="1:14" x14ac:dyDescent="0.25">
      <c r="A173" s="8">
        <v>40410</v>
      </c>
      <c r="B173">
        <v>1964335.23</v>
      </c>
      <c r="C173">
        <v>0</v>
      </c>
      <c r="D173">
        <v>88.7</v>
      </c>
      <c r="E173">
        <v>2.6640000000000001</v>
      </c>
      <c r="F173">
        <v>211.25965859999999</v>
      </c>
      <c r="G173">
        <v>8.0990000000000002</v>
      </c>
      <c r="N173" s="8"/>
    </row>
    <row r="174" spans="1:14" x14ac:dyDescent="0.25">
      <c r="A174" s="8">
        <v>40417</v>
      </c>
      <c r="B174">
        <v>1863840.49</v>
      </c>
      <c r="C174">
        <v>0</v>
      </c>
      <c r="D174">
        <v>87.12</v>
      </c>
      <c r="E174">
        <v>2.6190000000000002</v>
      </c>
      <c r="F174">
        <v>211.22417590000001</v>
      </c>
      <c r="G174">
        <v>8.0990000000000002</v>
      </c>
      <c r="N174" s="8"/>
    </row>
    <row r="175" spans="1:14" x14ac:dyDescent="0.25">
      <c r="A175" s="8">
        <v>40424</v>
      </c>
      <c r="B175">
        <v>1904608.09</v>
      </c>
      <c r="C175">
        <v>0</v>
      </c>
      <c r="D175">
        <v>81.83</v>
      </c>
      <c r="E175">
        <v>2.577</v>
      </c>
      <c r="F175">
        <v>211.18869309999999</v>
      </c>
      <c r="G175">
        <v>8.0990000000000002</v>
      </c>
      <c r="N175" s="8"/>
    </row>
    <row r="176" spans="1:14" x14ac:dyDescent="0.25">
      <c r="A176" s="8">
        <v>40431</v>
      </c>
      <c r="B176">
        <v>1839128.83</v>
      </c>
      <c r="C176">
        <v>1</v>
      </c>
      <c r="D176">
        <v>79.09</v>
      </c>
      <c r="E176">
        <v>2.5649999999999999</v>
      </c>
      <c r="F176">
        <v>211.15321040000001</v>
      </c>
      <c r="G176">
        <v>8.0990000000000002</v>
      </c>
      <c r="N176" s="8"/>
    </row>
    <row r="177" spans="1:14" x14ac:dyDescent="0.25">
      <c r="A177" s="8">
        <v>40438</v>
      </c>
      <c r="B177">
        <v>1793903.6</v>
      </c>
      <c r="C177">
        <v>0</v>
      </c>
      <c r="D177">
        <v>82.05</v>
      </c>
      <c r="E177">
        <v>2.5819999999999999</v>
      </c>
      <c r="F177">
        <v>211.18064150000001</v>
      </c>
      <c r="G177">
        <v>8.0990000000000002</v>
      </c>
      <c r="N177" s="8"/>
    </row>
    <row r="178" spans="1:14" x14ac:dyDescent="0.25">
      <c r="A178" s="8">
        <v>40445</v>
      </c>
      <c r="B178">
        <v>1724557.22</v>
      </c>
      <c r="C178">
        <v>0</v>
      </c>
      <c r="D178">
        <v>81.790000000000006</v>
      </c>
      <c r="E178">
        <v>2.6240000000000001</v>
      </c>
      <c r="F178">
        <v>211.25525780000001</v>
      </c>
      <c r="G178">
        <v>8.0990000000000002</v>
      </c>
      <c r="N178" s="8"/>
    </row>
    <row r="179" spans="1:14" x14ac:dyDescent="0.25">
      <c r="A179" s="8">
        <v>40452</v>
      </c>
      <c r="B179">
        <v>1827440.43</v>
      </c>
      <c r="C179">
        <v>0</v>
      </c>
      <c r="D179">
        <v>69.239999999999995</v>
      </c>
      <c r="E179">
        <v>2.6030000000000002</v>
      </c>
      <c r="F179">
        <v>211.32987420000001</v>
      </c>
      <c r="G179">
        <v>8.1630000000000003</v>
      </c>
      <c r="N179" s="8"/>
    </row>
    <row r="180" spans="1:14" x14ac:dyDescent="0.25">
      <c r="A180" s="8">
        <v>40459</v>
      </c>
      <c r="B180">
        <v>1849921.44</v>
      </c>
      <c r="C180">
        <v>0</v>
      </c>
      <c r="D180">
        <v>63.19</v>
      </c>
      <c r="E180">
        <v>2.633</v>
      </c>
      <c r="F180">
        <v>211.4044906</v>
      </c>
      <c r="G180">
        <v>8.1630000000000003</v>
      </c>
      <c r="N180" s="8"/>
    </row>
    <row r="181" spans="1:14" x14ac:dyDescent="0.25">
      <c r="A181" s="8">
        <v>40466</v>
      </c>
      <c r="B181">
        <v>1794355.49</v>
      </c>
      <c r="C181">
        <v>0</v>
      </c>
      <c r="D181">
        <v>65.8</v>
      </c>
      <c r="E181">
        <v>2.72</v>
      </c>
      <c r="F181">
        <v>211.47132859999999</v>
      </c>
      <c r="G181">
        <v>8.1630000000000003</v>
      </c>
      <c r="N181" s="8"/>
    </row>
    <row r="182" spans="1:14" x14ac:dyDescent="0.25">
      <c r="A182" s="8">
        <v>40473</v>
      </c>
      <c r="B182">
        <v>1737947.64</v>
      </c>
      <c r="C182">
        <v>0</v>
      </c>
      <c r="D182">
        <v>68.5</v>
      </c>
      <c r="E182">
        <v>2.7250000000000001</v>
      </c>
      <c r="F182">
        <v>211.51872080000001</v>
      </c>
      <c r="G182">
        <v>8.1630000000000003</v>
      </c>
      <c r="N182" s="8"/>
    </row>
    <row r="183" spans="1:14" x14ac:dyDescent="0.25">
      <c r="A183" s="8">
        <v>40480</v>
      </c>
      <c r="B183">
        <v>1802755.11</v>
      </c>
      <c r="C183">
        <v>0</v>
      </c>
      <c r="D183">
        <v>66.239999999999995</v>
      </c>
      <c r="E183">
        <v>2.7160000000000002</v>
      </c>
      <c r="F183">
        <v>211.5661131</v>
      </c>
      <c r="G183">
        <v>8.1630000000000003</v>
      </c>
      <c r="N183" s="8"/>
    </row>
    <row r="184" spans="1:14" x14ac:dyDescent="0.25">
      <c r="A184" s="8">
        <v>40487</v>
      </c>
      <c r="B184">
        <v>1939061.41</v>
      </c>
      <c r="C184">
        <v>0</v>
      </c>
      <c r="D184">
        <v>57.85</v>
      </c>
      <c r="E184">
        <v>2.6890000000000001</v>
      </c>
      <c r="F184">
        <v>211.61350530000001</v>
      </c>
      <c r="G184">
        <v>8.1630000000000003</v>
      </c>
      <c r="N184" s="8"/>
    </row>
    <row r="185" spans="1:14" x14ac:dyDescent="0.25">
      <c r="A185" s="8">
        <v>40494</v>
      </c>
      <c r="B185">
        <v>1916812.74</v>
      </c>
      <c r="C185">
        <v>0</v>
      </c>
      <c r="D185">
        <v>59.69</v>
      </c>
      <c r="E185">
        <v>2.7280000000000002</v>
      </c>
      <c r="F185">
        <v>211.6608975</v>
      </c>
      <c r="G185">
        <v>8.1630000000000003</v>
      </c>
      <c r="N185" s="8"/>
    </row>
    <row r="186" spans="1:14" x14ac:dyDescent="0.25">
      <c r="A186" s="8">
        <v>40501</v>
      </c>
      <c r="B186">
        <v>1956739.17</v>
      </c>
      <c r="C186">
        <v>0</v>
      </c>
      <c r="D186">
        <v>50.81</v>
      </c>
      <c r="E186">
        <v>2.7709999999999999</v>
      </c>
      <c r="F186">
        <v>211.54703040000001</v>
      </c>
      <c r="G186">
        <v>8.1630000000000003</v>
      </c>
      <c r="N186" s="8"/>
    </row>
    <row r="187" spans="1:14" x14ac:dyDescent="0.25">
      <c r="A187" s="8">
        <v>40508</v>
      </c>
      <c r="B187">
        <v>2658725.29</v>
      </c>
      <c r="C187">
        <v>1</v>
      </c>
      <c r="D187">
        <v>62.98</v>
      </c>
      <c r="E187">
        <v>2.7349999999999999</v>
      </c>
      <c r="F187">
        <v>211.40628670000001</v>
      </c>
      <c r="G187">
        <v>8.1630000000000003</v>
      </c>
      <c r="N187" s="8"/>
    </row>
    <row r="188" spans="1:14" x14ac:dyDescent="0.25">
      <c r="A188" s="8">
        <v>40515</v>
      </c>
      <c r="B188">
        <v>2015781.27</v>
      </c>
      <c r="C188">
        <v>0</v>
      </c>
      <c r="D188">
        <v>49.33</v>
      </c>
      <c r="E188">
        <v>2.7080000000000002</v>
      </c>
      <c r="F188">
        <v>211.26554300000001</v>
      </c>
      <c r="G188">
        <v>8.1630000000000003</v>
      </c>
      <c r="N188" s="8"/>
    </row>
    <row r="189" spans="1:14" x14ac:dyDescent="0.25">
      <c r="A189" s="8">
        <v>40522</v>
      </c>
      <c r="B189">
        <v>2378726.5499999998</v>
      </c>
      <c r="C189">
        <v>0</v>
      </c>
      <c r="D189">
        <v>45.5</v>
      </c>
      <c r="E189">
        <v>2.843</v>
      </c>
      <c r="F189">
        <v>211.12479930000001</v>
      </c>
      <c r="G189">
        <v>8.1630000000000003</v>
      </c>
      <c r="N189" s="8"/>
    </row>
    <row r="190" spans="1:14" x14ac:dyDescent="0.25">
      <c r="A190" s="8">
        <v>40529</v>
      </c>
      <c r="B190">
        <v>2609166.75</v>
      </c>
      <c r="C190">
        <v>0</v>
      </c>
      <c r="D190">
        <v>47.55</v>
      </c>
      <c r="E190">
        <v>2.8690000000000002</v>
      </c>
      <c r="F190">
        <v>211.06454579999999</v>
      </c>
      <c r="G190">
        <v>8.1630000000000003</v>
      </c>
      <c r="N190" s="8"/>
    </row>
    <row r="191" spans="1:14" x14ac:dyDescent="0.25">
      <c r="A191" s="8">
        <v>40536</v>
      </c>
      <c r="B191">
        <v>3436007.68</v>
      </c>
      <c r="C191">
        <v>0</v>
      </c>
      <c r="D191">
        <v>49.97</v>
      </c>
      <c r="E191">
        <v>2.8860000000000001</v>
      </c>
      <c r="F191">
        <v>211.06465990000001</v>
      </c>
      <c r="G191">
        <v>8.1630000000000003</v>
      </c>
      <c r="N191" s="8"/>
    </row>
    <row r="192" spans="1:14" x14ac:dyDescent="0.25">
      <c r="A192" s="8">
        <v>40543</v>
      </c>
      <c r="B192">
        <v>1750434.55</v>
      </c>
      <c r="C192">
        <v>1</v>
      </c>
      <c r="D192">
        <v>47.3</v>
      </c>
      <c r="E192">
        <v>2.9430000000000001</v>
      </c>
      <c r="F192">
        <v>211.064774</v>
      </c>
      <c r="G192">
        <v>8.1630000000000003</v>
      </c>
      <c r="N192" s="8"/>
    </row>
    <row r="193" spans="1:14" x14ac:dyDescent="0.25">
      <c r="A193" s="8">
        <v>40550</v>
      </c>
      <c r="B193">
        <v>1758050.79</v>
      </c>
      <c r="C193">
        <v>0</v>
      </c>
      <c r="D193">
        <v>44.69</v>
      </c>
      <c r="E193">
        <v>2.976</v>
      </c>
      <c r="F193">
        <v>211.06488809999999</v>
      </c>
      <c r="G193">
        <v>8.0280000000000005</v>
      </c>
      <c r="N193" s="8"/>
    </row>
    <row r="194" spans="1:14" x14ac:dyDescent="0.25">
      <c r="A194" s="8">
        <v>40557</v>
      </c>
      <c r="B194">
        <v>1744193.58</v>
      </c>
      <c r="C194">
        <v>0</v>
      </c>
      <c r="D194">
        <v>33.020000000000003</v>
      </c>
      <c r="E194">
        <v>2.9830000000000001</v>
      </c>
      <c r="F194">
        <v>211.11767130000001</v>
      </c>
      <c r="G194">
        <v>8.0280000000000005</v>
      </c>
      <c r="N194" s="8"/>
    </row>
    <row r="195" spans="1:14" x14ac:dyDescent="0.25">
      <c r="A195" s="8">
        <v>40564</v>
      </c>
      <c r="B195">
        <v>1751384.9</v>
      </c>
      <c r="C195">
        <v>0</v>
      </c>
      <c r="D195">
        <v>41.4</v>
      </c>
      <c r="E195">
        <v>3.016</v>
      </c>
      <c r="F195">
        <v>211.48646909999999</v>
      </c>
      <c r="G195">
        <v>8.0280000000000005</v>
      </c>
      <c r="N195" s="8"/>
    </row>
    <row r="196" spans="1:14" x14ac:dyDescent="0.25">
      <c r="A196" s="8">
        <v>40571</v>
      </c>
      <c r="B196">
        <v>1695371.68</v>
      </c>
      <c r="C196">
        <v>0</v>
      </c>
      <c r="D196">
        <v>42.83</v>
      </c>
      <c r="E196">
        <v>3.01</v>
      </c>
      <c r="F196">
        <v>211.85526680000001</v>
      </c>
      <c r="G196">
        <v>8.0280000000000005</v>
      </c>
      <c r="N196" s="8"/>
    </row>
    <row r="197" spans="1:14" x14ac:dyDescent="0.25">
      <c r="A197" s="8">
        <v>40578</v>
      </c>
      <c r="B197">
        <v>1929346.23</v>
      </c>
      <c r="C197">
        <v>0</v>
      </c>
      <c r="D197">
        <v>38.25</v>
      </c>
      <c r="E197">
        <v>2.9889999999999999</v>
      </c>
      <c r="F197">
        <v>212.22406459999999</v>
      </c>
      <c r="G197">
        <v>8.0280000000000005</v>
      </c>
      <c r="N197" s="8"/>
    </row>
    <row r="198" spans="1:14" x14ac:dyDescent="0.25">
      <c r="A198" s="8">
        <v>40585</v>
      </c>
      <c r="B198">
        <v>2168041.61</v>
      </c>
      <c r="C198">
        <v>1</v>
      </c>
      <c r="D198">
        <v>33.19</v>
      </c>
      <c r="E198">
        <v>3.0219999999999998</v>
      </c>
      <c r="F198">
        <v>212.5928624</v>
      </c>
      <c r="G198">
        <v>8.0280000000000005</v>
      </c>
      <c r="N198" s="8"/>
    </row>
    <row r="199" spans="1:14" x14ac:dyDescent="0.25">
      <c r="A199" s="8">
        <v>40592</v>
      </c>
      <c r="B199">
        <v>2080884.82</v>
      </c>
      <c r="C199">
        <v>0</v>
      </c>
      <c r="D199">
        <v>57.83</v>
      </c>
      <c r="E199">
        <v>3.0449999999999999</v>
      </c>
      <c r="F199">
        <v>212.9033115</v>
      </c>
      <c r="G199">
        <v>8.0280000000000005</v>
      </c>
      <c r="N199" s="8"/>
    </row>
    <row r="200" spans="1:14" x14ac:dyDescent="0.25">
      <c r="A200" s="8">
        <v>40599</v>
      </c>
      <c r="B200">
        <v>1833511.08</v>
      </c>
      <c r="C200">
        <v>0</v>
      </c>
      <c r="D200">
        <v>60.8</v>
      </c>
      <c r="E200">
        <v>3.0649999999999999</v>
      </c>
      <c r="F200">
        <v>213.19042099999999</v>
      </c>
      <c r="G200">
        <v>8.0280000000000005</v>
      </c>
      <c r="N200" s="8"/>
    </row>
    <row r="201" spans="1:14" x14ac:dyDescent="0.25">
      <c r="A201" s="8">
        <v>40606</v>
      </c>
      <c r="B201">
        <v>1981607.78</v>
      </c>
      <c r="C201">
        <v>0</v>
      </c>
      <c r="D201">
        <v>57.77</v>
      </c>
      <c r="E201">
        <v>3.2879999999999998</v>
      </c>
      <c r="F201">
        <v>213.4775305</v>
      </c>
      <c r="G201">
        <v>8.0280000000000005</v>
      </c>
      <c r="N201" s="8"/>
    </row>
    <row r="202" spans="1:14" x14ac:dyDescent="0.25">
      <c r="A202" s="8">
        <v>40613</v>
      </c>
      <c r="B202">
        <v>1879107.31</v>
      </c>
      <c r="C202">
        <v>0</v>
      </c>
      <c r="D202">
        <v>52.7</v>
      </c>
      <c r="E202">
        <v>3.4590000000000001</v>
      </c>
      <c r="F202">
        <v>213.76464010000001</v>
      </c>
      <c r="G202">
        <v>8.0280000000000005</v>
      </c>
      <c r="N202" s="8"/>
    </row>
    <row r="203" spans="1:14" x14ac:dyDescent="0.25">
      <c r="A203" s="8">
        <v>40620</v>
      </c>
      <c r="B203">
        <v>1902557.66</v>
      </c>
      <c r="C203">
        <v>0</v>
      </c>
      <c r="D203">
        <v>62.32</v>
      </c>
      <c r="E203">
        <v>3.488</v>
      </c>
      <c r="F203">
        <v>214.01562379999999</v>
      </c>
      <c r="G203">
        <v>8.0280000000000005</v>
      </c>
      <c r="N203" s="8"/>
    </row>
    <row r="204" spans="1:14" x14ac:dyDescent="0.25">
      <c r="A204" s="8">
        <v>40627</v>
      </c>
      <c r="B204">
        <v>1766162.05</v>
      </c>
      <c r="C204">
        <v>0</v>
      </c>
      <c r="D204">
        <v>69.42</v>
      </c>
      <c r="E204">
        <v>3.4729999999999999</v>
      </c>
      <c r="F204">
        <v>214.25215729999999</v>
      </c>
      <c r="G204">
        <v>8.0280000000000005</v>
      </c>
      <c r="N204" s="8"/>
    </row>
    <row r="205" spans="1:14" x14ac:dyDescent="0.25">
      <c r="A205" s="8">
        <v>40634</v>
      </c>
      <c r="B205">
        <v>1800171.36</v>
      </c>
      <c r="C205">
        <v>0</v>
      </c>
      <c r="D205">
        <v>55.43</v>
      </c>
      <c r="E205">
        <v>3.524</v>
      </c>
      <c r="F205">
        <v>214.4886908</v>
      </c>
      <c r="G205">
        <v>7.931</v>
      </c>
      <c r="N205" s="8"/>
    </row>
    <row r="206" spans="1:14" x14ac:dyDescent="0.25">
      <c r="A206" s="8">
        <v>40641</v>
      </c>
      <c r="B206">
        <v>1847552.61</v>
      </c>
      <c r="C206">
        <v>0</v>
      </c>
      <c r="D206">
        <v>67</v>
      </c>
      <c r="E206">
        <v>3.6219999999999999</v>
      </c>
      <c r="F206">
        <v>214.72522420000001</v>
      </c>
      <c r="G206">
        <v>7.931</v>
      </c>
      <c r="N206" s="8"/>
    </row>
    <row r="207" spans="1:14" x14ac:dyDescent="0.25">
      <c r="A207" s="8">
        <v>40648</v>
      </c>
      <c r="B207">
        <v>1856467.84</v>
      </c>
      <c r="C207">
        <v>0</v>
      </c>
      <c r="D207">
        <v>69.48</v>
      </c>
      <c r="E207">
        <v>3.7429999999999999</v>
      </c>
      <c r="F207">
        <v>214.94206310000001</v>
      </c>
      <c r="G207">
        <v>7.931</v>
      </c>
      <c r="N207" s="8"/>
    </row>
    <row r="208" spans="1:14" x14ac:dyDescent="0.25">
      <c r="A208" s="8">
        <v>40655</v>
      </c>
      <c r="B208">
        <v>1886339.6</v>
      </c>
      <c r="C208">
        <v>0</v>
      </c>
      <c r="D208">
        <v>69.39</v>
      </c>
      <c r="E208">
        <v>3.8069999999999999</v>
      </c>
      <c r="F208">
        <v>215.10966569999999</v>
      </c>
      <c r="G208">
        <v>7.931</v>
      </c>
      <c r="N208" s="8"/>
    </row>
    <row r="209" spans="1:14" x14ac:dyDescent="0.25">
      <c r="A209" s="8">
        <v>40662</v>
      </c>
      <c r="B209">
        <v>1745545.28</v>
      </c>
      <c r="C209">
        <v>0</v>
      </c>
      <c r="D209">
        <v>69.209999999999994</v>
      </c>
      <c r="E209">
        <v>3.81</v>
      </c>
      <c r="F209">
        <v>215.2772683</v>
      </c>
      <c r="G209">
        <v>7.931</v>
      </c>
      <c r="N209" s="8"/>
    </row>
    <row r="210" spans="1:14" x14ac:dyDescent="0.25">
      <c r="A210" s="8">
        <v>40669</v>
      </c>
      <c r="B210">
        <v>1837743.6</v>
      </c>
      <c r="C210">
        <v>0</v>
      </c>
      <c r="D210">
        <v>61.48</v>
      </c>
      <c r="E210">
        <v>3.9060000000000001</v>
      </c>
      <c r="F210">
        <v>215.44487090000001</v>
      </c>
      <c r="G210">
        <v>7.931</v>
      </c>
      <c r="N210" s="8"/>
    </row>
    <row r="211" spans="1:14" x14ac:dyDescent="0.25">
      <c r="A211" s="8">
        <v>40676</v>
      </c>
      <c r="B211">
        <v>1838513.07</v>
      </c>
      <c r="C211">
        <v>0</v>
      </c>
      <c r="D211">
        <v>74.61</v>
      </c>
      <c r="E211">
        <v>3.899</v>
      </c>
      <c r="F211">
        <v>215.61247349999999</v>
      </c>
      <c r="G211">
        <v>7.931</v>
      </c>
      <c r="N211" s="8"/>
    </row>
    <row r="212" spans="1:14" x14ac:dyDescent="0.25">
      <c r="A212" s="8">
        <v>40683</v>
      </c>
      <c r="B212">
        <v>1688281.86</v>
      </c>
      <c r="C212">
        <v>0</v>
      </c>
      <c r="D212">
        <v>67.14</v>
      </c>
      <c r="E212">
        <v>3.907</v>
      </c>
      <c r="F212">
        <v>215.38347780000001</v>
      </c>
      <c r="G212">
        <v>7.931</v>
      </c>
      <c r="N212" s="8"/>
    </row>
    <row r="213" spans="1:14" x14ac:dyDescent="0.25">
      <c r="A213" s="8">
        <v>40690</v>
      </c>
      <c r="B213">
        <v>1797732.56</v>
      </c>
      <c r="C213">
        <v>0</v>
      </c>
      <c r="D213">
        <v>76.42</v>
      </c>
      <c r="E213">
        <v>3.786</v>
      </c>
      <c r="F213">
        <v>215.15448219999999</v>
      </c>
      <c r="G213">
        <v>7.931</v>
      </c>
      <c r="N213" s="8"/>
    </row>
    <row r="214" spans="1:14" x14ac:dyDescent="0.25">
      <c r="A214" s="8">
        <v>40697</v>
      </c>
      <c r="B214">
        <v>1933756.21</v>
      </c>
      <c r="C214">
        <v>0</v>
      </c>
      <c r="D214">
        <v>83.07</v>
      </c>
      <c r="E214">
        <v>3.6989999999999998</v>
      </c>
      <c r="F214">
        <v>214.92548650000001</v>
      </c>
      <c r="G214">
        <v>7.931</v>
      </c>
      <c r="N214" s="8"/>
    </row>
    <row r="215" spans="1:14" x14ac:dyDescent="0.25">
      <c r="A215" s="8">
        <v>40704</v>
      </c>
      <c r="B215">
        <v>1929153.16</v>
      </c>
      <c r="C215">
        <v>0</v>
      </c>
      <c r="D215">
        <v>83.4</v>
      </c>
      <c r="E215">
        <v>3.6480000000000001</v>
      </c>
      <c r="F215">
        <v>214.69649079999999</v>
      </c>
      <c r="G215">
        <v>7.931</v>
      </c>
      <c r="N215" s="8"/>
    </row>
    <row r="216" spans="1:14" x14ac:dyDescent="0.25">
      <c r="A216" s="8">
        <v>40711</v>
      </c>
      <c r="B216">
        <v>1953771.99</v>
      </c>
      <c r="C216">
        <v>0</v>
      </c>
      <c r="D216">
        <v>86.53</v>
      </c>
      <c r="E216">
        <v>3.637</v>
      </c>
      <c r="F216">
        <v>214.65135380000001</v>
      </c>
      <c r="G216">
        <v>7.931</v>
      </c>
      <c r="N216" s="8"/>
    </row>
    <row r="217" spans="1:14" x14ac:dyDescent="0.25">
      <c r="A217" s="8">
        <v>40718</v>
      </c>
      <c r="B217">
        <v>1790925.8</v>
      </c>
      <c r="C217">
        <v>0</v>
      </c>
      <c r="D217">
        <v>85.17</v>
      </c>
      <c r="E217">
        <v>3.5939999999999999</v>
      </c>
      <c r="F217">
        <v>214.74411079999999</v>
      </c>
      <c r="G217">
        <v>7.931</v>
      </c>
      <c r="N217" s="8"/>
    </row>
    <row r="218" spans="1:14" x14ac:dyDescent="0.25">
      <c r="A218" s="8">
        <v>40725</v>
      </c>
      <c r="B218">
        <v>1866243</v>
      </c>
      <c r="C218">
        <v>0</v>
      </c>
      <c r="D218">
        <v>85.69</v>
      </c>
      <c r="E218">
        <v>3.524</v>
      </c>
      <c r="F218">
        <v>214.83686779999999</v>
      </c>
      <c r="G218">
        <v>7.8520000000000003</v>
      </c>
      <c r="N218" s="8"/>
    </row>
    <row r="219" spans="1:14" x14ac:dyDescent="0.25">
      <c r="A219" s="8">
        <v>40732</v>
      </c>
      <c r="B219">
        <v>1853161.99</v>
      </c>
      <c r="C219">
        <v>0</v>
      </c>
      <c r="D219">
        <v>87.7</v>
      </c>
      <c r="E219">
        <v>3.48</v>
      </c>
      <c r="F219">
        <v>214.92962489999999</v>
      </c>
      <c r="G219">
        <v>7.8520000000000003</v>
      </c>
      <c r="N219" s="8"/>
    </row>
    <row r="220" spans="1:14" x14ac:dyDescent="0.25">
      <c r="A220" s="8">
        <v>40739</v>
      </c>
      <c r="B220">
        <v>1785187.29</v>
      </c>
      <c r="C220">
        <v>0</v>
      </c>
      <c r="D220">
        <v>89.83</v>
      </c>
      <c r="E220">
        <v>3.5750000000000002</v>
      </c>
      <c r="F220">
        <v>215.01344259999999</v>
      </c>
      <c r="G220">
        <v>7.8520000000000003</v>
      </c>
      <c r="N220" s="8"/>
    </row>
    <row r="221" spans="1:14" x14ac:dyDescent="0.25">
      <c r="A221" s="8">
        <v>40746</v>
      </c>
      <c r="B221">
        <v>1743816.41</v>
      </c>
      <c r="C221">
        <v>0</v>
      </c>
      <c r="D221">
        <v>89.34</v>
      </c>
      <c r="E221">
        <v>3.6509999999999998</v>
      </c>
      <c r="F221">
        <v>215.0749122</v>
      </c>
      <c r="G221">
        <v>7.8520000000000003</v>
      </c>
      <c r="N221" s="8"/>
    </row>
    <row r="222" spans="1:14" x14ac:dyDescent="0.25">
      <c r="A222" s="8">
        <v>40753</v>
      </c>
      <c r="B222">
        <v>1680693.06</v>
      </c>
      <c r="C222">
        <v>0</v>
      </c>
      <c r="D222">
        <v>90.07</v>
      </c>
      <c r="E222">
        <v>3.6819999999999999</v>
      </c>
      <c r="F222">
        <v>215.1363819</v>
      </c>
      <c r="G222">
        <v>7.8520000000000003</v>
      </c>
      <c r="N222" s="8"/>
    </row>
    <row r="223" spans="1:14" x14ac:dyDescent="0.25">
      <c r="A223" s="8">
        <v>40760</v>
      </c>
      <c r="B223">
        <v>1876704.26</v>
      </c>
      <c r="C223">
        <v>0</v>
      </c>
      <c r="D223">
        <v>93.34</v>
      </c>
      <c r="E223">
        <v>3.6840000000000002</v>
      </c>
      <c r="F223">
        <v>215.19785150000001</v>
      </c>
      <c r="G223">
        <v>7.8520000000000003</v>
      </c>
      <c r="N223" s="8"/>
    </row>
    <row r="224" spans="1:14" x14ac:dyDescent="0.25">
      <c r="A224" s="8">
        <v>40767</v>
      </c>
      <c r="B224">
        <v>1812768.26</v>
      </c>
      <c r="C224">
        <v>0</v>
      </c>
      <c r="D224">
        <v>91.58</v>
      </c>
      <c r="E224">
        <v>3.6379999999999999</v>
      </c>
      <c r="F224">
        <v>215.25932109999999</v>
      </c>
      <c r="G224">
        <v>7.8520000000000003</v>
      </c>
      <c r="N224" s="8"/>
    </row>
    <row r="225" spans="1:14" x14ac:dyDescent="0.25">
      <c r="A225" s="8">
        <v>40774</v>
      </c>
      <c r="B225">
        <v>1844094.59</v>
      </c>
      <c r="C225">
        <v>0</v>
      </c>
      <c r="D225">
        <v>89.86</v>
      </c>
      <c r="E225">
        <v>3.5539999999999998</v>
      </c>
      <c r="F225">
        <v>215.3229307</v>
      </c>
      <c r="G225">
        <v>7.8520000000000003</v>
      </c>
      <c r="N225" s="8"/>
    </row>
    <row r="226" spans="1:14" x14ac:dyDescent="0.25">
      <c r="A226" s="8">
        <v>40781</v>
      </c>
      <c r="B226">
        <v>1821139.91</v>
      </c>
      <c r="C226">
        <v>0</v>
      </c>
      <c r="D226">
        <v>90.45</v>
      </c>
      <c r="E226">
        <v>3.5230000000000001</v>
      </c>
      <c r="F226">
        <v>215.386897</v>
      </c>
      <c r="G226">
        <v>7.8520000000000003</v>
      </c>
      <c r="N226" s="8"/>
    </row>
    <row r="227" spans="1:14" x14ac:dyDescent="0.25">
      <c r="A227" s="8">
        <v>40788</v>
      </c>
      <c r="B227">
        <v>1809119.7</v>
      </c>
      <c r="C227">
        <v>0</v>
      </c>
      <c r="D227">
        <v>89.64</v>
      </c>
      <c r="E227">
        <v>3.5329999999999999</v>
      </c>
      <c r="F227">
        <v>215.45086319999999</v>
      </c>
      <c r="G227">
        <v>7.8520000000000003</v>
      </c>
      <c r="N227" s="8"/>
    </row>
    <row r="228" spans="1:14" x14ac:dyDescent="0.25">
      <c r="A228" s="8">
        <v>40795</v>
      </c>
      <c r="B228">
        <v>1748000.65</v>
      </c>
      <c r="C228">
        <v>1</v>
      </c>
      <c r="D228">
        <v>77.97</v>
      </c>
      <c r="E228">
        <v>3.5459999999999998</v>
      </c>
      <c r="F228">
        <v>215.51482949999999</v>
      </c>
      <c r="G228">
        <v>7.8520000000000003</v>
      </c>
      <c r="N228" s="8"/>
    </row>
    <row r="229" spans="1:14" x14ac:dyDescent="0.25">
      <c r="A229" s="8">
        <v>40802</v>
      </c>
      <c r="B229">
        <v>1691439.52</v>
      </c>
      <c r="C229">
        <v>0</v>
      </c>
      <c r="D229">
        <v>78.849999999999994</v>
      </c>
      <c r="E229">
        <v>3.5259999999999998</v>
      </c>
      <c r="F229">
        <v>215.6944378</v>
      </c>
      <c r="G229">
        <v>7.8520000000000003</v>
      </c>
      <c r="N229" s="8"/>
    </row>
    <row r="230" spans="1:14" x14ac:dyDescent="0.25">
      <c r="A230" s="8">
        <v>40809</v>
      </c>
      <c r="B230">
        <v>1669299.78</v>
      </c>
      <c r="C230">
        <v>0</v>
      </c>
      <c r="D230">
        <v>75.58</v>
      </c>
      <c r="E230">
        <v>3.4670000000000001</v>
      </c>
      <c r="F230">
        <v>216.02823559999999</v>
      </c>
      <c r="G230">
        <v>7.8520000000000003</v>
      </c>
      <c r="N230" s="8"/>
    </row>
    <row r="231" spans="1:14" x14ac:dyDescent="0.25">
      <c r="A231" s="8">
        <v>40816</v>
      </c>
      <c r="B231">
        <v>1650394.44</v>
      </c>
      <c r="C231">
        <v>0</v>
      </c>
      <c r="D231">
        <v>78.14</v>
      </c>
      <c r="E231">
        <v>3.355</v>
      </c>
      <c r="F231">
        <v>216.36203330000001</v>
      </c>
      <c r="G231">
        <v>7.8520000000000003</v>
      </c>
      <c r="N231" s="8"/>
    </row>
    <row r="232" spans="1:14" x14ac:dyDescent="0.25">
      <c r="A232" s="8">
        <v>40823</v>
      </c>
      <c r="B232">
        <v>1837553.43</v>
      </c>
      <c r="C232">
        <v>0</v>
      </c>
      <c r="D232">
        <v>69.92</v>
      </c>
      <c r="E232">
        <v>3.2850000000000001</v>
      </c>
      <c r="F232">
        <v>216.69583109999999</v>
      </c>
      <c r="G232">
        <v>7.4409999999999998</v>
      </c>
      <c r="N232" s="8"/>
    </row>
    <row r="233" spans="1:14" x14ac:dyDescent="0.25">
      <c r="A233" s="8">
        <v>40830</v>
      </c>
      <c r="B233">
        <v>1743882.19</v>
      </c>
      <c r="C233">
        <v>0</v>
      </c>
      <c r="D233">
        <v>71.67</v>
      </c>
      <c r="E233">
        <v>3.274</v>
      </c>
      <c r="F233">
        <v>217.0048261</v>
      </c>
      <c r="G233">
        <v>7.4409999999999998</v>
      </c>
      <c r="N233" s="8"/>
    </row>
    <row r="234" spans="1:14" x14ac:dyDescent="0.25">
      <c r="A234" s="8">
        <v>40837</v>
      </c>
      <c r="B234">
        <v>1834680.25</v>
      </c>
      <c r="C234">
        <v>0</v>
      </c>
      <c r="D234">
        <v>64.53</v>
      </c>
      <c r="E234">
        <v>3.3530000000000002</v>
      </c>
      <c r="F234">
        <v>217.1650042</v>
      </c>
      <c r="G234">
        <v>7.4409999999999998</v>
      </c>
      <c r="N234" s="8"/>
    </row>
    <row r="235" spans="1:14" x14ac:dyDescent="0.25">
      <c r="A235" s="8">
        <v>40844</v>
      </c>
      <c r="B235">
        <v>1769296.25</v>
      </c>
      <c r="C235">
        <v>0</v>
      </c>
      <c r="D235">
        <v>65.87</v>
      </c>
      <c r="E235">
        <v>3.3719999999999999</v>
      </c>
      <c r="F235">
        <v>217.32518239999999</v>
      </c>
      <c r="G235">
        <v>7.4409999999999998</v>
      </c>
      <c r="N235" s="8"/>
    </row>
    <row r="236" spans="1:14" x14ac:dyDescent="0.25">
      <c r="A236" s="8">
        <v>40851</v>
      </c>
      <c r="B236">
        <v>1959707.9</v>
      </c>
      <c r="C236">
        <v>0</v>
      </c>
      <c r="D236">
        <v>55.53</v>
      </c>
      <c r="E236">
        <v>3.3319999999999999</v>
      </c>
      <c r="F236">
        <v>217.48536050000001</v>
      </c>
      <c r="G236">
        <v>7.4409999999999998</v>
      </c>
      <c r="N236" s="8"/>
    </row>
    <row r="237" spans="1:14" x14ac:dyDescent="0.25">
      <c r="A237" s="8">
        <v>40858</v>
      </c>
      <c r="B237">
        <v>1920725.15</v>
      </c>
      <c r="C237">
        <v>0</v>
      </c>
      <c r="D237">
        <v>59.33</v>
      </c>
      <c r="E237">
        <v>3.2970000000000002</v>
      </c>
      <c r="F237">
        <v>217.6455387</v>
      </c>
      <c r="G237">
        <v>7.4409999999999998</v>
      </c>
      <c r="N237" s="8"/>
    </row>
    <row r="238" spans="1:14" x14ac:dyDescent="0.25">
      <c r="A238" s="8">
        <v>40865</v>
      </c>
      <c r="B238">
        <v>1902762.5</v>
      </c>
      <c r="C238">
        <v>0</v>
      </c>
      <c r="D238">
        <v>62.01</v>
      </c>
      <c r="E238">
        <v>3.3079999999999998</v>
      </c>
      <c r="F238">
        <v>217.8670218</v>
      </c>
      <c r="G238">
        <v>7.4409999999999998</v>
      </c>
      <c r="N238" s="8"/>
    </row>
    <row r="239" spans="1:14" x14ac:dyDescent="0.25">
      <c r="A239" s="8">
        <v>40872</v>
      </c>
      <c r="B239">
        <v>2614202.2999999998</v>
      </c>
      <c r="C239">
        <v>1</v>
      </c>
      <c r="D239">
        <v>56.36</v>
      </c>
      <c r="E239">
        <v>3.2360000000000002</v>
      </c>
      <c r="F239">
        <v>218.11302689999999</v>
      </c>
      <c r="G239">
        <v>7.4409999999999998</v>
      </c>
      <c r="N239" s="8"/>
    </row>
    <row r="240" spans="1:14" x14ac:dyDescent="0.25">
      <c r="A240" s="8">
        <v>40879</v>
      </c>
      <c r="B240">
        <v>1954952</v>
      </c>
      <c r="C240">
        <v>0</v>
      </c>
      <c r="D240">
        <v>48.74</v>
      </c>
      <c r="E240">
        <v>3.1720000000000002</v>
      </c>
      <c r="F240">
        <v>218.35903189999999</v>
      </c>
      <c r="G240">
        <v>7.4409999999999998</v>
      </c>
      <c r="N240" s="8"/>
    </row>
    <row r="241" spans="1:14" x14ac:dyDescent="0.25">
      <c r="A241" s="8">
        <v>40886</v>
      </c>
      <c r="B241">
        <v>2290549.3199999998</v>
      </c>
      <c r="C241">
        <v>0</v>
      </c>
      <c r="D241">
        <v>41.76</v>
      </c>
      <c r="E241">
        <v>3.1579999999999999</v>
      </c>
      <c r="F241">
        <v>218.60503700000001</v>
      </c>
      <c r="G241">
        <v>7.4409999999999998</v>
      </c>
      <c r="N241" s="8"/>
    </row>
    <row r="242" spans="1:14" x14ac:dyDescent="0.25">
      <c r="A242" s="8">
        <v>40893</v>
      </c>
      <c r="B242">
        <v>2432736.52</v>
      </c>
      <c r="C242">
        <v>0</v>
      </c>
      <c r="D242">
        <v>50.13</v>
      </c>
      <c r="E242">
        <v>3.1589999999999998</v>
      </c>
      <c r="F242">
        <v>218.8217928</v>
      </c>
      <c r="G242">
        <v>7.4409999999999998</v>
      </c>
      <c r="N242" s="8"/>
    </row>
    <row r="243" spans="1:14" x14ac:dyDescent="0.25">
      <c r="A243" s="8">
        <v>40900</v>
      </c>
      <c r="B243">
        <v>3224369.8</v>
      </c>
      <c r="C243">
        <v>0</v>
      </c>
      <c r="D243">
        <v>46.66</v>
      </c>
      <c r="E243">
        <v>3.1120000000000001</v>
      </c>
      <c r="F243">
        <v>218.9995495</v>
      </c>
      <c r="G243">
        <v>7.4409999999999998</v>
      </c>
      <c r="N243" s="8"/>
    </row>
    <row r="244" spans="1:14" x14ac:dyDescent="0.25">
      <c r="A244" s="8">
        <v>40907</v>
      </c>
      <c r="B244">
        <v>1874226.52</v>
      </c>
      <c r="C244">
        <v>1</v>
      </c>
      <c r="D244">
        <v>44.57</v>
      </c>
      <c r="E244">
        <v>3.129</v>
      </c>
      <c r="F244">
        <v>219.1773063</v>
      </c>
      <c r="G244">
        <v>7.4409999999999998</v>
      </c>
      <c r="N244" s="8"/>
    </row>
    <row r="245" spans="1:14" x14ac:dyDescent="0.25">
      <c r="A245" s="8">
        <v>40914</v>
      </c>
      <c r="B245">
        <v>1799520.14</v>
      </c>
      <c r="C245">
        <v>0</v>
      </c>
      <c r="D245">
        <v>46.75</v>
      </c>
      <c r="E245">
        <v>3.157</v>
      </c>
      <c r="F245">
        <v>219.355063</v>
      </c>
      <c r="G245">
        <v>7.0570000000000004</v>
      </c>
      <c r="N245" s="8"/>
    </row>
    <row r="246" spans="1:14" x14ac:dyDescent="0.25">
      <c r="A246" s="8">
        <v>40921</v>
      </c>
      <c r="B246">
        <v>1744725.48</v>
      </c>
      <c r="C246">
        <v>0</v>
      </c>
      <c r="D246">
        <v>45.99</v>
      </c>
      <c r="E246">
        <v>3.2610000000000001</v>
      </c>
      <c r="F246">
        <v>219.5328198</v>
      </c>
      <c r="G246">
        <v>7.0570000000000004</v>
      </c>
      <c r="N246" s="8"/>
    </row>
    <row r="247" spans="1:14" x14ac:dyDescent="0.25">
      <c r="A247" s="8">
        <v>40928</v>
      </c>
      <c r="B247">
        <v>1711769.11</v>
      </c>
      <c r="C247">
        <v>0</v>
      </c>
      <c r="D247">
        <v>51.7</v>
      </c>
      <c r="E247">
        <v>3.2679999999999998</v>
      </c>
      <c r="F247">
        <v>219.6258417</v>
      </c>
      <c r="G247">
        <v>7.0570000000000004</v>
      </c>
      <c r="N247" s="8"/>
    </row>
    <row r="248" spans="1:14" x14ac:dyDescent="0.25">
      <c r="A248" s="8">
        <v>40935</v>
      </c>
      <c r="B248">
        <v>1660906.14</v>
      </c>
      <c r="C248">
        <v>0</v>
      </c>
      <c r="D248">
        <v>50.5</v>
      </c>
      <c r="E248">
        <v>3.29</v>
      </c>
      <c r="F248">
        <v>219.71886359999999</v>
      </c>
      <c r="G248">
        <v>7.0570000000000004</v>
      </c>
      <c r="N248" s="8"/>
    </row>
    <row r="249" spans="1:14" x14ac:dyDescent="0.25">
      <c r="A249" s="8">
        <v>40942</v>
      </c>
      <c r="B249">
        <v>1935299.94</v>
      </c>
      <c r="C249">
        <v>0</v>
      </c>
      <c r="D249">
        <v>55.21</v>
      </c>
      <c r="E249">
        <v>3.36</v>
      </c>
      <c r="F249">
        <v>219.81188539999999</v>
      </c>
      <c r="G249">
        <v>7.0570000000000004</v>
      </c>
      <c r="N249" s="8"/>
    </row>
    <row r="250" spans="1:14" x14ac:dyDescent="0.25">
      <c r="A250" s="8">
        <v>40949</v>
      </c>
      <c r="B250">
        <v>2103322.6800000002</v>
      </c>
      <c r="C250">
        <v>1</v>
      </c>
      <c r="D250">
        <v>46.98</v>
      </c>
      <c r="E250">
        <v>3.4089999999999998</v>
      </c>
      <c r="F250">
        <v>219.90490729999999</v>
      </c>
      <c r="G250">
        <v>7.0570000000000004</v>
      </c>
      <c r="N250" s="8"/>
    </row>
    <row r="251" spans="1:14" x14ac:dyDescent="0.25">
      <c r="A251" s="8">
        <v>40956</v>
      </c>
      <c r="B251">
        <v>2196688.46</v>
      </c>
      <c r="C251">
        <v>0</v>
      </c>
      <c r="D251">
        <v>43.82</v>
      </c>
      <c r="E251">
        <v>3.51</v>
      </c>
      <c r="F251">
        <v>220.06519929999999</v>
      </c>
      <c r="G251">
        <v>7.0570000000000004</v>
      </c>
      <c r="N251" s="8"/>
    </row>
    <row r="252" spans="1:14" x14ac:dyDescent="0.25">
      <c r="A252" s="8">
        <v>40963</v>
      </c>
      <c r="B252">
        <v>1861802.7</v>
      </c>
      <c r="C252">
        <v>0</v>
      </c>
      <c r="D252">
        <v>54.63</v>
      </c>
      <c r="E252">
        <v>3.5550000000000002</v>
      </c>
      <c r="F252">
        <v>220.27594400000001</v>
      </c>
      <c r="G252">
        <v>7.0570000000000004</v>
      </c>
      <c r="N252" s="8"/>
    </row>
    <row r="253" spans="1:14" x14ac:dyDescent="0.25">
      <c r="A253" s="8">
        <v>40970</v>
      </c>
      <c r="B253">
        <v>1952555.66</v>
      </c>
      <c r="C253">
        <v>0</v>
      </c>
      <c r="D253">
        <v>58.79</v>
      </c>
      <c r="E253">
        <v>3.63</v>
      </c>
      <c r="F253">
        <v>220.48668860000001</v>
      </c>
      <c r="G253">
        <v>7.0570000000000004</v>
      </c>
      <c r="N253" s="8"/>
    </row>
    <row r="254" spans="1:14" x14ac:dyDescent="0.25">
      <c r="A254" s="8">
        <v>40977</v>
      </c>
      <c r="B254">
        <v>1937628.26</v>
      </c>
      <c r="C254">
        <v>0</v>
      </c>
      <c r="D254">
        <v>57.11</v>
      </c>
      <c r="E254">
        <v>3.669</v>
      </c>
      <c r="F254">
        <v>220.69743320000001</v>
      </c>
      <c r="G254">
        <v>7.0570000000000004</v>
      </c>
      <c r="N254" s="8"/>
    </row>
    <row r="255" spans="1:14" x14ac:dyDescent="0.25">
      <c r="A255" s="8">
        <v>40984</v>
      </c>
      <c r="B255">
        <v>1976082.13</v>
      </c>
      <c r="C255">
        <v>0</v>
      </c>
      <c r="D255">
        <v>63.68</v>
      </c>
      <c r="E255">
        <v>3.734</v>
      </c>
      <c r="F255">
        <v>220.84984679999999</v>
      </c>
      <c r="G255">
        <v>7.0570000000000004</v>
      </c>
      <c r="N255" s="8"/>
    </row>
    <row r="256" spans="1:14" x14ac:dyDescent="0.25">
      <c r="A256" s="8">
        <v>40991</v>
      </c>
      <c r="B256">
        <v>1790439.16</v>
      </c>
      <c r="C256">
        <v>0</v>
      </c>
      <c r="D256">
        <v>64.010000000000005</v>
      </c>
      <c r="E256">
        <v>3.7869999999999999</v>
      </c>
      <c r="F256">
        <v>220.92448580000001</v>
      </c>
      <c r="G256">
        <v>7.0570000000000004</v>
      </c>
      <c r="N256" s="8"/>
    </row>
    <row r="257" spans="1:14" x14ac:dyDescent="0.25">
      <c r="A257" s="8">
        <v>40998</v>
      </c>
      <c r="B257">
        <v>1857480.84</v>
      </c>
      <c r="C257">
        <v>0</v>
      </c>
      <c r="D257">
        <v>66.83</v>
      </c>
      <c r="E257">
        <v>3.8450000000000002</v>
      </c>
      <c r="F257">
        <v>220.9991248</v>
      </c>
      <c r="G257">
        <v>7.0570000000000004</v>
      </c>
      <c r="N257" s="8"/>
    </row>
    <row r="258" spans="1:14" x14ac:dyDescent="0.25">
      <c r="A258" s="8">
        <v>41005</v>
      </c>
      <c r="B258">
        <v>2129035.91</v>
      </c>
      <c r="C258">
        <v>0</v>
      </c>
      <c r="D258">
        <v>68.430000000000007</v>
      </c>
      <c r="E258">
        <v>3.891</v>
      </c>
      <c r="F258">
        <v>221.07376379999999</v>
      </c>
      <c r="G258">
        <v>6.891</v>
      </c>
      <c r="N258" s="8"/>
    </row>
    <row r="259" spans="1:14" x14ac:dyDescent="0.25">
      <c r="A259" s="8">
        <v>41012</v>
      </c>
      <c r="B259">
        <v>1935869.1</v>
      </c>
      <c r="C259">
        <v>0</v>
      </c>
      <c r="D259">
        <v>68.08</v>
      </c>
      <c r="E259">
        <v>3.891</v>
      </c>
      <c r="F259">
        <v>221.14840280000001</v>
      </c>
      <c r="G259">
        <v>6.891</v>
      </c>
      <c r="N259" s="8"/>
    </row>
    <row r="260" spans="1:14" x14ac:dyDescent="0.25">
      <c r="A260" s="8">
        <v>41019</v>
      </c>
      <c r="B260">
        <v>1847344.45</v>
      </c>
      <c r="C260">
        <v>0</v>
      </c>
      <c r="D260">
        <v>65.69</v>
      </c>
      <c r="E260">
        <v>3.8769999999999998</v>
      </c>
      <c r="F260">
        <v>221.20210739999999</v>
      </c>
      <c r="G260">
        <v>6.891</v>
      </c>
      <c r="N260" s="8"/>
    </row>
    <row r="261" spans="1:14" x14ac:dyDescent="0.25">
      <c r="A261" s="8">
        <v>41026</v>
      </c>
      <c r="B261">
        <v>1764133.09</v>
      </c>
      <c r="C261">
        <v>0</v>
      </c>
      <c r="D261">
        <v>67.2</v>
      </c>
      <c r="E261">
        <v>3.8140000000000001</v>
      </c>
      <c r="F261">
        <v>221.25581199999999</v>
      </c>
      <c r="G261">
        <v>6.891</v>
      </c>
      <c r="N261" s="8"/>
    </row>
    <row r="262" spans="1:14" x14ac:dyDescent="0.25">
      <c r="A262" s="8">
        <v>41033</v>
      </c>
      <c r="B262">
        <v>1923957.09</v>
      </c>
      <c r="C262">
        <v>0</v>
      </c>
      <c r="D262">
        <v>76.73</v>
      </c>
      <c r="E262">
        <v>3.7490000000000001</v>
      </c>
      <c r="F262">
        <v>221.30951659999999</v>
      </c>
      <c r="G262">
        <v>6.891</v>
      </c>
      <c r="N262" s="8"/>
    </row>
    <row r="263" spans="1:14" x14ac:dyDescent="0.25">
      <c r="A263" s="8">
        <v>41040</v>
      </c>
      <c r="B263">
        <v>1917520.99</v>
      </c>
      <c r="C263">
        <v>0</v>
      </c>
      <c r="D263">
        <v>73.87</v>
      </c>
      <c r="E263">
        <v>3.6880000000000002</v>
      </c>
      <c r="F263">
        <v>221.3632212</v>
      </c>
      <c r="G263">
        <v>6.891</v>
      </c>
      <c r="N263" s="8"/>
    </row>
    <row r="264" spans="1:14" x14ac:dyDescent="0.25">
      <c r="A264" s="8">
        <v>41047</v>
      </c>
      <c r="B264">
        <v>2000940.67</v>
      </c>
      <c r="C264">
        <v>0</v>
      </c>
      <c r="D264">
        <v>71.27</v>
      </c>
      <c r="E264">
        <v>3.63</v>
      </c>
      <c r="F264">
        <v>221.38033100000001</v>
      </c>
      <c r="G264">
        <v>6.891</v>
      </c>
      <c r="N264" s="8"/>
    </row>
    <row r="265" spans="1:14" x14ac:dyDescent="0.25">
      <c r="A265" s="8">
        <v>41054</v>
      </c>
      <c r="B265">
        <v>1912791.09</v>
      </c>
      <c r="C265">
        <v>0</v>
      </c>
      <c r="D265">
        <v>78.19</v>
      </c>
      <c r="E265">
        <v>3.5609999999999999</v>
      </c>
      <c r="F265">
        <v>221.3828029</v>
      </c>
      <c r="G265">
        <v>6.891</v>
      </c>
      <c r="N265" s="8"/>
    </row>
    <row r="266" spans="1:14" x14ac:dyDescent="0.25">
      <c r="A266" s="8">
        <v>41061</v>
      </c>
      <c r="B266">
        <v>1910092.37</v>
      </c>
      <c r="C266">
        <v>0</v>
      </c>
      <c r="D266">
        <v>78.38</v>
      </c>
      <c r="E266">
        <v>3.5009999999999999</v>
      </c>
      <c r="F266">
        <v>221.38527479999999</v>
      </c>
      <c r="G266">
        <v>6.891</v>
      </c>
      <c r="N266" s="8"/>
    </row>
    <row r="267" spans="1:14" x14ac:dyDescent="0.25">
      <c r="A267" s="8">
        <v>41068</v>
      </c>
      <c r="B267">
        <v>2010216.49</v>
      </c>
      <c r="C267">
        <v>0</v>
      </c>
      <c r="D267">
        <v>78.69</v>
      </c>
      <c r="E267">
        <v>3.452</v>
      </c>
      <c r="F267">
        <v>221.38774670000001</v>
      </c>
      <c r="G267">
        <v>6.891</v>
      </c>
      <c r="N267" s="8"/>
    </row>
    <row r="268" spans="1:14" x14ac:dyDescent="0.25">
      <c r="A268" s="8">
        <v>41075</v>
      </c>
      <c r="B268">
        <v>1962924.3</v>
      </c>
      <c r="C268">
        <v>0</v>
      </c>
      <c r="D268">
        <v>80.56</v>
      </c>
      <c r="E268">
        <v>3.3929999999999998</v>
      </c>
      <c r="F268">
        <v>221.4009901</v>
      </c>
      <c r="G268">
        <v>6.891</v>
      </c>
      <c r="N268" s="8"/>
    </row>
    <row r="269" spans="1:14" x14ac:dyDescent="0.25">
      <c r="A269" s="8">
        <v>41082</v>
      </c>
      <c r="B269">
        <v>1887733.21</v>
      </c>
      <c r="C269">
        <v>0</v>
      </c>
      <c r="D269">
        <v>81.040000000000006</v>
      </c>
      <c r="E269">
        <v>3.3460000000000001</v>
      </c>
      <c r="F269">
        <v>221.44116220000001</v>
      </c>
      <c r="G269">
        <v>6.891</v>
      </c>
      <c r="N269" s="8"/>
    </row>
    <row r="270" spans="1:14" x14ac:dyDescent="0.25">
      <c r="A270" s="8">
        <v>41089</v>
      </c>
      <c r="B270">
        <v>1881046.12</v>
      </c>
      <c r="C270">
        <v>0</v>
      </c>
      <c r="D270">
        <v>86.32</v>
      </c>
      <c r="E270">
        <v>3.286</v>
      </c>
      <c r="F270">
        <v>221.48133429999999</v>
      </c>
      <c r="G270">
        <v>6.891</v>
      </c>
      <c r="N270" s="8"/>
    </row>
    <row r="271" spans="1:14" x14ac:dyDescent="0.25">
      <c r="A271" s="8">
        <v>41096</v>
      </c>
      <c r="B271">
        <v>2041507.4</v>
      </c>
      <c r="C271">
        <v>0</v>
      </c>
      <c r="D271">
        <v>84.2</v>
      </c>
      <c r="E271">
        <v>3.2269999999999999</v>
      </c>
      <c r="F271">
        <v>221.52150639999999</v>
      </c>
      <c r="G271">
        <v>6.5650000000000004</v>
      </c>
      <c r="N271" s="8"/>
    </row>
    <row r="272" spans="1:14" x14ac:dyDescent="0.25">
      <c r="A272" s="8">
        <v>41103</v>
      </c>
      <c r="B272">
        <v>1830075.13</v>
      </c>
      <c r="C272">
        <v>0</v>
      </c>
      <c r="D272">
        <v>80.17</v>
      </c>
      <c r="E272">
        <v>3.2559999999999998</v>
      </c>
      <c r="F272">
        <v>221.56167840000001</v>
      </c>
      <c r="G272">
        <v>6.5650000000000004</v>
      </c>
      <c r="N272" s="8"/>
    </row>
    <row r="273" spans="1:14" x14ac:dyDescent="0.25">
      <c r="A273" s="8">
        <v>41110</v>
      </c>
      <c r="B273">
        <v>1819666.46</v>
      </c>
      <c r="C273">
        <v>0</v>
      </c>
      <c r="D273">
        <v>83.23</v>
      </c>
      <c r="E273">
        <v>3.3109999999999999</v>
      </c>
      <c r="F273">
        <v>221.57011230000001</v>
      </c>
      <c r="G273">
        <v>6.5650000000000004</v>
      </c>
      <c r="N273" s="8"/>
    </row>
    <row r="274" spans="1:14" x14ac:dyDescent="0.25">
      <c r="A274" s="8">
        <v>41117</v>
      </c>
      <c r="B274">
        <v>1757923.88</v>
      </c>
      <c r="C274">
        <v>0</v>
      </c>
      <c r="D274">
        <v>86.37</v>
      </c>
      <c r="E274">
        <v>3.407</v>
      </c>
      <c r="F274">
        <v>221.57854610000001</v>
      </c>
      <c r="G274">
        <v>6.5650000000000004</v>
      </c>
      <c r="N274" s="8"/>
    </row>
    <row r="275" spans="1:14" x14ac:dyDescent="0.25">
      <c r="A275" s="8">
        <v>41124</v>
      </c>
      <c r="B275">
        <v>1946104.64</v>
      </c>
      <c r="C275">
        <v>0</v>
      </c>
      <c r="D275">
        <v>90.22</v>
      </c>
      <c r="E275">
        <v>3.4169999999999998</v>
      </c>
      <c r="F275">
        <v>221.58697989999999</v>
      </c>
      <c r="G275">
        <v>6.5650000000000004</v>
      </c>
      <c r="N275" s="8"/>
    </row>
    <row r="276" spans="1:14" x14ac:dyDescent="0.25">
      <c r="A276" s="8">
        <v>41131</v>
      </c>
      <c r="B276">
        <v>1866719.96</v>
      </c>
      <c r="C276">
        <v>0</v>
      </c>
      <c r="D276">
        <v>88.55</v>
      </c>
      <c r="E276">
        <v>3.4940000000000002</v>
      </c>
      <c r="F276">
        <v>221.59541379999999</v>
      </c>
      <c r="G276">
        <v>6.5650000000000004</v>
      </c>
      <c r="N276" s="8"/>
    </row>
    <row r="277" spans="1:14" x14ac:dyDescent="0.25">
      <c r="A277" s="8">
        <v>41138</v>
      </c>
      <c r="B277">
        <v>1928016.01</v>
      </c>
      <c r="C277">
        <v>0</v>
      </c>
      <c r="D277">
        <v>84.79</v>
      </c>
      <c r="E277">
        <v>3.5710000000000002</v>
      </c>
      <c r="F277">
        <v>221.67514589999999</v>
      </c>
      <c r="G277">
        <v>6.5650000000000004</v>
      </c>
      <c r="N277" s="8"/>
    </row>
    <row r="278" spans="1:14" x14ac:dyDescent="0.25">
      <c r="A278" s="8">
        <v>41145</v>
      </c>
      <c r="B278">
        <v>1876788.15</v>
      </c>
      <c r="C278">
        <v>0</v>
      </c>
      <c r="D278">
        <v>76.91</v>
      </c>
      <c r="E278">
        <v>3.62</v>
      </c>
      <c r="F278">
        <v>221.8083518</v>
      </c>
      <c r="G278">
        <v>6.5650000000000004</v>
      </c>
      <c r="N278" s="8"/>
    </row>
    <row r="279" spans="1:14" x14ac:dyDescent="0.25">
      <c r="A279" s="8">
        <v>41152</v>
      </c>
      <c r="B279">
        <v>1947083.3</v>
      </c>
      <c r="C279">
        <v>0</v>
      </c>
      <c r="D279">
        <v>82.64</v>
      </c>
      <c r="E279">
        <v>3.6379999999999999</v>
      </c>
      <c r="F279">
        <v>221.94155760000001</v>
      </c>
      <c r="G279">
        <v>6.5650000000000004</v>
      </c>
      <c r="N279" s="8"/>
    </row>
    <row r="280" spans="1:14" x14ac:dyDescent="0.25">
      <c r="A280" s="8">
        <v>41159</v>
      </c>
      <c r="B280">
        <v>1898777.07</v>
      </c>
      <c r="C280">
        <v>1</v>
      </c>
      <c r="D280">
        <v>87.65</v>
      </c>
      <c r="E280">
        <v>3.73</v>
      </c>
      <c r="F280">
        <v>222.07476349999999</v>
      </c>
      <c r="G280">
        <v>6.5650000000000004</v>
      </c>
      <c r="N280" s="8"/>
    </row>
    <row r="281" spans="1:14" x14ac:dyDescent="0.25">
      <c r="A281" s="8">
        <v>41166</v>
      </c>
      <c r="B281">
        <v>1814806.63</v>
      </c>
      <c r="C281">
        <v>0</v>
      </c>
      <c r="D281">
        <v>75.88</v>
      </c>
      <c r="E281">
        <v>3.7170000000000001</v>
      </c>
      <c r="F281">
        <v>222.21743950000001</v>
      </c>
      <c r="G281">
        <v>6.5650000000000004</v>
      </c>
      <c r="N281" s="8"/>
    </row>
    <row r="282" spans="1:14" x14ac:dyDescent="0.25">
      <c r="A282" s="8">
        <v>41173</v>
      </c>
      <c r="B282">
        <v>1829415.67</v>
      </c>
      <c r="C282">
        <v>0</v>
      </c>
      <c r="D282">
        <v>71.09</v>
      </c>
      <c r="E282">
        <v>3.7210000000000001</v>
      </c>
      <c r="F282">
        <v>222.41693620000001</v>
      </c>
      <c r="G282">
        <v>6.5650000000000004</v>
      </c>
      <c r="N282" s="8"/>
    </row>
    <row r="283" spans="1:14" x14ac:dyDescent="0.25">
      <c r="A283" s="8">
        <v>41180</v>
      </c>
      <c r="B283">
        <v>1746470.56</v>
      </c>
      <c r="C283">
        <v>0</v>
      </c>
      <c r="D283">
        <v>79.45</v>
      </c>
      <c r="E283">
        <v>3.6659999999999999</v>
      </c>
      <c r="F283">
        <v>222.61643290000001</v>
      </c>
      <c r="G283">
        <v>6.5650000000000004</v>
      </c>
      <c r="N283" s="8"/>
    </row>
    <row r="284" spans="1:14" x14ac:dyDescent="0.25">
      <c r="A284" s="8">
        <v>41187</v>
      </c>
      <c r="B284">
        <v>1998321.04</v>
      </c>
      <c r="C284">
        <v>0</v>
      </c>
      <c r="D284">
        <v>70.27</v>
      </c>
      <c r="E284">
        <v>3.617</v>
      </c>
      <c r="F284">
        <v>222.8159296</v>
      </c>
      <c r="G284">
        <v>6.17</v>
      </c>
      <c r="N284" s="8"/>
    </row>
    <row r="285" spans="1:14" x14ac:dyDescent="0.25">
      <c r="A285" s="8">
        <v>41194</v>
      </c>
      <c r="B285">
        <v>1900745.13</v>
      </c>
      <c r="C285">
        <v>0</v>
      </c>
      <c r="D285">
        <v>60.97</v>
      </c>
      <c r="E285">
        <v>3.601</v>
      </c>
      <c r="F285">
        <v>223.0154263</v>
      </c>
      <c r="G285">
        <v>6.17</v>
      </c>
      <c r="N285" s="8"/>
    </row>
    <row r="286" spans="1:14" x14ac:dyDescent="0.25">
      <c r="A286" s="8">
        <v>41201</v>
      </c>
      <c r="B286">
        <v>1847990.41</v>
      </c>
      <c r="C286">
        <v>0</v>
      </c>
      <c r="D286">
        <v>68.08</v>
      </c>
      <c r="E286">
        <v>3.5939999999999999</v>
      </c>
      <c r="F286">
        <v>223.05980769999999</v>
      </c>
      <c r="G286">
        <v>6.17</v>
      </c>
      <c r="N286" s="8"/>
    </row>
    <row r="287" spans="1:14" x14ac:dyDescent="0.25">
      <c r="A287" s="8">
        <v>41208</v>
      </c>
      <c r="B287">
        <v>1834458.35</v>
      </c>
      <c r="C287">
        <v>0</v>
      </c>
      <c r="D287">
        <v>69.790000000000006</v>
      </c>
      <c r="E287">
        <v>3.5059999999999998</v>
      </c>
      <c r="F287">
        <v>223.0783366</v>
      </c>
      <c r="G287">
        <v>6.17</v>
      </c>
      <c r="N287" s="8"/>
    </row>
    <row r="288" spans="1:14" x14ac:dyDescent="0.25">
      <c r="A288" s="8">
        <v>40214</v>
      </c>
      <c r="B288">
        <v>461622.22</v>
      </c>
      <c r="C288">
        <v>0</v>
      </c>
      <c r="D288">
        <v>45.71</v>
      </c>
      <c r="E288">
        <v>2.5720000000000001</v>
      </c>
      <c r="F288">
        <v>214.42488119999999</v>
      </c>
      <c r="G288">
        <v>7.3680000000000003</v>
      </c>
      <c r="N288" s="8"/>
    </row>
    <row r="289" spans="1:14" x14ac:dyDescent="0.25">
      <c r="A289" s="8">
        <v>40221</v>
      </c>
      <c r="B289">
        <v>420728.96</v>
      </c>
      <c r="C289">
        <v>1</v>
      </c>
      <c r="D289">
        <v>47.93</v>
      </c>
      <c r="E289">
        <v>2.548</v>
      </c>
      <c r="F289">
        <v>214.5747916</v>
      </c>
      <c r="G289">
        <v>7.3680000000000003</v>
      </c>
      <c r="N289" s="8"/>
    </row>
    <row r="290" spans="1:14" x14ac:dyDescent="0.25">
      <c r="A290" s="8">
        <v>40228</v>
      </c>
      <c r="B290">
        <v>421642.19</v>
      </c>
      <c r="C290">
        <v>0</v>
      </c>
      <c r="D290">
        <v>47.07</v>
      </c>
      <c r="E290">
        <v>2.5139999999999998</v>
      </c>
      <c r="F290">
        <v>214.61988679999999</v>
      </c>
      <c r="G290">
        <v>7.3680000000000003</v>
      </c>
      <c r="N290" s="8"/>
    </row>
    <row r="291" spans="1:14" x14ac:dyDescent="0.25">
      <c r="A291" s="8">
        <v>40235</v>
      </c>
      <c r="B291">
        <v>407204.86</v>
      </c>
      <c r="C291">
        <v>0</v>
      </c>
      <c r="D291">
        <v>52.05</v>
      </c>
      <c r="E291">
        <v>2.5609999999999999</v>
      </c>
      <c r="F291">
        <v>214.64751269999999</v>
      </c>
      <c r="G291">
        <v>7.3680000000000003</v>
      </c>
      <c r="N291" s="8"/>
    </row>
    <row r="292" spans="1:14" x14ac:dyDescent="0.25">
      <c r="A292" s="8">
        <v>40242</v>
      </c>
      <c r="B292">
        <v>415202.04</v>
      </c>
      <c r="C292">
        <v>0</v>
      </c>
      <c r="D292">
        <v>53.04</v>
      </c>
      <c r="E292">
        <v>2.625</v>
      </c>
      <c r="F292">
        <v>214.6751386</v>
      </c>
      <c r="G292">
        <v>7.3680000000000003</v>
      </c>
      <c r="N292" s="8"/>
    </row>
    <row r="293" spans="1:14" x14ac:dyDescent="0.25">
      <c r="A293" s="8">
        <v>40249</v>
      </c>
      <c r="B293">
        <v>384200.69</v>
      </c>
      <c r="C293">
        <v>0</v>
      </c>
      <c r="D293">
        <v>63.08</v>
      </c>
      <c r="E293">
        <v>2.6669999999999998</v>
      </c>
      <c r="F293">
        <v>214.70276459999999</v>
      </c>
      <c r="G293">
        <v>7.3680000000000003</v>
      </c>
      <c r="N293" s="8"/>
    </row>
    <row r="294" spans="1:14" x14ac:dyDescent="0.25">
      <c r="A294" s="8">
        <v>40256</v>
      </c>
      <c r="B294">
        <v>375328.59</v>
      </c>
      <c r="C294">
        <v>0</v>
      </c>
      <c r="D294">
        <v>60.42</v>
      </c>
      <c r="E294">
        <v>2.72</v>
      </c>
      <c r="F294">
        <v>214.53012190000001</v>
      </c>
      <c r="G294">
        <v>7.3680000000000003</v>
      </c>
      <c r="N294" s="8"/>
    </row>
    <row r="295" spans="1:14" x14ac:dyDescent="0.25">
      <c r="A295" s="8">
        <v>40263</v>
      </c>
      <c r="B295">
        <v>359949.27</v>
      </c>
      <c r="C295">
        <v>0</v>
      </c>
      <c r="D295">
        <v>57.06</v>
      </c>
      <c r="E295">
        <v>2.7320000000000002</v>
      </c>
      <c r="F295">
        <v>214.32410110000001</v>
      </c>
      <c r="G295">
        <v>7.3680000000000003</v>
      </c>
      <c r="N295" s="8"/>
    </row>
    <row r="296" spans="1:14" x14ac:dyDescent="0.25">
      <c r="A296" s="8">
        <v>40270</v>
      </c>
      <c r="B296">
        <v>423294.4</v>
      </c>
      <c r="C296">
        <v>0</v>
      </c>
      <c r="D296">
        <v>65.56</v>
      </c>
      <c r="E296">
        <v>2.7189999999999999</v>
      </c>
      <c r="F296">
        <v>214.1180803</v>
      </c>
      <c r="G296">
        <v>7.343</v>
      </c>
      <c r="N296" s="8"/>
    </row>
    <row r="297" spans="1:14" x14ac:dyDescent="0.25">
      <c r="A297" s="8">
        <v>40277</v>
      </c>
      <c r="B297">
        <v>415870.28</v>
      </c>
      <c r="C297">
        <v>0</v>
      </c>
      <c r="D297">
        <v>68</v>
      </c>
      <c r="E297">
        <v>2.77</v>
      </c>
      <c r="F297">
        <v>213.9120595</v>
      </c>
      <c r="G297">
        <v>7.343</v>
      </c>
      <c r="N297" s="8"/>
    </row>
    <row r="298" spans="1:14" x14ac:dyDescent="0.25">
      <c r="A298" s="8">
        <v>40284</v>
      </c>
      <c r="B298">
        <v>354993.26</v>
      </c>
      <c r="C298">
        <v>0</v>
      </c>
      <c r="D298">
        <v>66.98</v>
      </c>
      <c r="E298">
        <v>2.8079999999999998</v>
      </c>
      <c r="F298">
        <v>213.77268889999999</v>
      </c>
      <c r="G298">
        <v>7.343</v>
      </c>
      <c r="N298" s="8"/>
    </row>
    <row r="299" spans="1:14" x14ac:dyDescent="0.25">
      <c r="A299" s="8">
        <v>40291</v>
      </c>
      <c r="B299">
        <v>339976.65</v>
      </c>
      <c r="C299">
        <v>0</v>
      </c>
      <c r="D299">
        <v>67.87</v>
      </c>
      <c r="E299">
        <v>2.7949999999999999</v>
      </c>
      <c r="F299">
        <v>213.72218520000001</v>
      </c>
      <c r="G299">
        <v>7.343</v>
      </c>
      <c r="N299" s="8"/>
    </row>
    <row r="300" spans="1:14" x14ac:dyDescent="0.25">
      <c r="A300" s="8">
        <v>40298</v>
      </c>
      <c r="B300">
        <v>361248.39</v>
      </c>
      <c r="C300">
        <v>0</v>
      </c>
      <c r="D300">
        <v>70.239999999999995</v>
      </c>
      <c r="E300">
        <v>2.78</v>
      </c>
      <c r="F300">
        <v>213.67168150000001</v>
      </c>
      <c r="G300">
        <v>7.343</v>
      </c>
      <c r="N300" s="8"/>
    </row>
    <row r="301" spans="1:14" x14ac:dyDescent="0.25">
      <c r="A301" s="8">
        <v>40305</v>
      </c>
      <c r="B301">
        <v>399323.86</v>
      </c>
      <c r="C301">
        <v>0</v>
      </c>
      <c r="D301">
        <v>73.47</v>
      </c>
      <c r="E301">
        <v>2.835</v>
      </c>
      <c r="F301">
        <v>213.6211778</v>
      </c>
      <c r="G301">
        <v>7.343</v>
      </c>
      <c r="N301" s="8"/>
    </row>
    <row r="302" spans="1:14" x14ac:dyDescent="0.25">
      <c r="A302" s="8">
        <v>40312</v>
      </c>
      <c r="B302">
        <v>384357.94</v>
      </c>
      <c r="C302">
        <v>0</v>
      </c>
      <c r="D302">
        <v>77.180000000000007</v>
      </c>
      <c r="E302">
        <v>2.8540000000000001</v>
      </c>
      <c r="F302">
        <v>213.61961389999999</v>
      </c>
      <c r="G302">
        <v>7.343</v>
      </c>
      <c r="N302" s="8"/>
    </row>
    <row r="303" spans="1:14" x14ac:dyDescent="0.25">
      <c r="A303" s="8">
        <v>40319</v>
      </c>
      <c r="B303">
        <v>343763.17</v>
      </c>
      <c r="C303">
        <v>0</v>
      </c>
      <c r="D303">
        <v>75.81</v>
      </c>
      <c r="E303">
        <v>2.8260000000000001</v>
      </c>
      <c r="F303">
        <v>213.91168859999999</v>
      </c>
      <c r="G303">
        <v>7.343</v>
      </c>
      <c r="N303" s="8"/>
    </row>
    <row r="304" spans="1:14" x14ac:dyDescent="0.25">
      <c r="A304" s="8">
        <v>40326</v>
      </c>
      <c r="B304">
        <v>350089.23</v>
      </c>
      <c r="C304">
        <v>0</v>
      </c>
      <c r="D304">
        <v>78.599999999999994</v>
      </c>
      <c r="E304">
        <v>2.7589999999999999</v>
      </c>
      <c r="F304">
        <v>214.20376340000001</v>
      </c>
      <c r="G304">
        <v>7.343</v>
      </c>
      <c r="N304" s="8"/>
    </row>
    <row r="305" spans="1:14" x14ac:dyDescent="0.25">
      <c r="A305" s="8">
        <v>40333</v>
      </c>
      <c r="B305">
        <v>396968.8</v>
      </c>
      <c r="C305">
        <v>0</v>
      </c>
      <c r="D305">
        <v>78.53</v>
      </c>
      <c r="E305">
        <v>2.7050000000000001</v>
      </c>
      <c r="F305">
        <v>214.49583820000001</v>
      </c>
      <c r="G305">
        <v>7.343</v>
      </c>
      <c r="N305" s="8"/>
    </row>
    <row r="306" spans="1:14" x14ac:dyDescent="0.25">
      <c r="A306" s="8">
        <v>40340</v>
      </c>
      <c r="B306">
        <v>355017.09</v>
      </c>
      <c r="C306">
        <v>0</v>
      </c>
      <c r="D306">
        <v>82.1</v>
      </c>
      <c r="E306">
        <v>2.6680000000000001</v>
      </c>
      <c r="F306">
        <v>214.787913</v>
      </c>
      <c r="G306">
        <v>7.343</v>
      </c>
      <c r="N306" s="8"/>
    </row>
    <row r="307" spans="1:14" x14ac:dyDescent="0.25">
      <c r="A307" s="8">
        <v>40347</v>
      </c>
      <c r="B307">
        <v>364076.85</v>
      </c>
      <c r="C307">
        <v>0</v>
      </c>
      <c r="D307">
        <v>83.52</v>
      </c>
      <c r="E307">
        <v>2.637</v>
      </c>
      <c r="F307">
        <v>214.78582589999999</v>
      </c>
      <c r="G307">
        <v>7.343</v>
      </c>
      <c r="N307" s="8"/>
    </row>
    <row r="308" spans="1:14" x14ac:dyDescent="0.25">
      <c r="A308" s="8">
        <v>40354</v>
      </c>
      <c r="B308">
        <v>357346.48</v>
      </c>
      <c r="C308">
        <v>0</v>
      </c>
      <c r="D308">
        <v>83.79</v>
      </c>
      <c r="E308">
        <v>2.653</v>
      </c>
      <c r="F308">
        <v>214.6660741</v>
      </c>
      <c r="G308">
        <v>7.343</v>
      </c>
      <c r="N308" s="8"/>
    </row>
    <row r="309" spans="1:14" x14ac:dyDescent="0.25">
      <c r="A309" s="8">
        <v>40361</v>
      </c>
      <c r="B309">
        <v>381151.72</v>
      </c>
      <c r="C309">
        <v>0</v>
      </c>
      <c r="D309">
        <v>82.2</v>
      </c>
      <c r="E309">
        <v>2.669</v>
      </c>
      <c r="F309">
        <v>214.54632219999999</v>
      </c>
      <c r="G309">
        <v>7.3460000000000001</v>
      </c>
      <c r="N309" s="8"/>
    </row>
    <row r="310" spans="1:14" x14ac:dyDescent="0.25">
      <c r="A310" s="8">
        <v>40368</v>
      </c>
      <c r="B310">
        <v>349214.18</v>
      </c>
      <c r="C310">
        <v>0</v>
      </c>
      <c r="D310">
        <v>81.75</v>
      </c>
      <c r="E310">
        <v>2.6419999999999999</v>
      </c>
      <c r="F310">
        <v>214.4265704</v>
      </c>
      <c r="G310">
        <v>7.3460000000000001</v>
      </c>
      <c r="N310" s="8"/>
    </row>
    <row r="311" spans="1:14" x14ac:dyDescent="0.25">
      <c r="A311" s="8">
        <v>40375</v>
      </c>
      <c r="B311">
        <v>352728.78</v>
      </c>
      <c r="C311">
        <v>0</v>
      </c>
      <c r="D311">
        <v>84.32</v>
      </c>
      <c r="E311">
        <v>2.6230000000000002</v>
      </c>
      <c r="F311">
        <v>214.41764760000001</v>
      </c>
      <c r="G311">
        <v>7.3460000000000001</v>
      </c>
      <c r="N311" s="8"/>
    </row>
    <row r="312" spans="1:14" x14ac:dyDescent="0.25">
      <c r="A312" s="8">
        <v>40382</v>
      </c>
      <c r="B312">
        <v>352864.49</v>
      </c>
      <c r="C312">
        <v>0</v>
      </c>
      <c r="D312">
        <v>83.32</v>
      </c>
      <c r="E312">
        <v>2.6080000000000001</v>
      </c>
      <c r="F312">
        <v>214.55649679999999</v>
      </c>
      <c r="G312">
        <v>7.3460000000000001</v>
      </c>
      <c r="N312" s="8"/>
    </row>
    <row r="313" spans="1:14" x14ac:dyDescent="0.25">
      <c r="A313" s="8">
        <v>40389</v>
      </c>
      <c r="B313">
        <v>347955.05</v>
      </c>
      <c r="C313">
        <v>0</v>
      </c>
      <c r="D313">
        <v>82.04</v>
      </c>
      <c r="E313">
        <v>2.64</v>
      </c>
      <c r="F313">
        <v>214.695346</v>
      </c>
      <c r="G313">
        <v>7.3460000000000001</v>
      </c>
      <c r="N313" s="8"/>
    </row>
    <row r="314" spans="1:14" x14ac:dyDescent="0.25">
      <c r="A314" s="8">
        <v>40396</v>
      </c>
      <c r="B314">
        <v>402635.76</v>
      </c>
      <c r="C314">
        <v>0</v>
      </c>
      <c r="D314">
        <v>85.13</v>
      </c>
      <c r="E314">
        <v>2.6269999999999998</v>
      </c>
      <c r="F314">
        <v>214.83419520000001</v>
      </c>
      <c r="G314">
        <v>7.3460000000000001</v>
      </c>
      <c r="N314" s="8"/>
    </row>
    <row r="315" spans="1:14" x14ac:dyDescent="0.25">
      <c r="A315" s="8">
        <v>40403</v>
      </c>
      <c r="B315">
        <v>339597.38</v>
      </c>
      <c r="C315">
        <v>0</v>
      </c>
      <c r="D315">
        <v>86.74</v>
      </c>
      <c r="E315">
        <v>2.6920000000000002</v>
      </c>
      <c r="F315">
        <v>214.97304439999999</v>
      </c>
      <c r="G315">
        <v>7.3460000000000001</v>
      </c>
      <c r="N315" s="8"/>
    </row>
    <row r="316" spans="1:14" x14ac:dyDescent="0.25">
      <c r="A316" s="8">
        <v>40410</v>
      </c>
      <c r="B316">
        <v>351728.21</v>
      </c>
      <c r="C316">
        <v>0</v>
      </c>
      <c r="D316">
        <v>88.02</v>
      </c>
      <c r="E316">
        <v>2.6640000000000001</v>
      </c>
      <c r="F316">
        <v>214.9314191</v>
      </c>
      <c r="G316">
        <v>7.3460000000000001</v>
      </c>
      <c r="N316" s="8"/>
    </row>
    <row r="317" spans="1:14" x14ac:dyDescent="0.25">
      <c r="A317" s="8">
        <v>40417</v>
      </c>
      <c r="B317">
        <v>362134.09</v>
      </c>
      <c r="C317">
        <v>0</v>
      </c>
      <c r="D317">
        <v>86.15</v>
      </c>
      <c r="E317">
        <v>2.6190000000000002</v>
      </c>
      <c r="F317">
        <v>214.88979380000001</v>
      </c>
      <c r="G317">
        <v>7.3460000000000001</v>
      </c>
      <c r="N317" s="8"/>
    </row>
    <row r="318" spans="1:14" x14ac:dyDescent="0.25">
      <c r="A318" s="8">
        <v>40424</v>
      </c>
      <c r="B318">
        <v>366473.97</v>
      </c>
      <c r="C318">
        <v>0</v>
      </c>
      <c r="D318">
        <v>84.16</v>
      </c>
      <c r="E318">
        <v>2.577</v>
      </c>
      <c r="F318">
        <v>214.84816850000001</v>
      </c>
      <c r="G318">
        <v>7.3460000000000001</v>
      </c>
      <c r="N318" s="8"/>
    </row>
    <row r="319" spans="1:14" x14ac:dyDescent="0.25">
      <c r="A319" s="8">
        <v>40431</v>
      </c>
      <c r="B319">
        <v>352260.97</v>
      </c>
      <c r="C319">
        <v>1</v>
      </c>
      <c r="D319">
        <v>80.84</v>
      </c>
      <c r="E319">
        <v>2.5649999999999999</v>
      </c>
      <c r="F319">
        <v>214.8065431</v>
      </c>
      <c r="G319">
        <v>7.3460000000000001</v>
      </c>
      <c r="N319" s="8"/>
    </row>
    <row r="320" spans="1:14" x14ac:dyDescent="0.25">
      <c r="A320" s="8">
        <v>40438</v>
      </c>
      <c r="B320">
        <v>363064.64</v>
      </c>
      <c r="C320">
        <v>0</v>
      </c>
      <c r="D320">
        <v>82.36</v>
      </c>
      <c r="E320">
        <v>2.5819999999999999</v>
      </c>
      <c r="F320">
        <v>214.8322484</v>
      </c>
      <c r="G320">
        <v>7.3460000000000001</v>
      </c>
      <c r="N320" s="8"/>
    </row>
    <row r="321" spans="1:14" x14ac:dyDescent="0.25">
      <c r="A321" s="8">
        <v>40445</v>
      </c>
      <c r="B321">
        <v>355626.87</v>
      </c>
      <c r="C321">
        <v>0</v>
      </c>
      <c r="D321">
        <v>76.900000000000006</v>
      </c>
      <c r="E321">
        <v>2.6240000000000001</v>
      </c>
      <c r="F321">
        <v>214.90845160000001</v>
      </c>
      <c r="G321">
        <v>7.3460000000000001</v>
      </c>
      <c r="N321" s="8"/>
    </row>
    <row r="322" spans="1:14" x14ac:dyDescent="0.25">
      <c r="A322" s="8">
        <v>40452</v>
      </c>
      <c r="B322">
        <v>358784.1</v>
      </c>
      <c r="C322">
        <v>0</v>
      </c>
      <c r="D322">
        <v>73.599999999999994</v>
      </c>
      <c r="E322">
        <v>2.6030000000000002</v>
      </c>
      <c r="F322">
        <v>214.98465479999999</v>
      </c>
      <c r="G322">
        <v>7.5640000000000001</v>
      </c>
      <c r="N322" s="8"/>
    </row>
    <row r="323" spans="1:14" x14ac:dyDescent="0.25">
      <c r="A323" s="8">
        <v>40459</v>
      </c>
      <c r="B323">
        <v>395107.35</v>
      </c>
      <c r="C323">
        <v>0</v>
      </c>
      <c r="D323">
        <v>66.989999999999995</v>
      </c>
      <c r="E323">
        <v>2.633</v>
      </c>
      <c r="F323">
        <v>215.060858</v>
      </c>
      <c r="G323">
        <v>7.5640000000000001</v>
      </c>
      <c r="N323" s="8"/>
    </row>
    <row r="324" spans="1:14" x14ac:dyDescent="0.25">
      <c r="A324" s="8">
        <v>40466</v>
      </c>
      <c r="B324">
        <v>345584.39</v>
      </c>
      <c r="C324">
        <v>0</v>
      </c>
      <c r="D324">
        <v>69.709999999999994</v>
      </c>
      <c r="E324">
        <v>2.72</v>
      </c>
      <c r="F324">
        <v>215.12931140000001</v>
      </c>
      <c r="G324">
        <v>7.5640000000000001</v>
      </c>
      <c r="N324" s="8"/>
    </row>
    <row r="325" spans="1:14" x14ac:dyDescent="0.25">
      <c r="A325" s="8">
        <v>40473</v>
      </c>
      <c r="B325">
        <v>348895.98</v>
      </c>
      <c r="C325">
        <v>0</v>
      </c>
      <c r="D325">
        <v>71.64</v>
      </c>
      <c r="E325">
        <v>2.7250000000000001</v>
      </c>
      <c r="F325">
        <v>215.17839000000001</v>
      </c>
      <c r="G325">
        <v>7.5640000000000001</v>
      </c>
      <c r="N325" s="8"/>
    </row>
    <row r="326" spans="1:14" x14ac:dyDescent="0.25">
      <c r="A326" s="8">
        <v>40480</v>
      </c>
      <c r="B326">
        <v>348591.74</v>
      </c>
      <c r="C326">
        <v>0</v>
      </c>
      <c r="D326">
        <v>72.040000000000006</v>
      </c>
      <c r="E326">
        <v>2.7160000000000002</v>
      </c>
      <c r="F326">
        <v>215.22746860000001</v>
      </c>
      <c r="G326">
        <v>7.5640000000000001</v>
      </c>
      <c r="N326" s="8"/>
    </row>
    <row r="327" spans="1:14" x14ac:dyDescent="0.25">
      <c r="A327" s="8">
        <v>40487</v>
      </c>
      <c r="B327">
        <v>423175.56</v>
      </c>
      <c r="C327">
        <v>0</v>
      </c>
      <c r="D327">
        <v>62.94</v>
      </c>
      <c r="E327">
        <v>2.6890000000000001</v>
      </c>
      <c r="F327">
        <v>215.27654720000001</v>
      </c>
      <c r="G327">
        <v>7.5640000000000001</v>
      </c>
      <c r="N327" s="8"/>
    </row>
    <row r="328" spans="1:14" x14ac:dyDescent="0.25">
      <c r="A328" s="8">
        <v>40494</v>
      </c>
      <c r="B328">
        <v>386635.03</v>
      </c>
      <c r="C328">
        <v>0</v>
      </c>
      <c r="D328">
        <v>62.79</v>
      </c>
      <c r="E328">
        <v>2.7280000000000002</v>
      </c>
      <c r="F328">
        <v>215.32562580000001</v>
      </c>
      <c r="G328">
        <v>7.5640000000000001</v>
      </c>
      <c r="N328" s="8"/>
    </row>
    <row r="329" spans="1:14" x14ac:dyDescent="0.25">
      <c r="A329" s="8">
        <v>40501</v>
      </c>
      <c r="B329">
        <v>372545.32</v>
      </c>
      <c r="C329">
        <v>0</v>
      </c>
      <c r="D329">
        <v>57.72</v>
      </c>
      <c r="E329">
        <v>2.7709999999999999</v>
      </c>
      <c r="F329">
        <v>215.2074519</v>
      </c>
      <c r="G329">
        <v>7.5640000000000001</v>
      </c>
      <c r="N329" s="8"/>
    </row>
    <row r="330" spans="1:14" x14ac:dyDescent="0.25">
      <c r="A330" s="8">
        <v>40508</v>
      </c>
      <c r="B330">
        <v>565567.84</v>
      </c>
      <c r="C330">
        <v>1</v>
      </c>
      <c r="D330">
        <v>68.709999999999994</v>
      </c>
      <c r="E330">
        <v>2.7349999999999999</v>
      </c>
      <c r="F330">
        <v>215.06140250000001</v>
      </c>
      <c r="G330">
        <v>7.5640000000000001</v>
      </c>
      <c r="N330" s="8"/>
    </row>
    <row r="331" spans="1:14" x14ac:dyDescent="0.25">
      <c r="A331" s="8">
        <v>40515</v>
      </c>
      <c r="B331">
        <v>476420.77</v>
      </c>
      <c r="C331">
        <v>0</v>
      </c>
      <c r="D331">
        <v>53.76</v>
      </c>
      <c r="E331">
        <v>2.7080000000000002</v>
      </c>
      <c r="F331">
        <v>214.9153531</v>
      </c>
      <c r="G331">
        <v>7.5640000000000001</v>
      </c>
      <c r="N331" s="8"/>
    </row>
    <row r="332" spans="1:14" x14ac:dyDescent="0.25">
      <c r="A332" s="8">
        <v>40522</v>
      </c>
      <c r="B332">
        <v>467642.03</v>
      </c>
      <c r="C332">
        <v>0</v>
      </c>
      <c r="D332">
        <v>51.13</v>
      </c>
      <c r="E332">
        <v>2.843</v>
      </c>
      <c r="F332">
        <v>214.76930369999999</v>
      </c>
      <c r="G332">
        <v>7.5640000000000001</v>
      </c>
      <c r="N332" s="8"/>
    </row>
    <row r="333" spans="1:14" x14ac:dyDescent="0.25">
      <c r="A333" s="8">
        <v>40529</v>
      </c>
      <c r="B333">
        <v>498159.39</v>
      </c>
      <c r="C333">
        <v>0</v>
      </c>
      <c r="D333">
        <v>52.2</v>
      </c>
      <c r="E333">
        <v>2.8690000000000002</v>
      </c>
      <c r="F333">
        <v>214.70491899999999</v>
      </c>
      <c r="G333">
        <v>7.5640000000000001</v>
      </c>
      <c r="N333" s="8"/>
    </row>
    <row r="334" spans="1:14" x14ac:dyDescent="0.25">
      <c r="A334" s="8">
        <v>40536</v>
      </c>
      <c r="B334">
        <v>605990.41</v>
      </c>
      <c r="C334">
        <v>0</v>
      </c>
      <c r="D334">
        <v>57.16</v>
      </c>
      <c r="E334">
        <v>2.8860000000000001</v>
      </c>
      <c r="F334">
        <v>214.70178279999999</v>
      </c>
      <c r="G334">
        <v>7.5640000000000001</v>
      </c>
      <c r="N334" s="8"/>
    </row>
    <row r="335" spans="1:14" x14ac:dyDescent="0.25">
      <c r="A335" s="8">
        <v>40543</v>
      </c>
      <c r="B335">
        <v>382677.76000000001</v>
      </c>
      <c r="C335">
        <v>1</v>
      </c>
      <c r="D335">
        <v>53.2</v>
      </c>
      <c r="E335">
        <v>2.9430000000000001</v>
      </c>
      <c r="F335">
        <v>214.69864659999999</v>
      </c>
      <c r="G335">
        <v>7.5640000000000001</v>
      </c>
      <c r="N335" s="8"/>
    </row>
    <row r="336" spans="1:14" x14ac:dyDescent="0.25">
      <c r="A336" s="8">
        <v>40550</v>
      </c>
      <c r="B336">
        <v>378241.34</v>
      </c>
      <c r="C336">
        <v>0</v>
      </c>
      <c r="D336">
        <v>53.35</v>
      </c>
      <c r="E336">
        <v>2.976</v>
      </c>
      <c r="F336">
        <v>214.69551039999999</v>
      </c>
      <c r="G336">
        <v>7.5510000000000002</v>
      </c>
      <c r="N336" s="8"/>
    </row>
    <row r="337" spans="1:14" x14ac:dyDescent="0.25">
      <c r="A337" s="8">
        <v>40557</v>
      </c>
      <c r="B337">
        <v>381061.1</v>
      </c>
      <c r="C337">
        <v>0</v>
      </c>
      <c r="D337">
        <v>44.76</v>
      </c>
      <c r="E337">
        <v>2.9830000000000001</v>
      </c>
      <c r="F337">
        <v>214.74707290000001</v>
      </c>
      <c r="G337">
        <v>7.5510000000000002</v>
      </c>
      <c r="N337" s="8"/>
    </row>
    <row r="338" spans="1:14" x14ac:dyDescent="0.25">
      <c r="A338" s="8">
        <v>40564</v>
      </c>
      <c r="B338">
        <v>350876.7</v>
      </c>
      <c r="C338">
        <v>0</v>
      </c>
      <c r="D338">
        <v>50.74</v>
      </c>
      <c r="E338">
        <v>3.016</v>
      </c>
      <c r="F338">
        <v>215.12682749999999</v>
      </c>
      <c r="G338">
        <v>7.5510000000000002</v>
      </c>
      <c r="N338" s="8"/>
    </row>
    <row r="339" spans="1:14" x14ac:dyDescent="0.25">
      <c r="A339" s="8">
        <v>40571</v>
      </c>
      <c r="B339">
        <v>364866.24</v>
      </c>
      <c r="C339">
        <v>0</v>
      </c>
      <c r="D339">
        <v>48.71</v>
      </c>
      <c r="E339">
        <v>3.01</v>
      </c>
      <c r="F339">
        <v>215.5065821</v>
      </c>
      <c r="G339">
        <v>7.5510000000000002</v>
      </c>
      <c r="N339" s="8"/>
    </row>
    <row r="340" spans="1:14" x14ac:dyDescent="0.25">
      <c r="A340" s="8">
        <v>40578</v>
      </c>
      <c r="B340">
        <v>438516.53</v>
      </c>
      <c r="C340">
        <v>0</v>
      </c>
      <c r="D340">
        <v>45.95</v>
      </c>
      <c r="E340">
        <v>2.9889999999999999</v>
      </c>
      <c r="F340">
        <v>215.88633669999999</v>
      </c>
      <c r="G340">
        <v>7.5510000000000002</v>
      </c>
      <c r="N340" s="8"/>
    </row>
    <row r="341" spans="1:14" x14ac:dyDescent="0.25">
      <c r="A341" s="8">
        <v>40585</v>
      </c>
      <c r="B341">
        <v>430526.21</v>
      </c>
      <c r="C341">
        <v>1</v>
      </c>
      <c r="D341">
        <v>43.57</v>
      </c>
      <c r="E341">
        <v>3.0219999999999998</v>
      </c>
      <c r="F341">
        <v>216.2660913</v>
      </c>
      <c r="G341">
        <v>7.5510000000000002</v>
      </c>
      <c r="N341" s="8"/>
    </row>
    <row r="342" spans="1:14" x14ac:dyDescent="0.25">
      <c r="A342" s="8">
        <v>40592</v>
      </c>
      <c r="B342">
        <v>432782.1</v>
      </c>
      <c r="C342">
        <v>0</v>
      </c>
      <c r="D342">
        <v>61.58</v>
      </c>
      <c r="E342">
        <v>3.0449999999999999</v>
      </c>
      <c r="F342">
        <v>216.58435710000001</v>
      </c>
      <c r="G342">
        <v>7.5510000000000002</v>
      </c>
      <c r="N342" s="8"/>
    </row>
    <row r="343" spans="1:14" x14ac:dyDescent="0.25">
      <c r="A343" s="8">
        <v>40599</v>
      </c>
      <c r="B343">
        <v>397211.19</v>
      </c>
      <c r="C343">
        <v>0</v>
      </c>
      <c r="D343">
        <v>67.400000000000006</v>
      </c>
      <c r="E343">
        <v>3.0649999999999999</v>
      </c>
      <c r="F343">
        <v>216.8780275</v>
      </c>
      <c r="G343">
        <v>7.5510000000000002</v>
      </c>
      <c r="N343" s="8"/>
    </row>
    <row r="344" spans="1:14" x14ac:dyDescent="0.25">
      <c r="A344" s="8">
        <v>40606</v>
      </c>
      <c r="B344">
        <v>437084.51</v>
      </c>
      <c r="C344">
        <v>0</v>
      </c>
      <c r="D344">
        <v>65.11</v>
      </c>
      <c r="E344">
        <v>3.2879999999999998</v>
      </c>
      <c r="F344">
        <v>217.1716979</v>
      </c>
      <c r="G344">
        <v>7.5510000000000002</v>
      </c>
      <c r="N344" s="8"/>
    </row>
    <row r="345" spans="1:14" x14ac:dyDescent="0.25">
      <c r="A345" s="8">
        <v>40613</v>
      </c>
      <c r="B345">
        <v>404753.3</v>
      </c>
      <c r="C345">
        <v>0</v>
      </c>
      <c r="D345">
        <v>61.29</v>
      </c>
      <c r="E345">
        <v>3.4590000000000001</v>
      </c>
      <c r="F345">
        <v>217.46536829999999</v>
      </c>
      <c r="G345">
        <v>7.5510000000000002</v>
      </c>
      <c r="N345" s="8"/>
    </row>
    <row r="346" spans="1:14" x14ac:dyDescent="0.25">
      <c r="A346" s="8">
        <v>40620</v>
      </c>
      <c r="B346">
        <v>392109.51</v>
      </c>
      <c r="C346">
        <v>0</v>
      </c>
      <c r="D346">
        <v>69.47</v>
      </c>
      <c r="E346">
        <v>3.488</v>
      </c>
      <c r="F346">
        <v>217.7235226</v>
      </c>
      <c r="G346">
        <v>7.5510000000000002</v>
      </c>
      <c r="N346" s="8"/>
    </row>
    <row r="347" spans="1:14" x14ac:dyDescent="0.25">
      <c r="A347" s="8">
        <v>40627</v>
      </c>
      <c r="B347">
        <v>380683.67</v>
      </c>
      <c r="C347">
        <v>0</v>
      </c>
      <c r="D347">
        <v>72.94</v>
      </c>
      <c r="E347">
        <v>3.4729999999999999</v>
      </c>
      <c r="F347">
        <v>217.96747049999999</v>
      </c>
      <c r="G347">
        <v>7.5510000000000002</v>
      </c>
      <c r="N347" s="8"/>
    </row>
    <row r="348" spans="1:14" x14ac:dyDescent="0.25">
      <c r="A348" s="8">
        <v>40634</v>
      </c>
      <c r="B348">
        <v>374556.08</v>
      </c>
      <c r="C348">
        <v>0</v>
      </c>
      <c r="D348">
        <v>68.760000000000005</v>
      </c>
      <c r="E348">
        <v>3.524</v>
      </c>
      <c r="F348">
        <v>218.21141840000001</v>
      </c>
      <c r="G348">
        <v>7.5739999999999998</v>
      </c>
      <c r="N348" s="8"/>
    </row>
    <row r="349" spans="1:14" x14ac:dyDescent="0.25">
      <c r="A349" s="8">
        <v>40641</v>
      </c>
      <c r="B349">
        <v>384075.31</v>
      </c>
      <c r="C349">
        <v>0</v>
      </c>
      <c r="D349">
        <v>72.55</v>
      </c>
      <c r="E349">
        <v>3.6219999999999999</v>
      </c>
      <c r="F349">
        <v>218.45536630000001</v>
      </c>
      <c r="G349">
        <v>7.5739999999999998</v>
      </c>
      <c r="N349" s="8"/>
    </row>
    <row r="350" spans="1:14" x14ac:dyDescent="0.25">
      <c r="A350" s="8">
        <v>40648</v>
      </c>
      <c r="B350">
        <v>366250.69</v>
      </c>
      <c r="C350">
        <v>0</v>
      </c>
      <c r="D350">
        <v>75.88</v>
      </c>
      <c r="E350">
        <v>3.7429999999999999</v>
      </c>
      <c r="F350">
        <v>218.67886419999999</v>
      </c>
      <c r="G350">
        <v>7.5739999999999998</v>
      </c>
      <c r="N350" s="8"/>
    </row>
    <row r="351" spans="1:14" x14ac:dyDescent="0.25">
      <c r="A351" s="8">
        <v>40655</v>
      </c>
      <c r="B351">
        <v>391860.04</v>
      </c>
      <c r="C351">
        <v>0</v>
      </c>
      <c r="D351">
        <v>76.91</v>
      </c>
      <c r="E351">
        <v>3.8069999999999999</v>
      </c>
      <c r="F351">
        <v>218.851237</v>
      </c>
      <c r="G351">
        <v>7.5739999999999998</v>
      </c>
      <c r="N351" s="8"/>
    </row>
    <row r="352" spans="1:14" x14ac:dyDescent="0.25">
      <c r="A352" s="8">
        <v>40662</v>
      </c>
      <c r="B352">
        <v>367405.4</v>
      </c>
      <c r="C352">
        <v>0</v>
      </c>
      <c r="D352">
        <v>78.69</v>
      </c>
      <c r="E352">
        <v>3.81</v>
      </c>
      <c r="F352">
        <v>219.0236099</v>
      </c>
      <c r="G352">
        <v>7.5739999999999998</v>
      </c>
      <c r="N352" s="8"/>
    </row>
    <row r="353" spans="1:14" x14ac:dyDescent="0.25">
      <c r="A353" s="8">
        <v>40669</v>
      </c>
      <c r="B353">
        <v>413042.12</v>
      </c>
      <c r="C353">
        <v>0</v>
      </c>
      <c r="D353">
        <v>69.45</v>
      </c>
      <c r="E353">
        <v>3.9060000000000001</v>
      </c>
      <c r="F353">
        <v>219.1959827</v>
      </c>
      <c r="G353">
        <v>7.5739999999999998</v>
      </c>
      <c r="N353" s="8"/>
    </row>
    <row r="354" spans="1:14" x14ac:dyDescent="0.25">
      <c r="A354" s="8">
        <v>40676</v>
      </c>
      <c r="B354">
        <v>386312.68</v>
      </c>
      <c r="C354">
        <v>0</v>
      </c>
      <c r="D354">
        <v>79.87</v>
      </c>
      <c r="E354">
        <v>3.899</v>
      </c>
      <c r="F354">
        <v>219.3683556</v>
      </c>
      <c r="G354">
        <v>7.5739999999999998</v>
      </c>
      <c r="N354" s="8"/>
    </row>
    <row r="355" spans="1:14" x14ac:dyDescent="0.25">
      <c r="A355" s="8">
        <v>40683</v>
      </c>
      <c r="B355">
        <v>364603.13</v>
      </c>
      <c r="C355">
        <v>0</v>
      </c>
      <c r="D355">
        <v>75.790000000000006</v>
      </c>
      <c r="E355">
        <v>3.907</v>
      </c>
      <c r="F355">
        <v>219.127216</v>
      </c>
      <c r="G355">
        <v>7.5739999999999998</v>
      </c>
      <c r="N355" s="8"/>
    </row>
    <row r="356" spans="1:14" x14ac:dyDescent="0.25">
      <c r="A356" s="8">
        <v>40690</v>
      </c>
      <c r="B356">
        <v>369350.6</v>
      </c>
      <c r="C356">
        <v>0</v>
      </c>
      <c r="D356">
        <v>84.41</v>
      </c>
      <c r="E356">
        <v>3.786</v>
      </c>
      <c r="F356">
        <v>218.8860765</v>
      </c>
      <c r="G356">
        <v>7.5739999999999998</v>
      </c>
      <c r="N356" s="8"/>
    </row>
    <row r="357" spans="1:14" x14ac:dyDescent="0.25">
      <c r="A357" s="8">
        <v>40697</v>
      </c>
      <c r="B357">
        <v>394507.84</v>
      </c>
      <c r="C357">
        <v>0</v>
      </c>
      <c r="D357">
        <v>84.29</v>
      </c>
      <c r="E357">
        <v>3.6989999999999998</v>
      </c>
      <c r="F357">
        <v>218.6449369</v>
      </c>
      <c r="G357">
        <v>7.5739999999999998</v>
      </c>
      <c r="N357" s="8"/>
    </row>
    <row r="358" spans="1:14" x14ac:dyDescent="0.25">
      <c r="A358" s="8">
        <v>40704</v>
      </c>
      <c r="B358">
        <v>391638.75</v>
      </c>
      <c r="C358">
        <v>0</v>
      </c>
      <c r="D358">
        <v>84.84</v>
      </c>
      <c r="E358">
        <v>3.6480000000000001</v>
      </c>
      <c r="F358">
        <v>218.4037974</v>
      </c>
      <c r="G358">
        <v>7.5739999999999998</v>
      </c>
      <c r="N358" s="8"/>
    </row>
    <row r="359" spans="1:14" x14ac:dyDescent="0.25">
      <c r="A359" s="8">
        <v>40711</v>
      </c>
      <c r="B359">
        <v>403423.34</v>
      </c>
      <c r="C359">
        <v>0</v>
      </c>
      <c r="D359">
        <v>86.96</v>
      </c>
      <c r="E359">
        <v>3.637</v>
      </c>
      <c r="F359">
        <v>218.35517479999999</v>
      </c>
      <c r="G359">
        <v>7.5739999999999998</v>
      </c>
      <c r="N359" s="8"/>
    </row>
    <row r="360" spans="1:14" x14ac:dyDescent="0.25">
      <c r="A360" s="8">
        <v>40718</v>
      </c>
      <c r="B360">
        <v>385520.71</v>
      </c>
      <c r="C360">
        <v>0</v>
      </c>
      <c r="D360">
        <v>84.94</v>
      </c>
      <c r="E360">
        <v>3.5939999999999999</v>
      </c>
      <c r="F360">
        <v>218.45094</v>
      </c>
      <c r="G360">
        <v>7.5739999999999998</v>
      </c>
      <c r="N360" s="8"/>
    </row>
    <row r="361" spans="1:14" x14ac:dyDescent="0.25">
      <c r="A361" s="8">
        <v>40725</v>
      </c>
      <c r="B361">
        <v>368962.72</v>
      </c>
      <c r="C361">
        <v>0</v>
      </c>
      <c r="D361">
        <v>85.1</v>
      </c>
      <c r="E361">
        <v>3.524</v>
      </c>
      <c r="F361">
        <v>218.54670519999999</v>
      </c>
      <c r="G361">
        <v>7.5670000000000002</v>
      </c>
      <c r="N361" s="8"/>
    </row>
    <row r="362" spans="1:14" x14ac:dyDescent="0.25">
      <c r="A362" s="8">
        <v>40732</v>
      </c>
      <c r="B362">
        <v>395146.23999999999</v>
      </c>
      <c r="C362">
        <v>0</v>
      </c>
      <c r="D362">
        <v>85.38</v>
      </c>
      <c r="E362">
        <v>3.48</v>
      </c>
      <c r="F362">
        <v>218.64247040000001</v>
      </c>
      <c r="G362">
        <v>7.5670000000000002</v>
      </c>
      <c r="N362" s="8"/>
    </row>
    <row r="363" spans="1:14" x14ac:dyDescent="0.25">
      <c r="A363" s="8">
        <v>40739</v>
      </c>
      <c r="B363">
        <v>373454.33</v>
      </c>
      <c r="C363">
        <v>0</v>
      </c>
      <c r="D363">
        <v>87.14</v>
      </c>
      <c r="E363">
        <v>3.5750000000000002</v>
      </c>
      <c r="F363">
        <v>218.72752159999999</v>
      </c>
      <c r="G363">
        <v>7.5670000000000002</v>
      </c>
      <c r="N363" s="8"/>
    </row>
    <row r="364" spans="1:14" x14ac:dyDescent="0.25">
      <c r="A364" s="8">
        <v>40746</v>
      </c>
      <c r="B364">
        <v>360617.37</v>
      </c>
      <c r="C364">
        <v>0</v>
      </c>
      <c r="D364">
        <v>86.19</v>
      </c>
      <c r="E364">
        <v>3.6509999999999998</v>
      </c>
      <c r="F364">
        <v>218.78578809999999</v>
      </c>
      <c r="G364">
        <v>7.5670000000000002</v>
      </c>
      <c r="N364" s="8"/>
    </row>
    <row r="365" spans="1:14" x14ac:dyDescent="0.25">
      <c r="A365" s="8">
        <v>40753</v>
      </c>
      <c r="B365">
        <v>345381.29</v>
      </c>
      <c r="C365">
        <v>0</v>
      </c>
      <c r="D365">
        <v>88.07</v>
      </c>
      <c r="E365">
        <v>3.6819999999999999</v>
      </c>
      <c r="F365">
        <v>218.8440545</v>
      </c>
      <c r="G365">
        <v>7.5670000000000002</v>
      </c>
      <c r="N365" s="8"/>
    </row>
    <row r="366" spans="1:14" x14ac:dyDescent="0.25">
      <c r="A366" s="8">
        <v>40760</v>
      </c>
      <c r="B366">
        <v>409981.25</v>
      </c>
      <c r="C366">
        <v>0</v>
      </c>
      <c r="D366">
        <v>88.45</v>
      </c>
      <c r="E366">
        <v>3.6840000000000002</v>
      </c>
      <c r="F366">
        <v>218.90232090000001</v>
      </c>
      <c r="G366">
        <v>7.5670000000000002</v>
      </c>
      <c r="N366" s="8"/>
    </row>
    <row r="367" spans="1:14" x14ac:dyDescent="0.25">
      <c r="A367" s="8">
        <v>40767</v>
      </c>
      <c r="B367">
        <v>380376.85</v>
      </c>
      <c r="C367">
        <v>0</v>
      </c>
      <c r="D367">
        <v>88.88</v>
      </c>
      <c r="E367">
        <v>3.6379999999999999</v>
      </c>
      <c r="F367">
        <v>218.96058729999999</v>
      </c>
      <c r="G367">
        <v>7.5670000000000002</v>
      </c>
      <c r="N367" s="8"/>
    </row>
    <row r="368" spans="1:14" x14ac:dyDescent="0.25">
      <c r="A368" s="8">
        <v>40774</v>
      </c>
      <c r="B368">
        <v>379716.91</v>
      </c>
      <c r="C368">
        <v>0</v>
      </c>
      <c r="D368">
        <v>88.44</v>
      </c>
      <c r="E368">
        <v>3.5539999999999998</v>
      </c>
      <c r="F368">
        <v>219.02327099999999</v>
      </c>
      <c r="G368">
        <v>7.5670000000000002</v>
      </c>
      <c r="N368" s="8"/>
    </row>
    <row r="369" spans="1:14" x14ac:dyDescent="0.25">
      <c r="A369" s="8">
        <v>40781</v>
      </c>
      <c r="B369">
        <v>366367.55</v>
      </c>
      <c r="C369">
        <v>0</v>
      </c>
      <c r="D369">
        <v>87.67</v>
      </c>
      <c r="E369">
        <v>3.5230000000000001</v>
      </c>
      <c r="F369">
        <v>219.08669080000001</v>
      </c>
      <c r="G369">
        <v>7.5670000000000002</v>
      </c>
      <c r="N369" s="8"/>
    </row>
    <row r="370" spans="1:14" x14ac:dyDescent="0.25">
      <c r="A370" s="8">
        <v>40788</v>
      </c>
      <c r="B370">
        <v>375988.69</v>
      </c>
      <c r="C370">
        <v>0</v>
      </c>
      <c r="D370">
        <v>89.12</v>
      </c>
      <c r="E370">
        <v>3.5329999999999999</v>
      </c>
      <c r="F370">
        <v>219.1501106</v>
      </c>
      <c r="G370">
        <v>7.5670000000000002</v>
      </c>
      <c r="N370" s="8"/>
    </row>
    <row r="371" spans="1:14" x14ac:dyDescent="0.25">
      <c r="A371" s="8">
        <v>40795</v>
      </c>
      <c r="B371">
        <v>377347.49</v>
      </c>
      <c r="C371">
        <v>1</v>
      </c>
      <c r="D371">
        <v>81.72</v>
      </c>
      <c r="E371">
        <v>3.5459999999999998</v>
      </c>
      <c r="F371">
        <v>219.21353049999999</v>
      </c>
      <c r="G371">
        <v>7.5670000000000002</v>
      </c>
      <c r="N371" s="8"/>
    </row>
    <row r="372" spans="1:14" x14ac:dyDescent="0.25">
      <c r="A372" s="8">
        <v>40802</v>
      </c>
      <c r="B372">
        <v>375629.51</v>
      </c>
      <c r="C372">
        <v>0</v>
      </c>
      <c r="D372">
        <v>83.63</v>
      </c>
      <c r="E372">
        <v>3.5259999999999998</v>
      </c>
      <c r="F372">
        <v>219.3972867</v>
      </c>
      <c r="G372">
        <v>7.5670000000000002</v>
      </c>
      <c r="N372" s="8"/>
    </row>
    <row r="373" spans="1:14" x14ac:dyDescent="0.25">
      <c r="A373" s="8">
        <v>40809</v>
      </c>
      <c r="B373">
        <v>365248.94</v>
      </c>
      <c r="C373">
        <v>0</v>
      </c>
      <c r="D373">
        <v>80.19</v>
      </c>
      <c r="E373">
        <v>3.4670000000000001</v>
      </c>
      <c r="F373">
        <v>219.7414914</v>
      </c>
      <c r="G373">
        <v>7.5670000000000002</v>
      </c>
      <c r="N373" s="8"/>
    </row>
    <row r="374" spans="1:14" x14ac:dyDescent="0.25">
      <c r="A374" s="8">
        <v>40816</v>
      </c>
      <c r="B374">
        <v>368477.93</v>
      </c>
      <c r="C374">
        <v>0</v>
      </c>
      <c r="D374">
        <v>82.58</v>
      </c>
      <c r="E374">
        <v>3.355</v>
      </c>
      <c r="F374">
        <v>220.08569600000001</v>
      </c>
      <c r="G374">
        <v>7.5670000000000002</v>
      </c>
      <c r="N374" s="8"/>
    </row>
    <row r="375" spans="1:14" x14ac:dyDescent="0.25">
      <c r="A375" s="8">
        <v>40823</v>
      </c>
      <c r="B375">
        <v>403342.4</v>
      </c>
      <c r="C375">
        <v>0</v>
      </c>
      <c r="D375">
        <v>75.540000000000006</v>
      </c>
      <c r="E375">
        <v>3.2850000000000001</v>
      </c>
      <c r="F375">
        <v>220.42990069999999</v>
      </c>
      <c r="G375">
        <v>7.1970000000000001</v>
      </c>
      <c r="N375" s="8"/>
    </row>
    <row r="376" spans="1:14" x14ac:dyDescent="0.25">
      <c r="A376" s="8">
        <v>40830</v>
      </c>
      <c r="B376">
        <v>368282.57</v>
      </c>
      <c r="C376">
        <v>0</v>
      </c>
      <c r="D376">
        <v>73.75</v>
      </c>
      <c r="E376">
        <v>3.274</v>
      </c>
      <c r="F376">
        <v>220.74861670000001</v>
      </c>
      <c r="G376">
        <v>7.1970000000000001</v>
      </c>
      <c r="N376" s="8"/>
    </row>
    <row r="377" spans="1:14" x14ac:dyDescent="0.25">
      <c r="A377" s="8">
        <v>40837</v>
      </c>
      <c r="B377">
        <v>394976.36</v>
      </c>
      <c r="C377">
        <v>0</v>
      </c>
      <c r="D377">
        <v>69.03</v>
      </c>
      <c r="E377">
        <v>3.3530000000000002</v>
      </c>
      <c r="F377">
        <v>220.9144005</v>
      </c>
      <c r="G377">
        <v>7.1970000000000001</v>
      </c>
      <c r="N377" s="8"/>
    </row>
    <row r="378" spans="1:14" x14ac:dyDescent="0.25">
      <c r="A378" s="8">
        <v>40844</v>
      </c>
      <c r="B378">
        <v>389540.62</v>
      </c>
      <c r="C378">
        <v>0</v>
      </c>
      <c r="D378">
        <v>71.040000000000006</v>
      </c>
      <c r="E378">
        <v>3.3719999999999999</v>
      </c>
      <c r="F378">
        <v>221.08018419999999</v>
      </c>
      <c r="G378">
        <v>7.1970000000000001</v>
      </c>
      <c r="N378" s="8"/>
    </row>
    <row r="379" spans="1:14" x14ac:dyDescent="0.25">
      <c r="A379" s="8">
        <v>40851</v>
      </c>
      <c r="B379">
        <v>459443.22</v>
      </c>
      <c r="C379">
        <v>0</v>
      </c>
      <c r="D379">
        <v>59.31</v>
      </c>
      <c r="E379">
        <v>3.3319999999999999</v>
      </c>
      <c r="F379">
        <v>221.245968</v>
      </c>
      <c r="G379">
        <v>7.1970000000000001</v>
      </c>
      <c r="N379" s="8"/>
    </row>
    <row r="380" spans="1:14" x14ac:dyDescent="0.25">
      <c r="A380" s="8">
        <v>40858</v>
      </c>
      <c r="B380">
        <v>407764.25</v>
      </c>
      <c r="C380">
        <v>0</v>
      </c>
      <c r="D380">
        <v>61.7</v>
      </c>
      <c r="E380">
        <v>3.2970000000000002</v>
      </c>
      <c r="F380">
        <v>221.4117517</v>
      </c>
      <c r="G380">
        <v>7.1970000000000001</v>
      </c>
      <c r="N380" s="8"/>
    </row>
    <row r="381" spans="1:14" x14ac:dyDescent="0.25">
      <c r="A381" s="8">
        <v>40865</v>
      </c>
      <c r="B381">
        <v>398838.97</v>
      </c>
      <c r="C381">
        <v>0</v>
      </c>
      <c r="D381">
        <v>63.91</v>
      </c>
      <c r="E381">
        <v>3.3079999999999998</v>
      </c>
      <c r="F381">
        <v>221.64328520000001</v>
      </c>
      <c r="G381">
        <v>7.1970000000000001</v>
      </c>
      <c r="N381" s="8"/>
    </row>
    <row r="382" spans="1:14" x14ac:dyDescent="0.25">
      <c r="A382" s="8">
        <v>40872</v>
      </c>
      <c r="B382">
        <v>556925.18999999994</v>
      </c>
      <c r="C382">
        <v>1</v>
      </c>
      <c r="D382">
        <v>68</v>
      </c>
      <c r="E382">
        <v>3.2360000000000002</v>
      </c>
      <c r="F382">
        <v>221.9011185</v>
      </c>
      <c r="G382">
        <v>7.1970000000000001</v>
      </c>
      <c r="N382" s="8"/>
    </row>
    <row r="383" spans="1:14" x14ac:dyDescent="0.25">
      <c r="A383" s="8">
        <v>40879</v>
      </c>
      <c r="B383">
        <v>472511.32</v>
      </c>
      <c r="C383">
        <v>0</v>
      </c>
      <c r="D383">
        <v>54.97</v>
      </c>
      <c r="E383">
        <v>3.1720000000000002</v>
      </c>
      <c r="F383">
        <v>222.15895190000001</v>
      </c>
      <c r="G383">
        <v>7.1970000000000001</v>
      </c>
      <c r="N383" s="8"/>
    </row>
    <row r="384" spans="1:14" x14ac:dyDescent="0.25">
      <c r="A384" s="8">
        <v>40886</v>
      </c>
      <c r="B384">
        <v>468772.8</v>
      </c>
      <c r="C384">
        <v>0</v>
      </c>
      <c r="D384">
        <v>49.26</v>
      </c>
      <c r="E384">
        <v>3.1579999999999999</v>
      </c>
      <c r="F384">
        <v>222.41678519999999</v>
      </c>
      <c r="G384">
        <v>7.1970000000000001</v>
      </c>
      <c r="N384" s="8"/>
    </row>
    <row r="385" spans="1:14" x14ac:dyDescent="0.25">
      <c r="A385" s="8">
        <v>40893</v>
      </c>
      <c r="B385">
        <v>510747.62</v>
      </c>
      <c r="C385">
        <v>0</v>
      </c>
      <c r="D385">
        <v>57.95</v>
      </c>
      <c r="E385">
        <v>3.1589999999999998</v>
      </c>
      <c r="F385">
        <v>222.64264180000001</v>
      </c>
      <c r="G385">
        <v>7.1970000000000001</v>
      </c>
      <c r="N385" s="8"/>
    </row>
    <row r="386" spans="1:14" x14ac:dyDescent="0.25">
      <c r="A386" s="8">
        <v>40900</v>
      </c>
      <c r="B386">
        <v>551221.21</v>
      </c>
      <c r="C386">
        <v>0</v>
      </c>
      <c r="D386">
        <v>53.41</v>
      </c>
      <c r="E386">
        <v>3.1120000000000001</v>
      </c>
      <c r="F386">
        <v>222.82586280000001</v>
      </c>
      <c r="G386">
        <v>7.1970000000000001</v>
      </c>
      <c r="N386" s="8"/>
    </row>
    <row r="387" spans="1:14" x14ac:dyDescent="0.25">
      <c r="A387" s="8">
        <v>40907</v>
      </c>
      <c r="B387">
        <v>410553.88</v>
      </c>
      <c r="C387">
        <v>1</v>
      </c>
      <c r="D387">
        <v>48.29</v>
      </c>
      <c r="E387">
        <v>3.129</v>
      </c>
      <c r="F387">
        <v>223.00908390000001</v>
      </c>
      <c r="G387">
        <v>7.1970000000000001</v>
      </c>
      <c r="N387" s="8"/>
    </row>
    <row r="388" spans="1:14" x14ac:dyDescent="0.25">
      <c r="A388" s="8">
        <v>40914</v>
      </c>
      <c r="B388">
        <v>398178.21</v>
      </c>
      <c r="C388">
        <v>0</v>
      </c>
      <c r="D388">
        <v>52.42</v>
      </c>
      <c r="E388">
        <v>3.157</v>
      </c>
      <c r="F388">
        <v>223.19230490000001</v>
      </c>
      <c r="G388">
        <v>6.8330000000000002</v>
      </c>
      <c r="N388" s="8"/>
    </row>
    <row r="389" spans="1:14" x14ac:dyDescent="0.25">
      <c r="A389" s="8">
        <v>40921</v>
      </c>
      <c r="B389">
        <v>367438.62</v>
      </c>
      <c r="C389">
        <v>0</v>
      </c>
      <c r="D389">
        <v>51.86</v>
      </c>
      <c r="E389">
        <v>3.2610000000000001</v>
      </c>
      <c r="F389">
        <v>223.37552590000001</v>
      </c>
      <c r="G389">
        <v>6.8330000000000002</v>
      </c>
      <c r="N389" s="8"/>
    </row>
    <row r="390" spans="1:14" x14ac:dyDescent="0.25">
      <c r="A390" s="8">
        <v>40928</v>
      </c>
      <c r="B390">
        <v>365818.61</v>
      </c>
      <c r="C390">
        <v>0</v>
      </c>
      <c r="D390">
        <v>56.2</v>
      </c>
      <c r="E390">
        <v>3.2679999999999998</v>
      </c>
      <c r="F390">
        <v>223.47005519999999</v>
      </c>
      <c r="G390">
        <v>6.8330000000000002</v>
      </c>
      <c r="N390" s="8"/>
    </row>
    <row r="391" spans="1:14" x14ac:dyDescent="0.25">
      <c r="A391" s="8">
        <v>40935</v>
      </c>
      <c r="B391">
        <v>349518.1</v>
      </c>
      <c r="C391">
        <v>0</v>
      </c>
      <c r="D391">
        <v>58.06</v>
      </c>
      <c r="E391">
        <v>3.29</v>
      </c>
      <c r="F391">
        <v>223.5645845</v>
      </c>
      <c r="G391">
        <v>6.8330000000000002</v>
      </c>
      <c r="N391" s="8"/>
    </row>
    <row r="392" spans="1:14" x14ac:dyDescent="0.25">
      <c r="A392" s="8">
        <v>40942</v>
      </c>
      <c r="B392">
        <v>424960.66</v>
      </c>
      <c r="C392">
        <v>0</v>
      </c>
      <c r="D392">
        <v>59.33</v>
      </c>
      <c r="E392">
        <v>3.36</v>
      </c>
      <c r="F392">
        <v>223.65911370000001</v>
      </c>
      <c r="G392">
        <v>6.8330000000000002</v>
      </c>
      <c r="N392" s="8"/>
    </row>
    <row r="393" spans="1:14" x14ac:dyDescent="0.25">
      <c r="A393" s="8">
        <v>40949</v>
      </c>
      <c r="B393">
        <v>473292.47</v>
      </c>
      <c r="C393">
        <v>1</v>
      </c>
      <c r="D393">
        <v>51.65</v>
      </c>
      <c r="E393">
        <v>3.4089999999999998</v>
      </c>
      <c r="F393">
        <v>223.75364300000001</v>
      </c>
      <c r="G393">
        <v>6.8330000000000002</v>
      </c>
      <c r="N393" s="8"/>
    </row>
    <row r="394" spans="1:14" x14ac:dyDescent="0.25">
      <c r="A394" s="8">
        <v>40956</v>
      </c>
      <c r="B394">
        <v>475591.08</v>
      </c>
      <c r="C394">
        <v>0</v>
      </c>
      <c r="D394">
        <v>52.39</v>
      </c>
      <c r="E394">
        <v>3.51</v>
      </c>
      <c r="F394">
        <v>223.9170153</v>
      </c>
      <c r="G394">
        <v>6.8330000000000002</v>
      </c>
      <c r="N394" s="8"/>
    </row>
    <row r="395" spans="1:14" x14ac:dyDescent="0.25">
      <c r="A395" s="8">
        <v>40963</v>
      </c>
      <c r="B395">
        <v>418925.47</v>
      </c>
      <c r="C395">
        <v>0</v>
      </c>
      <c r="D395">
        <v>60.12</v>
      </c>
      <c r="E395">
        <v>3.5550000000000002</v>
      </c>
      <c r="F395">
        <v>224.13201989999999</v>
      </c>
      <c r="G395">
        <v>6.8330000000000002</v>
      </c>
      <c r="N395" s="8"/>
    </row>
    <row r="396" spans="1:14" x14ac:dyDescent="0.25">
      <c r="A396" s="8">
        <v>40970</v>
      </c>
      <c r="B396">
        <v>469752.56</v>
      </c>
      <c r="C396">
        <v>0</v>
      </c>
      <c r="D396">
        <v>61.65</v>
      </c>
      <c r="E396">
        <v>3.63</v>
      </c>
      <c r="F396">
        <v>224.3470245</v>
      </c>
      <c r="G396">
        <v>6.8330000000000002</v>
      </c>
      <c r="N396" s="8"/>
    </row>
    <row r="397" spans="1:14" x14ac:dyDescent="0.25">
      <c r="A397" s="8">
        <v>40977</v>
      </c>
      <c r="B397">
        <v>445162.05</v>
      </c>
      <c r="C397">
        <v>0</v>
      </c>
      <c r="D397">
        <v>60.71</v>
      </c>
      <c r="E397">
        <v>3.669</v>
      </c>
      <c r="F397">
        <v>224.56202909999999</v>
      </c>
      <c r="G397">
        <v>6.8330000000000002</v>
      </c>
      <c r="N397" s="8"/>
    </row>
    <row r="398" spans="1:14" x14ac:dyDescent="0.25">
      <c r="A398" s="8">
        <v>40984</v>
      </c>
      <c r="B398">
        <v>411775.8</v>
      </c>
      <c r="C398">
        <v>0</v>
      </c>
      <c r="D398">
        <v>64</v>
      </c>
      <c r="E398">
        <v>3.734</v>
      </c>
      <c r="F398">
        <v>224.7166953</v>
      </c>
      <c r="G398">
        <v>6.8330000000000002</v>
      </c>
      <c r="N398" s="8"/>
    </row>
    <row r="399" spans="1:14" x14ac:dyDescent="0.25">
      <c r="A399" s="8">
        <v>40991</v>
      </c>
      <c r="B399">
        <v>413907.25</v>
      </c>
      <c r="C399">
        <v>0</v>
      </c>
      <c r="D399">
        <v>66.53</v>
      </c>
      <c r="E399">
        <v>3.7869999999999999</v>
      </c>
      <c r="F399">
        <v>224.7909104</v>
      </c>
      <c r="G399">
        <v>6.8330000000000002</v>
      </c>
      <c r="N399" s="8"/>
    </row>
    <row r="400" spans="1:14" x14ac:dyDescent="0.25">
      <c r="A400" s="8">
        <v>40998</v>
      </c>
      <c r="B400">
        <v>407488.84</v>
      </c>
      <c r="C400">
        <v>0</v>
      </c>
      <c r="D400">
        <v>69.36</v>
      </c>
      <c r="E400">
        <v>3.8450000000000002</v>
      </c>
      <c r="F400">
        <v>224.86512540000001</v>
      </c>
      <c r="G400">
        <v>6.8330000000000002</v>
      </c>
      <c r="N400" s="8"/>
    </row>
    <row r="401" spans="1:14" x14ac:dyDescent="0.25">
      <c r="A401" s="8">
        <v>41005</v>
      </c>
      <c r="B401">
        <v>503232.13</v>
      </c>
      <c r="C401">
        <v>0</v>
      </c>
      <c r="D401">
        <v>73.010000000000005</v>
      </c>
      <c r="E401">
        <v>3.891</v>
      </c>
      <c r="F401">
        <v>224.93934049999999</v>
      </c>
      <c r="G401">
        <v>6.6639999999999997</v>
      </c>
      <c r="N401" s="8"/>
    </row>
    <row r="402" spans="1:14" x14ac:dyDescent="0.25">
      <c r="A402" s="8">
        <v>41012</v>
      </c>
      <c r="B402">
        <v>420789.74</v>
      </c>
      <c r="C402">
        <v>0</v>
      </c>
      <c r="D402">
        <v>72.83</v>
      </c>
      <c r="E402">
        <v>3.891</v>
      </c>
      <c r="F402">
        <v>225.01355559999999</v>
      </c>
      <c r="G402">
        <v>6.6639999999999997</v>
      </c>
      <c r="N402" s="8"/>
    </row>
    <row r="403" spans="1:14" x14ac:dyDescent="0.25">
      <c r="A403" s="8">
        <v>41019</v>
      </c>
      <c r="B403">
        <v>434822.13</v>
      </c>
      <c r="C403">
        <v>0</v>
      </c>
      <c r="D403">
        <v>72.05</v>
      </c>
      <c r="E403">
        <v>3.8769999999999998</v>
      </c>
      <c r="F403">
        <v>225.06895410000001</v>
      </c>
      <c r="G403">
        <v>6.6639999999999997</v>
      </c>
      <c r="N403" s="8"/>
    </row>
    <row r="404" spans="1:14" x14ac:dyDescent="0.25">
      <c r="A404" s="8">
        <v>41026</v>
      </c>
      <c r="B404">
        <v>394616.11</v>
      </c>
      <c r="C404">
        <v>0</v>
      </c>
      <c r="D404">
        <v>73.39</v>
      </c>
      <c r="E404">
        <v>3.8140000000000001</v>
      </c>
      <c r="F404">
        <v>225.12435260000001</v>
      </c>
      <c r="G404">
        <v>6.6639999999999997</v>
      </c>
      <c r="N404" s="8"/>
    </row>
    <row r="405" spans="1:14" x14ac:dyDescent="0.25">
      <c r="A405" s="8">
        <v>41033</v>
      </c>
      <c r="B405">
        <v>439913.57</v>
      </c>
      <c r="C405">
        <v>0</v>
      </c>
      <c r="D405">
        <v>79.510000000000005</v>
      </c>
      <c r="E405">
        <v>3.7490000000000001</v>
      </c>
      <c r="F405">
        <v>225.1797511</v>
      </c>
      <c r="G405">
        <v>6.6639999999999997</v>
      </c>
      <c r="N405" s="8"/>
    </row>
    <row r="406" spans="1:14" x14ac:dyDescent="0.25">
      <c r="A406" s="8">
        <v>41040</v>
      </c>
      <c r="B406">
        <v>431985.36</v>
      </c>
      <c r="C406">
        <v>0</v>
      </c>
      <c r="D406">
        <v>75.19</v>
      </c>
      <c r="E406">
        <v>3.6880000000000002</v>
      </c>
      <c r="F406">
        <v>225.2351496</v>
      </c>
      <c r="G406">
        <v>6.6639999999999997</v>
      </c>
      <c r="N406" s="8"/>
    </row>
    <row r="407" spans="1:14" x14ac:dyDescent="0.25">
      <c r="A407" s="8">
        <v>41047</v>
      </c>
      <c r="B407">
        <v>418112.76</v>
      </c>
      <c r="C407">
        <v>0</v>
      </c>
      <c r="D407">
        <v>72.38</v>
      </c>
      <c r="E407">
        <v>3.63</v>
      </c>
      <c r="F407">
        <v>225.25120240000001</v>
      </c>
      <c r="G407">
        <v>6.6639999999999997</v>
      </c>
      <c r="N407" s="8"/>
    </row>
    <row r="408" spans="1:14" x14ac:dyDescent="0.25">
      <c r="A408" s="8">
        <v>41054</v>
      </c>
      <c r="B408">
        <v>413701.29</v>
      </c>
      <c r="C408">
        <v>0</v>
      </c>
      <c r="D408">
        <v>78.58</v>
      </c>
      <c r="E408">
        <v>3.5609999999999999</v>
      </c>
      <c r="F408">
        <v>225.25151679999999</v>
      </c>
      <c r="G408">
        <v>6.6639999999999997</v>
      </c>
      <c r="N408" s="8"/>
    </row>
    <row r="409" spans="1:14" x14ac:dyDescent="0.25">
      <c r="A409" s="8">
        <v>41061</v>
      </c>
      <c r="B409">
        <v>432268.53</v>
      </c>
      <c r="C409">
        <v>0</v>
      </c>
      <c r="D409">
        <v>81.55</v>
      </c>
      <c r="E409">
        <v>3.5009999999999999</v>
      </c>
      <c r="F409">
        <v>225.25183129999999</v>
      </c>
      <c r="G409">
        <v>6.6639999999999997</v>
      </c>
      <c r="N409" s="8"/>
    </row>
    <row r="410" spans="1:14" x14ac:dyDescent="0.25">
      <c r="A410" s="8">
        <v>41068</v>
      </c>
      <c r="B410">
        <v>446336.8</v>
      </c>
      <c r="C410">
        <v>0</v>
      </c>
      <c r="D410">
        <v>81.650000000000006</v>
      </c>
      <c r="E410">
        <v>3.452</v>
      </c>
      <c r="F410">
        <v>225.25214579999999</v>
      </c>
      <c r="G410">
        <v>6.6639999999999997</v>
      </c>
      <c r="N410" s="8"/>
    </row>
    <row r="411" spans="1:14" x14ac:dyDescent="0.25">
      <c r="A411" s="8">
        <v>41075</v>
      </c>
      <c r="B411">
        <v>442074.79</v>
      </c>
      <c r="C411">
        <v>0</v>
      </c>
      <c r="D411">
        <v>84.66</v>
      </c>
      <c r="E411">
        <v>3.3929999999999998</v>
      </c>
      <c r="F411">
        <v>225.26447949999999</v>
      </c>
      <c r="G411">
        <v>6.6639999999999997</v>
      </c>
      <c r="N411" s="8"/>
    </row>
    <row r="412" spans="1:14" x14ac:dyDescent="0.25">
      <c r="A412" s="8">
        <v>41082</v>
      </c>
      <c r="B412">
        <v>419497.95</v>
      </c>
      <c r="C412">
        <v>0</v>
      </c>
      <c r="D412">
        <v>82.7</v>
      </c>
      <c r="E412">
        <v>3.3460000000000001</v>
      </c>
      <c r="F412">
        <v>225.3068615</v>
      </c>
      <c r="G412">
        <v>6.6639999999999997</v>
      </c>
      <c r="N412" s="8"/>
    </row>
    <row r="413" spans="1:14" x14ac:dyDescent="0.25">
      <c r="A413" s="8">
        <v>41089</v>
      </c>
      <c r="B413">
        <v>422965.33</v>
      </c>
      <c r="C413">
        <v>0</v>
      </c>
      <c r="D413">
        <v>86.42</v>
      </c>
      <c r="E413">
        <v>3.286</v>
      </c>
      <c r="F413">
        <v>225.3492435</v>
      </c>
      <c r="G413">
        <v>6.6639999999999997</v>
      </c>
      <c r="N413" s="8"/>
    </row>
    <row r="414" spans="1:14" x14ac:dyDescent="0.25">
      <c r="A414" s="8">
        <v>41096</v>
      </c>
      <c r="B414">
        <v>411206.5</v>
      </c>
      <c r="C414">
        <v>0</v>
      </c>
      <c r="D414">
        <v>83.14</v>
      </c>
      <c r="E414">
        <v>3.2269999999999999</v>
      </c>
      <c r="F414">
        <v>225.39162540000001</v>
      </c>
      <c r="G414">
        <v>6.3339999999999996</v>
      </c>
      <c r="N414" s="8"/>
    </row>
    <row r="415" spans="1:14" x14ac:dyDescent="0.25">
      <c r="A415" s="8">
        <v>41103</v>
      </c>
      <c r="B415">
        <v>416913.1</v>
      </c>
      <c r="C415">
        <v>0</v>
      </c>
      <c r="D415">
        <v>82.28</v>
      </c>
      <c r="E415">
        <v>3.2559999999999998</v>
      </c>
      <c r="F415">
        <v>225.43400740000001</v>
      </c>
      <c r="G415">
        <v>6.3339999999999996</v>
      </c>
      <c r="N415" s="8"/>
    </row>
    <row r="416" spans="1:14" x14ac:dyDescent="0.25">
      <c r="A416" s="8">
        <v>41110</v>
      </c>
      <c r="B416">
        <v>432424.85</v>
      </c>
      <c r="C416">
        <v>0</v>
      </c>
      <c r="D416">
        <v>81.38</v>
      </c>
      <c r="E416">
        <v>3.3109999999999999</v>
      </c>
      <c r="F416">
        <v>225.44388269999999</v>
      </c>
      <c r="G416">
        <v>6.3339999999999996</v>
      </c>
      <c r="N416" s="8"/>
    </row>
    <row r="417" spans="1:14" x14ac:dyDescent="0.25">
      <c r="A417" s="8">
        <v>41117</v>
      </c>
      <c r="B417">
        <v>389427.9</v>
      </c>
      <c r="C417">
        <v>0</v>
      </c>
      <c r="D417">
        <v>84.94</v>
      </c>
      <c r="E417">
        <v>3.407</v>
      </c>
      <c r="F417">
        <v>225.4537579</v>
      </c>
      <c r="G417">
        <v>6.3339999999999996</v>
      </c>
      <c r="N417" s="8"/>
    </row>
    <row r="418" spans="1:14" x14ac:dyDescent="0.25">
      <c r="A418" s="8">
        <v>41124</v>
      </c>
      <c r="B418">
        <v>419990.29</v>
      </c>
      <c r="C418">
        <v>0</v>
      </c>
      <c r="D418">
        <v>86.55</v>
      </c>
      <c r="E418">
        <v>3.4169999999999998</v>
      </c>
      <c r="F418">
        <v>225.4636332</v>
      </c>
      <c r="G418">
        <v>6.3339999999999996</v>
      </c>
      <c r="N418" s="8"/>
    </row>
    <row r="419" spans="1:14" x14ac:dyDescent="0.25">
      <c r="A419" s="8">
        <v>41131</v>
      </c>
      <c r="B419">
        <v>391811.6</v>
      </c>
      <c r="C419">
        <v>0</v>
      </c>
      <c r="D419">
        <v>85.85</v>
      </c>
      <c r="E419">
        <v>3.4940000000000002</v>
      </c>
      <c r="F419">
        <v>225.47350850000001</v>
      </c>
      <c r="G419">
        <v>6.3339999999999996</v>
      </c>
      <c r="N419" s="8"/>
    </row>
    <row r="420" spans="1:14" x14ac:dyDescent="0.25">
      <c r="A420" s="8">
        <v>41138</v>
      </c>
      <c r="B420">
        <v>394918.83</v>
      </c>
      <c r="C420">
        <v>0</v>
      </c>
      <c r="D420">
        <v>87.36</v>
      </c>
      <c r="E420">
        <v>3.5710000000000002</v>
      </c>
      <c r="F420">
        <v>225.55586640000001</v>
      </c>
      <c r="G420">
        <v>6.3339999999999996</v>
      </c>
      <c r="N420" s="8"/>
    </row>
    <row r="421" spans="1:14" x14ac:dyDescent="0.25">
      <c r="A421" s="8">
        <v>41145</v>
      </c>
      <c r="B421">
        <v>412449.67</v>
      </c>
      <c r="C421">
        <v>0</v>
      </c>
      <c r="D421">
        <v>83.01</v>
      </c>
      <c r="E421">
        <v>3.62</v>
      </c>
      <c r="F421">
        <v>225.69258640000001</v>
      </c>
      <c r="G421">
        <v>6.3339999999999996</v>
      </c>
      <c r="N421" s="8"/>
    </row>
    <row r="422" spans="1:14" x14ac:dyDescent="0.25">
      <c r="A422" s="8">
        <v>41152</v>
      </c>
      <c r="B422">
        <v>408838.73</v>
      </c>
      <c r="C422">
        <v>0</v>
      </c>
      <c r="D422">
        <v>85.18</v>
      </c>
      <c r="E422">
        <v>3.6379999999999999</v>
      </c>
      <c r="F422">
        <v>225.82930630000001</v>
      </c>
      <c r="G422">
        <v>6.3339999999999996</v>
      </c>
      <c r="N422" s="8"/>
    </row>
    <row r="423" spans="1:14" x14ac:dyDescent="0.25">
      <c r="A423" s="8">
        <v>41159</v>
      </c>
      <c r="B423">
        <v>408229.73</v>
      </c>
      <c r="C423">
        <v>1</v>
      </c>
      <c r="D423">
        <v>84.99</v>
      </c>
      <c r="E423">
        <v>3.73</v>
      </c>
      <c r="F423">
        <v>225.96602630000001</v>
      </c>
      <c r="G423">
        <v>6.3339999999999996</v>
      </c>
      <c r="N423" s="8"/>
    </row>
    <row r="424" spans="1:14" x14ac:dyDescent="0.25">
      <c r="A424" s="8">
        <v>41166</v>
      </c>
      <c r="B424">
        <v>407589.16</v>
      </c>
      <c r="C424">
        <v>0</v>
      </c>
      <c r="D424">
        <v>78.36</v>
      </c>
      <c r="E424">
        <v>3.7170000000000001</v>
      </c>
      <c r="F424">
        <v>226.1122067</v>
      </c>
      <c r="G424">
        <v>6.3339999999999996</v>
      </c>
      <c r="N424" s="8"/>
    </row>
    <row r="425" spans="1:14" x14ac:dyDescent="0.25">
      <c r="A425" s="8">
        <v>41173</v>
      </c>
      <c r="B425">
        <v>414392.09</v>
      </c>
      <c r="C425">
        <v>0</v>
      </c>
      <c r="D425">
        <v>72.78</v>
      </c>
      <c r="E425">
        <v>3.7210000000000001</v>
      </c>
      <c r="F425">
        <v>226.31514960000001</v>
      </c>
      <c r="G425">
        <v>6.3339999999999996</v>
      </c>
      <c r="N425" s="8"/>
    </row>
    <row r="426" spans="1:14" x14ac:dyDescent="0.25">
      <c r="A426" s="8">
        <v>41180</v>
      </c>
      <c r="B426">
        <v>389813.02</v>
      </c>
      <c r="C426">
        <v>0</v>
      </c>
      <c r="D426">
        <v>77.459999999999994</v>
      </c>
      <c r="E426">
        <v>3.6659999999999999</v>
      </c>
      <c r="F426">
        <v>226.51809259999999</v>
      </c>
      <c r="G426">
        <v>6.3339999999999996</v>
      </c>
      <c r="N426" s="8"/>
    </row>
    <row r="427" spans="1:14" x14ac:dyDescent="0.25">
      <c r="A427" s="8">
        <v>41187</v>
      </c>
      <c r="B427">
        <v>443557.65</v>
      </c>
      <c r="C427">
        <v>0</v>
      </c>
      <c r="D427">
        <v>72.739999999999995</v>
      </c>
      <c r="E427">
        <v>3.617</v>
      </c>
      <c r="F427">
        <v>226.72103559999999</v>
      </c>
      <c r="G427">
        <v>6.0339999999999998</v>
      </c>
      <c r="N427" s="8"/>
    </row>
    <row r="428" spans="1:14" x14ac:dyDescent="0.25">
      <c r="A428" s="8">
        <v>41194</v>
      </c>
      <c r="B428">
        <v>410804.39</v>
      </c>
      <c r="C428">
        <v>0</v>
      </c>
      <c r="D428">
        <v>70.31</v>
      </c>
      <c r="E428">
        <v>3.601</v>
      </c>
      <c r="F428">
        <v>226.9239785</v>
      </c>
      <c r="G428">
        <v>6.0339999999999998</v>
      </c>
      <c r="N428" s="8"/>
    </row>
    <row r="429" spans="1:14" x14ac:dyDescent="0.25">
      <c r="A429" s="8">
        <v>41201</v>
      </c>
      <c r="B429">
        <v>424513.08</v>
      </c>
      <c r="C429">
        <v>0</v>
      </c>
      <c r="D429">
        <v>73.44</v>
      </c>
      <c r="E429">
        <v>3.5939999999999999</v>
      </c>
      <c r="F429">
        <v>226.96884420000001</v>
      </c>
      <c r="G429">
        <v>6.0339999999999998</v>
      </c>
      <c r="N429" s="8"/>
    </row>
    <row r="430" spans="1:14" x14ac:dyDescent="0.25">
      <c r="A430" s="8">
        <v>41208</v>
      </c>
      <c r="B430">
        <v>405432.7</v>
      </c>
      <c r="C430">
        <v>0</v>
      </c>
      <c r="D430">
        <v>74.66</v>
      </c>
      <c r="E430">
        <v>3.5059999999999998</v>
      </c>
      <c r="F430">
        <v>226.9873637</v>
      </c>
      <c r="G430">
        <v>6.0339999999999998</v>
      </c>
      <c r="N430" s="8"/>
    </row>
    <row r="431" spans="1:14" x14ac:dyDescent="0.25">
      <c r="A431" s="8">
        <v>40214</v>
      </c>
      <c r="B431">
        <v>2135143.87</v>
      </c>
      <c r="C431">
        <v>0</v>
      </c>
      <c r="D431">
        <v>43.76</v>
      </c>
      <c r="E431">
        <v>2.5979999999999999</v>
      </c>
      <c r="F431">
        <v>126.4420645</v>
      </c>
      <c r="G431">
        <v>8.6229999999999993</v>
      </c>
      <c r="N431" s="8"/>
    </row>
    <row r="432" spans="1:14" x14ac:dyDescent="0.25">
      <c r="A432" s="8">
        <v>40221</v>
      </c>
      <c r="B432">
        <v>2188307.39</v>
      </c>
      <c r="C432">
        <v>1</v>
      </c>
      <c r="D432">
        <v>28.84</v>
      </c>
      <c r="E432">
        <v>2.573</v>
      </c>
      <c r="F432">
        <v>126.49625810000001</v>
      </c>
      <c r="G432">
        <v>8.6229999999999993</v>
      </c>
      <c r="N432" s="8"/>
    </row>
    <row r="433" spans="1:14" x14ac:dyDescent="0.25">
      <c r="A433" s="8">
        <v>40228</v>
      </c>
      <c r="B433">
        <v>2049860.26</v>
      </c>
      <c r="C433">
        <v>0</v>
      </c>
      <c r="D433">
        <v>36.450000000000003</v>
      </c>
      <c r="E433">
        <v>2.54</v>
      </c>
      <c r="F433">
        <v>126.5262857</v>
      </c>
      <c r="G433">
        <v>8.6229999999999993</v>
      </c>
      <c r="N433" s="8"/>
    </row>
    <row r="434" spans="1:14" x14ac:dyDescent="0.25">
      <c r="A434" s="8">
        <v>40235</v>
      </c>
      <c r="B434">
        <v>1925728.84</v>
      </c>
      <c r="C434">
        <v>0</v>
      </c>
      <c r="D434">
        <v>41.36</v>
      </c>
      <c r="E434">
        <v>2.59</v>
      </c>
      <c r="F434">
        <v>126.5522857</v>
      </c>
      <c r="G434">
        <v>8.6229999999999993</v>
      </c>
      <c r="N434" s="8"/>
    </row>
    <row r="435" spans="1:14" x14ac:dyDescent="0.25">
      <c r="A435" s="8">
        <v>40242</v>
      </c>
      <c r="B435">
        <v>1971057.44</v>
      </c>
      <c r="C435">
        <v>0</v>
      </c>
      <c r="D435">
        <v>43.49</v>
      </c>
      <c r="E435">
        <v>2.6539999999999999</v>
      </c>
      <c r="F435">
        <v>126.5782857</v>
      </c>
      <c r="G435">
        <v>8.6229999999999993</v>
      </c>
      <c r="N435" s="8"/>
    </row>
    <row r="436" spans="1:14" x14ac:dyDescent="0.25">
      <c r="A436" s="8">
        <v>40249</v>
      </c>
      <c r="B436">
        <v>1894324.09</v>
      </c>
      <c r="C436">
        <v>0</v>
      </c>
      <c r="D436">
        <v>49.63</v>
      </c>
      <c r="E436">
        <v>2.7040000000000002</v>
      </c>
      <c r="F436">
        <v>126.60428570000001</v>
      </c>
      <c r="G436">
        <v>8.6229999999999993</v>
      </c>
      <c r="N436" s="8"/>
    </row>
    <row r="437" spans="1:14" x14ac:dyDescent="0.25">
      <c r="A437" s="8">
        <v>40256</v>
      </c>
      <c r="B437">
        <v>1897429.36</v>
      </c>
      <c r="C437">
        <v>0</v>
      </c>
      <c r="D437">
        <v>55.19</v>
      </c>
      <c r="E437">
        <v>2.7429999999999999</v>
      </c>
      <c r="F437">
        <v>126.6066452</v>
      </c>
      <c r="G437">
        <v>8.6229999999999993</v>
      </c>
      <c r="N437" s="8"/>
    </row>
    <row r="438" spans="1:14" x14ac:dyDescent="0.25">
      <c r="A438" s="8">
        <v>40263</v>
      </c>
      <c r="B438">
        <v>1762539.3</v>
      </c>
      <c r="C438">
        <v>0</v>
      </c>
      <c r="D438">
        <v>39.909999999999997</v>
      </c>
      <c r="E438">
        <v>2.7519999999999998</v>
      </c>
      <c r="F438">
        <v>126.6050645</v>
      </c>
      <c r="G438">
        <v>8.6229999999999993</v>
      </c>
      <c r="N438" s="8"/>
    </row>
    <row r="439" spans="1:14" x14ac:dyDescent="0.25">
      <c r="A439" s="8">
        <v>40270</v>
      </c>
      <c r="B439">
        <v>1979247.12</v>
      </c>
      <c r="C439">
        <v>0</v>
      </c>
      <c r="D439">
        <v>48.77</v>
      </c>
      <c r="E439">
        <v>2.74</v>
      </c>
      <c r="F439">
        <v>126.6034839</v>
      </c>
      <c r="G439">
        <v>7.8959999999999999</v>
      </c>
      <c r="N439" s="8"/>
    </row>
    <row r="440" spans="1:14" x14ac:dyDescent="0.25">
      <c r="A440" s="8">
        <v>40277</v>
      </c>
      <c r="B440">
        <v>1818452.72</v>
      </c>
      <c r="C440">
        <v>0</v>
      </c>
      <c r="D440">
        <v>54.16</v>
      </c>
      <c r="E440">
        <v>2.7730000000000001</v>
      </c>
      <c r="F440">
        <v>126.6019032</v>
      </c>
      <c r="G440">
        <v>7.8959999999999999</v>
      </c>
      <c r="N440" s="8"/>
    </row>
    <row r="441" spans="1:14" x14ac:dyDescent="0.25">
      <c r="A441" s="8">
        <v>40284</v>
      </c>
      <c r="B441">
        <v>1851519.69</v>
      </c>
      <c r="C441">
        <v>0</v>
      </c>
      <c r="D441">
        <v>56.23</v>
      </c>
      <c r="E441">
        <v>2.81</v>
      </c>
      <c r="F441">
        <v>126.5621</v>
      </c>
      <c r="G441">
        <v>7.8959999999999999</v>
      </c>
      <c r="N441" s="8"/>
    </row>
    <row r="442" spans="1:14" x14ac:dyDescent="0.25">
      <c r="A442" s="8">
        <v>40291</v>
      </c>
      <c r="B442">
        <v>1802677.9</v>
      </c>
      <c r="C442">
        <v>0</v>
      </c>
      <c r="D442">
        <v>56.87</v>
      </c>
      <c r="E442">
        <v>2.8050000000000002</v>
      </c>
      <c r="F442">
        <v>126.4713333</v>
      </c>
      <c r="G442">
        <v>7.8959999999999999</v>
      </c>
      <c r="N442" s="8"/>
    </row>
    <row r="443" spans="1:14" x14ac:dyDescent="0.25">
      <c r="A443" s="8">
        <v>40298</v>
      </c>
      <c r="B443">
        <v>1817273.28</v>
      </c>
      <c r="C443">
        <v>0</v>
      </c>
      <c r="D443">
        <v>53.04</v>
      </c>
      <c r="E443">
        <v>2.7869999999999999</v>
      </c>
      <c r="F443">
        <v>126.3805667</v>
      </c>
      <c r="G443">
        <v>7.8959999999999999</v>
      </c>
      <c r="N443" s="8"/>
    </row>
    <row r="444" spans="1:14" x14ac:dyDescent="0.25">
      <c r="A444" s="8">
        <v>40305</v>
      </c>
      <c r="B444">
        <v>2000626.14</v>
      </c>
      <c r="C444">
        <v>0</v>
      </c>
      <c r="D444">
        <v>56.77</v>
      </c>
      <c r="E444">
        <v>2.8359999999999999</v>
      </c>
      <c r="F444">
        <v>126.2898</v>
      </c>
      <c r="G444">
        <v>7.8959999999999999</v>
      </c>
      <c r="N444" s="8"/>
    </row>
    <row r="445" spans="1:14" x14ac:dyDescent="0.25">
      <c r="A445" s="8">
        <v>40312</v>
      </c>
      <c r="B445">
        <v>1875597.28</v>
      </c>
      <c r="C445">
        <v>0</v>
      </c>
      <c r="D445">
        <v>62.35</v>
      </c>
      <c r="E445">
        <v>2.8450000000000002</v>
      </c>
      <c r="F445">
        <v>126.2085484</v>
      </c>
      <c r="G445">
        <v>7.8959999999999999</v>
      </c>
      <c r="N445" s="8"/>
    </row>
    <row r="446" spans="1:14" x14ac:dyDescent="0.25">
      <c r="A446" s="8">
        <v>40319</v>
      </c>
      <c r="B446">
        <v>1903752.6</v>
      </c>
      <c r="C446">
        <v>0</v>
      </c>
      <c r="D446">
        <v>67.400000000000006</v>
      </c>
      <c r="E446">
        <v>2.82</v>
      </c>
      <c r="F446">
        <v>126.1843871</v>
      </c>
      <c r="G446">
        <v>7.8959999999999999</v>
      </c>
      <c r="N446" s="8"/>
    </row>
    <row r="447" spans="1:14" x14ac:dyDescent="0.25">
      <c r="A447" s="8">
        <v>40326</v>
      </c>
      <c r="B447">
        <v>1857533.7</v>
      </c>
      <c r="C447">
        <v>0</v>
      </c>
      <c r="D447">
        <v>67.73</v>
      </c>
      <c r="E447">
        <v>2.7559999999999998</v>
      </c>
      <c r="F447">
        <v>126.16022580000001</v>
      </c>
      <c r="G447">
        <v>7.8959999999999999</v>
      </c>
      <c r="N447" s="8"/>
    </row>
    <row r="448" spans="1:14" x14ac:dyDescent="0.25">
      <c r="A448" s="8">
        <v>40333</v>
      </c>
      <c r="B448">
        <v>1903290.58</v>
      </c>
      <c r="C448">
        <v>0</v>
      </c>
      <c r="D448">
        <v>70.83</v>
      </c>
      <c r="E448">
        <v>2.7010000000000001</v>
      </c>
      <c r="F448">
        <v>126.1360645</v>
      </c>
      <c r="G448">
        <v>7.8959999999999999</v>
      </c>
      <c r="N448" s="8"/>
    </row>
    <row r="449" spans="1:14" x14ac:dyDescent="0.25">
      <c r="A449" s="8">
        <v>40340</v>
      </c>
      <c r="B449">
        <v>1870619.23</v>
      </c>
      <c r="C449">
        <v>0</v>
      </c>
      <c r="D449">
        <v>78.45</v>
      </c>
      <c r="E449">
        <v>2.6680000000000001</v>
      </c>
      <c r="F449">
        <v>126.1119032</v>
      </c>
      <c r="G449">
        <v>7.8959999999999999</v>
      </c>
      <c r="N449" s="8"/>
    </row>
    <row r="450" spans="1:14" x14ac:dyDescent="0.25">
      <c r="A450" s="8">
        <v>40347</v>
      </c>
      <c r="B450">
        <v>1929736.35</v>
      </c>
      <c r="C450">
        <v>0</v>
      </c>
      <c r="D450">
        <v>81.53</v>
      </c>
      <c r="E450">
        <v>2.6349999999999998</v>
      </c>
      <c r="F450">
        <v>126.114</v>
      </c>
      <c r="G450">
        <v>7.8959999999999999</v>
      </c>
      <c r="N450" s="8"/>
    </row>
    <row r="451" spans="1:14" x14ac:dyDescent="0.25">
      <c r="A451" s="8">
        <v>40354</v>
      </c>
      <c r="B451">
        <v>1846651.95</v>
      </c>
      <c r="C451">
        <v>0</v>
      </c>
      <c r="D451">
        <v>81.099999999999994</v>
      </c>
      <c r="E451">
        <v>2.6539999999999999</v>
      </c>
      <c r="F451">
        <v>126.1266</v>
      </c>
      <c r="G451">
        <v>7.8959999999999999</v>
      </c>
      <c r="N451" s="8"/>
    </row>
    <row r="452" spans="1:14" x14ac:dyDescent="0.25">
      <c r="A452" s="8">
        <v>40361</v>
      </c>
      <c r="B452">
        <v>1881337.21</v>
      </c>
      <c r="C452">
        <v>0</v>
      </c>
      <c r="D452">
        <v>73.66</v>
      </c>
      <c r="E452">
        <v>2.6680000000000001</v>
      </c>
      <c r="F452">
        <v>126.1392</v>
      </c>
      <c r="G452">
        <v>7.3719999999999999</v>
      </c>
      <c r="N452" s="8"/>
    </row>
    <row r="453" spans="1:14" x14ac:dyDescent="0.25">
      <c r="A453" s="8">
        <v>40368</v>
      </c>
      <c r="B453">
        <v>1812208.22</v>
      </c>
      <c r="C453">
        <v>0</v>
      </c>
      <c r="D453">
        <v>80.349999999999994</v>
      </c>
      <c r="E453">
        <v>2.637</v>
      </c>
      <c r="F453">
        <v>126.15179999999999</v>
      </c>
      <c r="G453">
        <v>7.3719999999999999</v>
      </c>
      <c r="N453" s="8"/>
    </row>
    <row r="454" spans="1:14" x14ac:dyDescent="0.25">
      <c r="A454" s="8">
        <v>40375</v>
      </c>
      <c r="B454">
        <v>1898427.66</v>
      </c>
      <c r="C454">
        <v>0</v>
      </c>
      <c r="D454">
        <v>78.53</v>
      </c>
      <c r="E454">
        <v>2.621</v>
      </c>
      <c r="F454">
        <v>126.1498065</v>
      </c>
      <c r="G454">
        <v>7.3719999999999999</v>
      </c>
      <c r="N454" s="8"/>
    </row>
    <row r="455" spans="1:14" x14ac:dyDescent="0.25">
      <c r="A455" s="8">
        <v>40382</v>
      </c>
      <c r="B455">
        <v>1848426.78</v>
      </c>
      <c r="C455">
        <v>0</v>
      </c>
      <c r="D455">
        <v>79.78</v>
      </c>
      <c r="E455">
        <v>2.6120000000000001</v>
      </c>
      <c r="F455">
        <v>126.1283548</v>
      </c>
      <c r="G455">
        <v>7.3719999999999999</v>
      </c>
      <c r="N455" s="8"/>
    </row>
    <row r="456" spans="1:14" x14ac:dyDescent="0.25">
      <c r="A456" s="8">
        <v>40389</v>
      </c>
      <c r="B456">
        <v>1796637.61</v>
      </c>
      <c r="C456">
        <v>0</v>
      </c>
      <c r="D456">
        <v>80.7</v>
      </c>
      <c r="E456">
        <v>2.65</v>
      </c>
      <c r="F456">
        <v>126.1069032</v>
      </c>
      <c r="G456">
        <v>7.3719999999999999</v>
      </c>
      <c r="N456" s="8"/>
    </row>
    <row r="457" spans="1:14" x14ac:dyDescent="0.25">
      <c r="A457" s="8">
        <v>40396</v>
      </c>
      <c r="B457">
        <v>1907638.58</v>
      </c>
      <c r="C457">
        <v>0</v>
      </c>
      <c r="D457">
        <v>76.53</v>
      </c>
      <c r="E457">
        <v>2.64</v>
      </c>
      <c r="F457">
        <v>126.0854516</v>
      </c>
      <c r="G457">
        <v>7.3719999999999999</v>
      </c>
      <c r="N457" s="8"/>
    </row>
    <row r="458" spans="1:14" x14ac:dyDescent="0.25">
      <c r="A458" s="8">
        <v>40403</v>
      </c>
      <c r="B458">
        <v>2007050.75</v>
      </c>
      <c r="C458">
        <v>0</v>
      </c>
      <c r="D458">
        <v>78.08</v>
      </c>
      <c r="E458">
        <v>2.698</v>
      </c>
      <c r="F458">
        <v>126.06399999999999</v>
      </c>
      <c r="G458">
        <v>7.3719999999999999</v>
      </c>
      <c r="N458" s="8"/>
    </row>
    <row r="459" spans="1:14" x14ac:dyDescent="0.25">
      <c r="A459" s="8">
        <v>40410</v>
      </c>
      <c r="B459">
        <v>1997181.09</v>
      </c>
      <c r="C459">
        <v>0</v>
      </c>
      <c r="D459">
        <v>78.83</v>
      </c>
      <c r="E459">
        <v>2.6709999999999998</v>
      </c>
      <c r="F459">
        <v>126.0766452</v>
      </c>
      <c r="G459">
        <v>7.3719999999999999</v>
      </c>
      <c r="N459" s="8"/>
    </row>
    <row r="460" spans="1:14" x14ac:dyDescent="0.25">
      <c r="A460" s="8">
        <v>40417</v>
      </c>
      <c r="B460">
        <v>1848403.92</v>
      </c>
      <c r="C460">
        <v>0</v>
      </c>
      <c r="D460">
        <v>74.44</v>
      </c>
      <c r="E460">
        <v>2.621</v>
      </c>
      <c r="F460">
        <v>126.0892903</v>
      </c>
      <c r="G460">
        <v>7.3719999999999999</v>
      </c>
      <c r="N460" s="8"/>
    </row>
    <row r="461" spans="1:14" x14ac:dyDescent="0.25">
      <c r="A461" s="8">
        <v>40424</v>
      </c>
      <c r="B461">
        <v>1935857.58</v>
      </c>
      <c r="C461">
        <v>0</v>
      </c>
      <c r="D461">
        <v>76.8</v>
      </c>
      <c r="E461">
        <v>2.5840000000000001</v>
      </c>
      <c r="F461">
        <v>126.1019355</v>
      </c>
      <c r="G461">
        <v>7.3719999999999999</v>
      </c>
      <c r="N461" s="8"/>
    </row>
    <row r="462" spans="1:14" x14ac:dyDescent="0.25">
      <c r="A462" s="8">
        <v>40431</v>
      </c>
      <c r="B462">
        <v>1865820.81</v>
      </c>
      <c r="C462">
        <v>1</v>
      </c>
      <c r="D462">
        <v>73.540000000000006</v>
      </c>
      <c r="E462">
        <v>2.5739999999999998</v>
      </c>
      <c r="F462">
        <v>126.1145806</v>
      </c>
      <c r="G462">
        <v>7.3719999999999999</v>
      </c>
      <c r="N462" s="8"/>
    </row>
    <row r="463" spans="1:14" x14ac:dyDescent="0.25">
      <c r="A463" s="8">
        <v>40438</v>
      </c>
      <c r="B463">
        <v>1899959.61</v>
      </c>
      <c r="C463">
        <v>0</v>
      </c>
      <c r="D463">
        <v>64.91</v>
      </c>
      <c r="E463">
        <v>2.5939999999999999</v>
      </c>
      <c r="F463">
        <v>126.1454667</v>
      </c>
      <c r="G463">
        <v>7.3719999999999999</v>
      </c>
      <c r="N463" s="8"/>
    </row>
    <row r="464" spans="1:14" x14ac:dyDescent="0.25">
      <c r="A464" s="8">
        <v>40445</v>
      </c>
      <c r="B464">
        <v>1810684.68</v>
      </c>
      <c r="C464">
        <v>0</v>
      </c>
      <c r="D464">
        <v>60.96</v>
      </c>
      <c r="E464">
        <v>2.6419999999999999</v>
      </c>
      <c r="F464">
        <v>126.1900333</v>
      </c>
      <c r="G464">
        <v>7.3719999999999999</v>
      </c>
      <c r="N464" s="8"/>
    </row>
    <row r="465" spans="1:14" x14ac:dyDescent="0.25">
      <c r="A465" s="8">
        <v>40452</v>
      </c>
      <c r="B465">
        <v>1842821.02</v>
      </c>
      <c r="C465">
        <v>0</v>
      </c>
      <c r="D465">
        <v>63.96</v>
      </c>
      <c r="E465">
        <v>2.6190000000000002</v>
      </c>
      <c r="F465">
        <v>126.2346</v>
      </c>
      <c r="G465">
        <v>7.1269999999999998</v>
      </c>
      <c r="N465" s="8"/>
    </row>
    <row r="466" spans="1:14" x14ac:dyDescent="0.25">
      <c r="A466" s="8">
        <v>40459</v>
      </c>
      <c r="B466">
        <v>1951494.85</v>
      </c>
      <c r="C466">
        <v>0</v>
      </c>
      <c r="D466">
        <v>67.73</v>
      </c>
      <c r="E466">
        <v>2.645</v>
      </c>
      <c r="F466">
        <v>126.2791667</v>
      </c>
      <c r="G466">
        <v>7.1269999999999998</v>
      </c>
      <c r="N466" s="8"/>
    </row>
    <row r="467" spans="1:14" x14ac:dyDescent="0.25">
      <c r="A467" s="8">
        <v>40466</v>
      </c>
      <c r="B467">
        <v>1867345.09</v>
      </c>
      <c r="C467">
        <v>0</v>
      </c>
      <c r="D467">
        <v>62.03</v>
      </c>
      <c r="E467">
        <v>2.7320000000000002</v>
      </c>
      <c r="F467">
        <v>126.32667739999999</v>
      </c>
      <c r="G467">
        <v>7.1269999999999998</v>
      </c>
      <c r="N467" s="8"/>
    </row>
    <row r="468" spans="1:14" x14ac:dyDescent="0.25">
      <c r="A468" s="8">
        <v>40473</v>
      </c>
      <c r="B468">
        <v>1927610.06</v>
      </c>
      <c r="C468">
        <v>0</v>
      </c>
      <c r="D468">
        <v>64.17</v>
      </c>
      <c r="E468">
        <v>2.7360000000000002</v>
      </c>
      <c r="F468">
        <v>126.3815484</v>
      </c>
      <c r="G468">
        <v>7.1269999999999998</v>
      </c>
      <c r="N468" s="8"/>
    </row>
    <row r="469" spans="1:14" x14ac:dyDescent="0.25">
      <c r="A469" s="8">
        <v>40480</v>
      </c>
      <c r="B469">
        <v>1933333</v>
      </c>
      <c r="C469">
        <v>0</v>
      </c>
      <c r="D469">
        <v>56.94</v>
      </c>
      <c r="E469">
        <v>2.718</v>
      </c>
      <c r="F469">
        <v>126.43641940000001</v>
      </c>
      <c r="G469">
        <v>7.1269999999999998</v>
      </c>
      <c r="N469" s="8"/>
    </row>
    <row r="470" spans="1:14" x14ac:dyDescent="0.25">
      <c r="A470" s="8">
        <v>40487</v>
      </c>
      <c r="B470">
        <v>2013115.79</v>
      </c>
      <c r="C470">
        <v>0</v>
      </c>
      <c r="D470">
        <v>51.6</v>
      </c>
      <c r="E470">
        <v>2.6989999999999998</v>
      </c>
      <c r="F470">
        <v>126.4912903</v>
      </c>
      <c r="G470">
        <v>7.1269999999999998</v>
      </c>
      <c r="N470" s="8"/>
    </row>
    <row r="471" spans="1:14" x14ac:dyDescent="0.25">
      <c r="A471" s="8">
        <v>40494</v>
      </c>
      <c r="B471">
        <v>1999794.26</v>
      </c>
      <c r="C471">
        <v>0</v>
      </c>
      <c r="D471">
        <v>52.65</v>
      </c>
      <c r="E471">
        <v>2.7410000000000001</v>
      </c>
      <c r="F471">
        <v>126.54616129999999</v>
      </c>
      <c r="G471">
        <v>7.1269999999999998</v>
      </c>
      <c r="N471" s="8"/>
    </row>
    <row r="472" spans="1:14" x14ac:dyDescent="0.25">
      <c r="A472" s="8">
        <v>40501</v>
      </c>
      <c r="B472">
        <v>2097809.4</v>
      </c>
      <c r="C472">
        <v>0</v>
      </c>
      <c r="D472">
        <v>48.05</v>
      </c>
      <c r="E472">
        <v>2.78</v>
      </c>
      <c r="F472">
        <v>126.60720000000001</v>
      </c>
      <c r="G472">
        <v>7.1269999999999998</v>
      </c>
      <c r="N472" s="8"/>
    </row>
    <row r="473" spans="1:14" x14ac:dyDescent="0.25">
      <c r="A473" s="8">
        <v>40508</v>
      </c>
      <c r="B473">
        <v>2789469.45</v>
      </c>
      <c r="C473">
        <v>1</v>
      </c>
      <c r="D473">
        <v>48.08</v>
      </c>
      <c r="E473">
        <v>2.7519999999999998</v>
      </c>
      <c r="F473">
        <v>126.66926669999999</v>
      </c>
      <c r="G473">
        <v>7.1269999999999998</v>
      </c>
      <c r="N473" s="8"/>
    </row>
    <row r="474" spans="1:14" x14ac:dyDescent="0.25">
      <c r="A474" s="8">
        <v>40515</v>
      </c>
      <c r="B474">
        <v>2102530.17</v>
      </c>
      <c r="C474">
        <v>0</v>
      </c>
      <c r="D474">
        <v>46.4</v>
      </c>
      <c r="E474">
        <v>2.7269999999999999</v>
      </c>
      <c r="F474">
        <v>126.7313333</v>
      </c>
      <c r="G474">
        <v>7.1269999999999998</v>
      </c>
      <c r="N474" s="8"/>
    </row>
    <row r="475" spans="1:14" x14ac:dyDescent="0.25">
      <c r="A475" s="8">
        <v>40522</v>
      </c>
      <c r="B475">
        <v>2302504.86</v>
      </c>
      <c r="C475">
        <v>0</v>
      </c>
      <c r="D475">
        <v>42.4</v>
      </c>
      <c r="E475">
        <v>2.86</v>
      </c>
      <c r="F475">
        <v>126.79340000000001</v>
      </c>
      <c r="G475">
        <v>7.1269999999999998</v>
      </c>
      <c r="N475" s="8"/>
    </row>
    <row r="476" spans="1:14" x14ac:dyDescent="0.25">
      <c r="A476" s="8">
        <v>40529</v>
      </c>
      <c r="B476">
        <v>2740057.14</v>
      </c>
      <c r="C476">
        <v>0</v>
      </c>
      <c r="D476">
        <v>46.57</v>
      </c>
      <c r="E476">
        <v>2.8839999999999999</v>
      </c>
      <c r="F476">
        <v>126.8794839</v>
      </c>
      <c r="G476">
        <v>7.1269999999999998</v>
      </c>
      <c r="N476" s="8"/>
    </row>
    <row r="477" spans="1:14" x14ac:dyDescent="0.25">
      <c r="A477" s="8">
        <v>40536</v>
      </c>
      <c r="B477">
        <v>3526713.39</v>
      </c>
      <c r="C477">
        <v>0</v>
      </c>
      <c r="D477">
        <v>43.21</v>
      </c>
      <c r="E477">
        <v>2.887</v>
      </c>
      <c r="F477">
        <v>126.9835806</v>
      </c>
      <c r="G477">
        <v>7.1269999999999998</v>
      </c>
      <c r="N477" s="8"/>
    </row>
    <row r="478" spans="1:14" x14ac:dyDescent="0.25">
      <c r="A478" s="8">
        <v>40543</v>
      </c>
      <c r="B478">
        <v>1794868.74</v>
      </c>
      <c r="C478">
        <v>1</v>
      </c>
      <c r="D478">
        <v>38.090000000000003</v>
      </c>
      <c r="E478">
        <v>2.9550000000000001</v>
      </c>
      <c r="F478">
        <v>127.0876774</v>
      </c>
      <c r="G478">
        <v>7.1269999999999998</v>
      </c>
      <c r="N478" s="8"/>
    </row>
    <row r="479" spans="1:14" x14ac:dyDescent="0.25">
      <c r="A479" s="8">
        <v>40550</v>
      </c>
      <c r="B479">
        <v>1862476.27</v>
      </c>
      <c r="C479">
        <v>0</v>
      </c>
      <c r="D479">
        <v>39.340000000000003</v>
      </c>
      <c r="E479">
        <v>2.98</v>
      </c>
      <c r="F479">
        <v>127.1917742</v>
      </c>
      <c r="G479">
        <v>6.51</v>
      </c>
      <c r="N479" s="8"/>
    </row>
    <row r="480" spans="1:14" x14ac:dyDescent="0.25">
      <c r="A480" s="8">
        <v>40557</v>
      </c>
      <c r="B480">
        <v>1865502.46</v>
      </c>
      <c r="C480">
        <v>0</v>
      </c>
      <c r="D480">
        <v>31.6</v>
      </c>
      <c r="E480">
        <v>2.992</v>
      </c>
      <c r="F480">
        <v>127.30093549999999</v>
      </c>
      <c r="G480">
        <v>6.51</v>
      </c>
      <c r="N480" s="8"/>
    </row>
    <row r="481" spans="1:14" x14ac:dyDescent="0.25">
      <c r="A481" s="8">
        <v>40564</v>
      </c>
      <c r="B481">
        <v>1886393.94</v>
      </c>
      <c r="C481">
        <v>0</v>
      </c>
      <c r="D481">
        <v>38.340000000000003</v>
      </c>
      <c r="E481">
        <v>3.0169999999999999</v>
      </c>
      <c r="F481">
        <v>127.4404839</v>
      </c>
      <c r="G481">
        <v>6.51</v>
      </c>
      <c r="N481" s="8"/>
    </row>
    <row r="482" spans="1:14" x14ac:dyDescent="0.25">
      <c r="A482" s="8">
        <v>40571</v>
      </c>
      <c r="B482">
        <v>1814240.85</v>
      </c>
      <c r="C482">
        <v>0</v>
      </c>
      <c r="D482">
        <v>40.6</v>
      </c>
      <c r="E482">
        <v>3.0219999999999998</v>
      </c>
      <c r="F482">
        <v>127.5800323</v>
      </c>
      <c r="G482">
        <v>6.51</v>
      </c>
      <c r="N482" s="8"/>
    </row>
    <row r="483" spans="1:14" x14ac:dyDescent="0.25">
      <c r="A483" s="8">
        <v>40578</v>
      </c>
      <c r="B483">
        <v>2119086.04</v>
      </c>
      <c r="C483">
        <v>0</v>
      </c>
      <c r="D483">
        <v>34.61</v>
      </c>
      <c r="E483">
        <v>2.996</v>
      </c>
      <c r="F483">
        <v>127.7195806</v>
      </c>
      <c r="G483">
        <v>6.51</v>
      </c>
      <c r="N483" s="8"/>
    </row>
    <row r="484" spans="1:14" x14ac:dyDescent="0.25">
      <c r="A484" s="8">
        <v>40585</v>
      </c>
      <c r="B484">
        <v>2187847.29</v>
      </c>
      <c r="C484">
        <v>1</v>
      </c>
      <c r="D484">
        <v>33.29</v>
      </c>
      <c r="E484">
        <v>3.0329999999999999</v>
      </c>
      <c r="F484">
        <v>127.859129</v>
      </c>
      <c r="G484">
        <v>6.51</v>
      </c>
      <c r="N484" s="8"/>
    </row>
    <row r="485" spans="1:14" x14ac:dyDescent="0.25">
      <c r="A485" s="8">
        <v>40592</v>
      </c>
      <c r="B485">
        <v>2316495.56</v>
      </c>
      <c r="C485">
        <v>0</v>
      </c>
      <c r="D485">
        <v>48.17</v>
      </c>
      <c r="E485">
        <v>3.0579999999999998</v>
      </c>
      <c r="F485">
        <v>127.99525</v>
      </c>
      <c r="G485">
        <v>6.51</v>
      </c>
      <c r="N485" s="8"/>
    </row>
    <row r="486" spans="1:14" x14ac:dyDescent="0.25">
      <c r="A486" s="8">
        <v>40599</v>
      </c>
      <c r="B486">
        <v>2078094.69</v>
      </c>
      <c r="C486">
        <v>0</v>
      </c>
      <c r="D486">
        <v>49</v>
      </c>
      <c r="E486">
        <v>3.0870000000000002</v>
      </c>
      <c r="F486">
        <v>128.13</v>
      </c>
      <c r="G486">
        <v>6.51</v>
      </c>
      <c r="N486" s="8"/>
    </row>
    <row r="487" spans="1:14" x14ac:dyDescent="0.25">
      <c r="A487" s="8">
        <v>40606</v>
      </c>
      <c r="B487">
        <v>2103455.75</v>
      </c>
      <c r="C487">
        <v>0</v>
      </c>
      <c r="D487">
        <v>46.56</v>
      </c>
      <c r="E487">
        <v>3.3050000000000002</v>
      </c>
      <c r="F487">
        <v>128.26474999999999</v>
      </c>
      <c r="G487">
        <v>6.51</v>
      </c>
      <c r="N487" s="8"/>
    </row>
    <row r="488" spans="1:14" x14ac:dyDescent="0.25">
      <c r="A488" s="8">
        <v>40613</v>
      </c>
      <c r="B488">
        <v>2039818.41</v>
      </c>
      <c r="C488">
        <v>0</v>
      </c>
      <c r="D488">
        <v>50.93</v>
      </c>
      <c r="E488">
        <v>3.4609999999999999</v>
      </c>
      <c r="F488">
        <v>128.39949999999999</v>
      </c>
      <c r="G488">
        <v>6.51</v>
      </c>
      <c r="N488" s="8"/>
    </row>
    <row r="489" spans="1:14" x14ac:dyDescent="0.25">
      <c r="A489" s="8">
        <v>40620</v>
      </c>
      <c r="B489">
        <v>2116475.38</v>
      </c>
      <c r="C489">
        <v>0</v>
      </c>
      <c r="D489">
        <v>51.86</v>
      </c>
      <c r="E489">
        <v>3.4950000000000001</v>
      </c>
      <c r="F489">
        <v>128.5121935</v>
      </c>
      <c r="G489">
        <v>6.51</v>
      </c>
      <c r="N489" s="8"/>
    </row>
    <row r="490" spans="1:14" x14ac:dyDescent="0.25">
      <c r="A490" s="8">
        <v>40627</v>
      </c>
      <c r="B490">
        <v>1944164.32</v>
      </c>
      <c r="C490">
        <v>0</v>
      </c>
      <c r="D490">
        <v>59.1</v>
      </c>
      <c r="E490">
        <v>3.48</v>
      </c>
      <c r="F490">
        <v>128.61606449999999</v>
      </c>
      <c r="G490">
        <v>6.51</v>
      </c>
      <c r="N490" s="8"/>
    </row>
    <row r="491" spans="1:14" x14ac:dyDescent="0.25">
      <c r="A491" s="8">
        <v>40634</v>
      </c>
      <c r="B491">
        <v>1900246.47</v>
      </c>
      <c r="C491">
        <v>0</v>
      </c>
      <c r="D491">
        <v>56.99</v>
      </c>
      <c r="E491">
        <v>3.5209999999999999</v>
      </c>
      <c r="F491">
        <v>128.71993549999999</v>
      </c>
      <c r="G491">
        <v>5.9459999999999997</v>
      </c>
      <c r="N491" s="8"/>
    </row>
    <row r="492" spans="1:14" x14ac:dyDescent="0.25">
      <c r="A492" s="8">
        <v>40641</v>
      </c>
      <c r="B492">
        <v>2074953.46</v>
      </c>
      <c r="C492">
        <v>0</v>
      </c>
      <c r="D492">
        <v>62.61</v>
      </c>
      <c r="E492">
        <v>3.605</v>
      </c>
      <c r="F492">
        <v>128.82380649999999</v>
      </c>
      <c r="G492">
        <v>5.9459999999999997</v>
      </c>
      <c r="N492" s="8"/>
    </row>
    <row r="493" spans="1:14" x14ac:dyDescent="0.25">
      <c r="A493" s="8">
        <v>40648</v>
      </c>
      <c r="B493">
        <v>1960587.76</v>
      </c>
      <c r="C493">
        <v>0</v>
      </c>
      <c r="D493">
        <v>62.34</v>
      </c>
      <c r="E493">
        <v>3.7240000000000002</v>
      </c>
      <c r="F493">
        <v>128.9107333</v>
      </c>
      <c r="G493">
        <v>5.9459999999999997</v>
      </c>
      <c r="N493" s="8"/>
    </row>
    <row r="494" spans="1:14" x14ac:dyDescent="0.25">
      <c r="A494" s="8">
        <v>40655</v>
      </c>
      <c r="B494">
        <v>2220600.7599999998</v>
      </c>
      <c r="C494">
        <v>0</v>
      </c>
      <c r="D494">
        <v>68.8</v>
      </c>
      <c r="E494">
        <v>3.7810000000000001</v>
      </c>
      <c r="F494">
        <v>128.95529999999999</v>
      </c>
      <c r="G494">
        <v>5.9459999999999997</v>
      </c>
      <c r="N494" s="8"/>
    </row>
    <row r="495" spans="1:14" x14ac:dyDescent="0.25">
      <c r="A495" s="8">
        <v>40662</v>
      </c>
      <c r="B495">
        <v>1878167.44</v>
      </c>
      <c r="C495">
        <v>0</v>
      </c>
      <c r="D495">
        <v>64.22</v>
      </c>
      <c r="E495">
        <v>3.7810000000000001</v>
      </c>
      <c r="F495">
        <v>128.99986670000001</v>
      </c>
      <c r="G495">
        <v>5.9459999999999997</v>
      </c>
      <c r="N495" s="8"/>
    </row>
    <row r="496" spans="1:14" x14ac:dyDescent="0.25">
      <c r="A496" s="8">
        <v>40669</v>
      </c>
      <c r="B496">
        <v>2063682.76</v>
      </c>
      <c r="C496">
        <v>0</v>
      </c>
      <c r="D496">
        <v>63.41</v>
      </c>
      <c r="E496">
        <v>3.8660000000000001</v>
      </c>
      <c r="F496">
        <v>129.04443330000001</v>
      </c>
      <c r="G496">
        <v>5.9459999999999997</v>
      </c>
      <c r="N496" s="8"/>
    </row>
    <row r="497" spans="1:14" x14ac:dyDescent="0.25">
      <c r="A497" s="8">
        <v>40676</v>
      </c>
      <c r="B497">
        <v>2002362.37</v>
      </c>
      <c r="C497">
        <v>0</v>
      </c>
      <c r="D497">
        <v>70.650000000000006</v>
      </c>
      <c r="E497">
        <v>3.8719999999999999</v>
      </c>
      <c r="F497">
        <v>129.089</v>
      </c>
      <c r="G497">
        <v>5.9459999999999997</v>
      </c>
      <c r="N497" s="8"/>
    </row>
    <row r="498" spans="1:14" x14ac:dyDescent="0.25">
      <c r="A498" s="8">
        <v>40683</v>
      </c>
      <c r="B498">
        <v>2015563.48</v>
      </c>
      <c r="C498">
        <v>0</v>
      </c>
      <c r="D498">
        <v>70.489999999999995</v>
      </c>
      <c r="E498">
        <v>3.8809999999999998</v>
      </c>
      <c r="F498">
        <v>129.07567739999999</v>
      </c>
      <c r="G498">
        <v>5.9459999999999997</v>
      </c>
      <c r="N498" s="8"/>
    </row>
    <row r="499" spans="1:14" x14ac:dyDescent="0.25">
      <c r="A499" s="8">
        <v>40690</v>
      </c>
      <c r="B499">
        <v>1986597.95</v>
      </c>
      <c r="C499">
        <v>0</v>
      </c>
      <c r="D499">
        <v>73.650000000000006</v>
      </c>
      <c r="E499">
        <v>3.7709999999999999</v>
      </c>
      <c r="F499">
        <v>129.06235480000001</v>
      </c>
      <c r="G499">
        <v>5.9459999999999997</v>
      </c>
      <c r="N499" s="8"/>
    </row>
    <row r="500" spans="1:14" x14ac:dyDescent="0.25">
      <c r="A500" s="8">
        <v>40697</v>
      </c>
      <c r="B500">
        <v>2065377.15</v>
      </c>
      <c r="C500">
        <v>0</v>
      </c>
      <c r="D500">
        <v>78.260000000000005</v>
      </c>
      <c r="E500">
        <v>3.6829999999999998</v>
      </c>
      <c r="F500">
        <v>129.04903229999999</v>
      </c>
      <c r="G500">
        <v>5.9459999999999997</v>
      </c>
      <c r="N500" s="8"/>
    </row>
    <row r="501" spans="1:14" x14ac:dyDescent="0.25">
      <c r="A501" s="8">
        <v>40704</v>
      </c>
      <c r="B501">
        <v>2073951.38</v>
      </c>
      <c r="C501">
        <v>0</v>
      </c>
      <c r="D501">
        <v>80.05</v>
      </c>
      <c r="E501">
        <v>3.64</v>
      </c>
      <c r="F501">
        <v>129.03570970000001</v>
      </c>
      <c r="G501">
        <v>5.9459999999999997</v>
      </c>
      <c r="N501" s="8"/>
    </row>
    <row r="502" spans="1:14" x14ac:dyDescent="0.25">
      <c r="A502" s="8">
        <v>40711</v>
      </c>
      <c r="B502">
        <v>2141210.62</v>
      </c>
      <c r="C502">
        <v>0</v>
      </c>
      <c r="D502">
        <v>83.51</v>
      </c>
      <c r="E502">
        <v>3.6179999999999999</v>
      </c>
      <c r="F502">
        <v>129.04320000000001</v>
      </c>
      <c r="G502">
        <v>5.9459999999999997</v>
      </c>
      <c r="N502" s="8"/>
    </row>
    <row r="503" spans="1:14" x14ac:dyDescent="0.25">
      <c r="A503" s="8">
        <v>40718</v>
      </c>
      <c r="B503">
        <v>2008344.92</v>
      </c>
      <c r="C503">
        <v>0</v>
      </c>
      <c r="D503">
        <v>81.849999999999994</v>
      </c>
      <c r="E503">
        <v>3.57</v>
      </c>
      <c r="F503">
        <v>129.06630000000001</v>
      </c>
      <c r="G503">
        <v>5.9459999999999997</v>
      </c>
      <c r="N503" s="8"/>
    </row>
    <row r="504" spans="1:14" x14ac:dyDescent="0.25">
      <c r="A504" s="8">
        <v>40725</v>
      </c>
      <c r="B504">
        <v>2051533.53</v>
      </c>
      <c r="C504">
        <v>0</v>
      </c>
      <c r="D504">
        <v>84.54</v>
      </c>
      <c r="E504">
        <v>3.504</v>
      </c>
      <c r="F504">
        <v>129.08940000000001</v>
      </c>
      <c r="G504">
        <v>5.6440000000000001</v>
      </c>
      <c r="N504" s="8"/>
    </row>
    <row r="505" spans="1:14" x14ac:dyDescent="0.25">
      <c r="A505" s="8">
        <v>40732</v>
      </c>
      <c r="B505">
        <v>2066541.86</v>
      </c>
      <c r="C505">
        <v>0</v>
      </c>
      <c r="D505">
        <v>84.59</v>
      </c>
      <c r="E505">
        <v>3.4689999999999999</v>
      </c>
      <c r="F505">
        <v>129.11250000000001</v>
      </c>
      <c r="G505">
        <v>5.6440000000000001</v>
      </c>
      <c r="N505" s="8"/>
    </row>
    <row r="506" spans="1:14" x14ac:dyDescent="0.25">
      <c r="A506" s="8">
        <v>40739</v>
      </c>
      <c r="B506">
        <v>2049046.95</v>
      </c>
      <c r="C506">
        <v>0</v>
      </c>
      <c r="D506">
        <v>83.27</v>
      </c>
      <c r="E506">
        <v>3.5630000000000002</v>
      </c>
      <c r="F506">
        <v>129.13383870000001</v>
      </c>
      <c r="G506">
        <v>5.6440000000000001</v>
      </c>
      <c r="N506" s="8"/>
    </row>
    <row r="507" spans="1:14" x14ac:dyDescent="0.25">
      <c r="A507" s="8">
        <v>40746</v>
      </c>
      <c r="B507">
        <v>2036231.39</v>
      </c>
      <c r="C507">
        <v>0</v>
      </c>
      <c r="D507">
        <v>82.84</v>
      </c>
      <c r="E507">
        <v>3.6269999999999998</v>
      </c>
      <c r="F507">
        <v>129.1507742</v>
      </c>
      <c r="G507">
        <v>5.6440000000000001</v>
      </c>
      <c r="N507" s="8"/>
    </row>
    <row r="508" spans="1:14" x14ac:dyDescent="0.25">
      <c r="A508" s="8">
        <v>40753</v>
      </c>
      <c r="B508">
        <v>1989674.07</v>
      </c>
      <c r="C508">
        <v>0</v>
      </c>
      <c r="D508">
        <v>84.36</v>
      </c>
      <c r="E508">
        <v>3.6589999999999998</v>
      </c>
      <c r="F508">
        <v>129.16770969999999</v>
      </c>
      <c r="G508">
        <v>5.6440000000000001</v>
      </c>
      <c r="N508" s="8"/>
    </row>
    <row r="509" spans="1:14" x14ac:dyDescent="0.25">
      <c r="A509" s="8">
        <v>40760</v>
      </c>
      <c r="B509">
        <v>2160057.39</v>
      </c>
      <c r="C509">
        <v>0</v>
      </c>
      <c r="D509">
        <v>86.09</v>
      </c>
      <c r="E509">
        <v>3.6619999999999999</v>
      </c>
      <c r="F509">
        <v>129.18464520000001</v>
      </c>
      <c r="G509">
        <v>5.6440000000000001</v>
      </c>
      <c r="N509" s="8"/>
    </row>
    <row r="510" spans="1:14" x14ac:dyDescent="0.25">
      <c r="A510" s="8">
        <v>40767</v>
      </c>
      <c r="B510">
        <v>2105668.7400000002</v>
      </c>
      <c r="C510">
        <v>0</v>
      </c>
      <c r="D510">
        <v>82.98</v>
      </c>
      <c r="E510">
        <v>3.617</v>
      </c>
      <c r="F510">
        <v>129.2015806</v>
      </c>
      <c r="G510">
        <v>5.6440000000000001</v>
      </c>
      <c r="N510" s="8"/>
    </row>
    <row r="511" spans="1:14" x14ac:dyDescent="0.25">
      <c r="A511" s="8">
        <v>40774</v>
      </c>
      <c r="B511">
        <v>2232892.1</v>
      </c>
      <c r="C511">
        <v>0</v>
      </c>
      <c r="D511">
        <v>82.77</v>
      </c>
      <c r="E511">
        <v>3.55</v>
      </c>
      <c r="F511">
        <v>129.24058059999999</v>
      </c>
      <c r="G511">
        <v>5.6440000000000001</v>
      </c>
      <c r="N511" s="8"/>
    </row>
    <row r="512" spans="1:14" x14ac:dyDescent="0.25">
      <c r="A512" s="8">
        <v>40781</v>
      </c>
      <c r="B512">
        <v>1988490.21</v>
      </c>
      <c r="C512">
        <v>0</v>
      </c>
      <c r="D512">
        <v>81.47</v>
      </c>
      <c r="E512">
        <v>3.5230000000000001</v>
      </c>
      <c r="F512">
        <v>129.28325810000001</v>
      </c>
      <c r="G512">
        <v>5.6440000000000001</v>
      </c>
      <c r="N512" s="8"/>
    </row>
    <row r="513" spans="1:14" x14ac:dyDescent="0.25">
      <c r="A513" s="8">
        <v>40788</v>
      </c>
      <c r="B513">
        <v>2078420.31</v>
      </c>
      <c r="C513">
        <v>0</v>
      </c>
      <c r="D513">
        <v>77.989999999999995</v>
      </c>
      <c r="E513">
        <v>3.5329999999999999</v>
      </c>
      <c r="F513">
        <v>129.32593550000001</v>
      </c>
      <c r="G513">
        <v>5.6440000000000001</v>
      </c>
      <c r="N513" s="8"/>
    </row>
    <row r="514" spans="1:14" x14ac:dyDescent="0.25">
      <c r="A514" s="8">
        <v>40795</v>
      </c>
      <c r="B514">
        <v>2093139.01</v>
      </c>
      <c r="C514">
        <v>1</v>
      </c>
      <c r="D514">
        <v>73.34</v>
      </c>
      <c r="E514">
        <v>3.5539999999999998</v>
      </c>
      <c r="F514">
        <v>129.36861289999999</v>
      </c>
      <c r="G514">
        <v>5.6440000000000001</v>
      </c>
      <c r="N514" s="8"/>
    </row>
    <row r="515" spans="1:14" x14ac:dyDescent="0.25">
      <c r="A515" s="8">
        <v>40802</v>
      </c>
      <c r="B515">
        <v>2075577.33</v>
      </c>
      <c r="C515">
        <v>0</v>
      </c>
      <c r="D515">
        <v>72.760000000000005</v>
      </c>
      <c r="E515">
        <v>3.532</v>
      </c>
      <c r="F515">
        <v>129.4306</v>
      </c>
      <c r="G515">
        <v>5.6440000000000001</v>
      </c>
      <c r="N515" s="8"/>
    </row>
    <row r="516" spans="1:14" x14ac:dyDescent="0.25">
      <c r="A516" s="8">
        <v>40809</v>
      </c>
      <c r="B516">
        <v>2031406.41</v>
      </c>
      <c r="C516">
        <v>0</v>
      </c>
      <c r="D516">
        <v>69.23</v>
      </c>
      <c r="E516">
        <v>3.4729999999999999</v>
      </c>
      <c r="F516">
        <v>129.51833329999999</v>
      </c>
      <c r="G516">
        <v>5.6440000000000001</v>
      </c>
      <c r="N516" s="8"/>
    </row>
    <row r="517" spans="1:14" x14ac:dyDescent="0.25">
      <c r="A517" s="8">
        <v>40816</v>
      </c>
      <c r="B517">
        <v>1929486.63</v>
      </c>
      <c r="C517">
        <v>0</v>
      </c>
      <c r="D517">
        <v>72.150000000000006</v>
      </c>
      <c r="E517">
        <v>3.371</v>
      </c>
      <c r="F517">
        <v>129.60606670000001</v>
      </c>
      <c r="G517">
        <v>5.6440000000000001</v>
      </c>
      <c r="N517" s="8"/>
    </row>
    <row r="518" spans="1:14" x14ac:dyDescent="0.25">
      <c r="A518" s="8">
        <v>40823</v>
      </c>
      <c r="B518">
        <v>2166737.65</v>
      </c>
      <c r="C518">
        <v>0</v>
      </c>
      <c r="D518">
        <v>65.790000000000006</v>
      </c>
      <c r="E518">
        <v>3.2989999999999999</v>
      </c>
      <c r="F518">
        <v>129.69380000000001</v>
      </c>
      <c r="G518">
        <v>5.1429999999999998</v>
      </c>
      <c r="N518" s="8"/>
    </row>
    <row r="519" spans="1:14" x14ac:dyDescent="0.25">
      <c r="A519" s="8">
        <v>40830</v>
      </c>
      <c r="B519">
        <v>2074548.85</v>
      </c>
      <c r="C519">
        <v>0</v>
      </c>
      <c r="D519">
        <v>63.75</v>
      </c>
      <c r="E519">
        <v>3.2829999999999999</v>
      </c>
      <c r="F519">
        <v>129.77064519999999</v>
      </c>
      <c r="G519">
        <v>5.1429999999999998</v>
      </c>
      <c r="N519" s="8"/>
    </row>
    <row r="520" spans="1:14" x14ac:dyDescent="0.25">
      <c r="A520" s="8">
        <v>40837</v>
      </c>
      <c r="B520">
        <v>2207742.13</v>
      </c>
      <c r="C520">
        <v>0</v>
      </c>
      <c r="D520">
        <v>64.790000000000006</v>
      </c>
      <c r="E520">
        <v>3.3610000000000002</v>
      </c>
      <c r="F520">
        <v>129.78216130000001</v>
      </c>
      <c r="G520">
        <v>5.1429999999999998</v>
      </c>
      <c r="N520" s="8"/>
    </row>
    <row r="521" spans="1:14" x14ac:dyDescent="0.25">
      <c r="A521" s="8">
        <v>40844</v>
      </c>
      <c r="B521">
        <v>2151659.59</v>
      </c>
      <c r="C521">
        <v>0</v>
      </c>
      <c r="D521">
        <v>55.31</v>
      </c>
      <c r="E521">
        <v>3.3620000000000001</v>
      </c>
      <c r="F521">
        <v>129.79367740000001</v>
      </c>
      <c r="G521">
        <v>5.1429999999999998</v>
      </c>
      <c r="N521" s="8"/>
    </row>
    <row r="522" spans="1:14" x14ac:dyDescent="0.25">
      <c r="A522" s="8">
        <v>40851</v>
      </c>
      <c r="B522">
        <v>2281217.31</v>
      </c>
      <c r="C522">
        <v>0</v>
      </c>
      <c r="D522">
        <v>49.86</v>
      </c>
      <c r="E522">
        <v>3.3220000000000001</v>
      </c>
      <c r="F522">
        <v>129.8051935</v>
      </c>
      <c r="G522">
        <v>5.1429999999999998</v>
      </c>
      <c r="N522" s="8"/>
    </row>
    <row r="523" spans="1:14" x14ac:dyDescent="0.25">
      <c r="A523" s="8">
        <v>40858</v>
      </c>
      <c r="B523">
        <v>2203028.96</v>
      </c>
      <c r="C523">
        <v>0</v>
      </c>
      <c r="D523">
        <v>47.12</v>
      </c>
      <c r="E523">
        <v>3.286</v>
      </c>
      <c r="F523">
        <v>129.81670969999999</v>
      </c>
      <c r="G523">
        <v>5.1429999999999998</v>
      </c>
      <c r="N523" s="8"/>
    </row>
    <row r="524" spans="1:14" x14ac:dyDescent="0.25">
      <c r="A524" s="8">
        <v>40865</v>
      </c>
      <c r="B524">
        <v>2243946.59</v>
      </c>
      <c r="C524">
        <v>0</v>
      </c>
      <c r="D524">
        <v>50.44</v>
      </c>
      <c r="E524">
        <v>3.294</v>
      </c>
      <c r="F524">
        <v>129.8268333</v>
      </c>
      <c r="G524">
        <v>5.1429999999999998</v>
      </c>
      <c r="N524" s="8"/>
    </row>
    <row r="525" spans="1:14" x14ac:dyDescent="0.25">
      <c r="A525" s="8">
        <v>40872</v>
      </c>
      <c r="B525">
        <v>3004702.33</v>
      </c>
      <c r="C525">
        <v>1</v>
      </c>
      <c r="D525">
        <v>47.96</v>
      </c>
      <c r="E525">
        <v>3.2250000000000001</v>
      </c>
      <c r="F525">
        <v>129.8364</v>
      </c>
      <c r="G525">
        <v>5.1429999999999998</v>
      </c>
      <c r="N525" s="8"/>
    </row>
    <row r="526" spans="1:14" x14ac:dyDescent="0.25">
      <c r="A526" s="8">
        <v>40879</v>
      </c>
      <c r="B526">
        <v>2180999.2599999998</v>
      </c>
      <c r="C526">
        <v>0</v>
      </c>
      <c r="D526">
        <v>38.71</v>
      </c>
      <c r="E526">
        <v>3.1760000000000002</v>
      </c>
      <c r="F526">
        <v>129.84596669999999</v>
      </c>
      <c r="G526">
        <v>5.1429999999999998</v>
      </c>
      <c r="N526" s="8"/>
    </row>
    <row r="527" spans="1:14" x14ac:dyDescent="0.25">
      <c r="A527" s="8">
        <v>40886</v>
      </c>
      <c r="B527">
        <v>2508955.2400000002</v>
      </c>
      <c r="C527">
        <v>0</v>
      </c>
      <c r="D527">
        <v>31.64</v>
      </c>
      <c r="E527">
        <v>3.153</v>
      </c>
      <c r="F527">
        <v>129.85553329999999</v>
      </c>
      <c r="G527">
        <v>5.1429999999999998</v>
      </c>
      <c r="N527" s="8"/>
    </row>
    <row r="528" spans="1:14" x14ac:dyDescent="0.25">
      <c r="A528" s="8">
        <v>40893</v>
      </c>
      <c r="B528">
        <v>2771397.17</v>
      </c>
      <c r="C528">
        <v>0</v>
      </c>
      <c r="D528">
        <v>36.44</v>
      </c>
      <c r="E528">
        <v>3.149</v>
      </c>
      <c r="F528">
        <v>129.8980645</v>
      </c>
      <c r="G528">
        <v>5.1429999999999998</v>
      </c>
      <c r="N528" s="8"/>
    </row>
    <row r="529" spans="1:14" x14ac:dyDescent="0.25">
      <c r="A529" s="8">
        <v>40900</v>
      </c>
      <c r="B529">
        <v>3676388.98</v>
      </c>
      <c r="C529">
        <v>0</v>
      </c>
      <c r="D529">
        <v>35.92</v>
      </c>
      <c r="E529">
        <v>3.1030000000000002</v>
      </c>
      <c r="F529">
        <v>129.98454839999999</v>
      </c>
      <c r="G529">
        <v>5.1429999999999998</v>
      </c>
      <c r="N529" s="8"/>
    </row>
    <row r="530" spans="1:14" x14ac:dyDescent="0.25">
      <c r="A530" s="8">
        <v>40907</v>
      </c>
      <c r="B530">
        <v>2007105.86</v>
      </c>
      <c r="C530">
        <v>1</v>
      </c>
      <c r="D530">
        <v>36.89</v>
      </c>
      <c r="E530">
        <v>3.1190000000000002</v>
      </c>
      <c r="F530">
        <v>130.07103230000001</v>
      </c>
      <c r="G530">
        <v>5.1429999999999998</v>
      </c>
      <c r="N530" s="8"/>
    </row>
    <row r="531" spans="1:14" x14ac:dyDescent="0.25">
      <c r="A531" s="8">
        <v>40914</v>
      </c>
      <c r="B531">
        <v>2047766.07</v>
      </c>
      <c r="C531">
        <v>0</v>
      </c>
      <c r="D531">
        <v>38.64</v>
      </c>
      <c r="E531">
        <v>3.1579999999999999</v>
      </c>
      <c r="F531">
        <v>130.15751610000001</v>
      </c>
      <c r="G531">
        <v>4.6070000000000002</v>
      </c>
      <c r="N531" s="8"/>
    </row>
    <row r="532" spans="1:14" x14ac:dyDescent="0.25">
      <c r="A532" s="8">
        <v>40921</v>
      </c>
      <c r="B532">
        <v>1941676.61</v>
      </c>
      <c r="C532">
        <v>0</v>
      </c>
      <c r="D532">
        <v>34.409999999999997</v>
      </c>
      <c r="E532">
        <v>3.2629999999999999</v>
      </c>
      <c r="F532">
        <v>130.244</v>
      </c>
      <c r="G532">
        <v>4.6070000000000002</v>
      </c>
      <c r="N532" s="8"/>
    </row>
    <row r="533" spans="1:14" x14ac:dyDescent="0.25">
      <c r="A533" s="8">
        <v>40928</v>
      </c>
      <c r="B533">
        <v>2005097.76</v>
      </c>
      <c r="C533">
        <v>0</v>
      </c>
      <c r="D533">
        <v>42.09</v>
      </c>
      <c r="E533">
        <v>3.2730000000000001</v>
      </c>
      <c r="F533">
        <v>130.27922580000001</v>
      </c>
      <c r="G533">
        <v>4.6070000000000002</v>
      </c>
      <c r="N533" s="8"/>
    </row>
    <row r="534" spans="1:14" x14ac:dyDescent="0.25">
      <c r="A534" s="8">
        <v>40935</v>
      </c>
      <c r="B534">
        <v>1928720.51</v>
      </c>
      <c r="C534">
        <v>0</v>
      </c>
      <c r="D534">
        <v>40.31</v>
      </c>
      <c r="E534">
        <v>3.29</v>
      </c>
      <c r="F534">
        <v>130.31445160000001</v>
      </c>
      <c r="G534">
        <v>4.6070000000000002</v>
      </c>
      <c r="N534" s="8"/>
    </row>
    <row r="535" spans="1:14" x14ac:dyDescent="0.25">
      <c r="A535" s="8">
        <v>40942</v>
      </c>
      <c r="B535">
        <v>2173373.91</v>
      </c>
      <c r="C535">
        <v>0</v>
      </c>
      <c r="D535">
        <v>41.81</v>
      </c>
      <c r="E535">
        <v>3.3540000000000001</v>
      </c>
      <c r="F535">
        <v>130.34967739999999</v>
      </c>
      <c r="G535">
        <v>4.6070000000000002</v>
      </c>
      <c r="N535" s="8"/>
    </row>
    <row r="536" spans="1:14" x14ac:dyDescent="0.25">
      <c r="A536" s="8">
        <v>40949</v>
      </c>
      <c r="B536">
        <v>2374660.64</v>
      </c>
      <c r="C536">
        <v>1</v>
      </c>
      <c r="D536">
        <v>33</v>
      </c>
      <c r="E536">
        <v>3.411</v>
      </c>
      <c r="F536">
        <v>130.3849032</v>
      </c>
      <c r="G536">
        <v>4.6070000000000002</v>
      </c>
      <c r="N536" s="8"/>
    </row>
    <row r="537" spans="1:14" x14ac:dyDescent="0.25">
      <c r="A537" s="8">
        <v>40956</v>
      </c>
      <c r="B537">
        <v>2427640.17</v>
      </c>
      <c r="C537">
        <v>0</v>
      </c>
      <c r="D537">
        <v>34.19</v>
      </c>
      <c r="E537">
        <v>3.4929999999999999</v>
      </c>
      <c r="F537">
        <v>130.45462069999999</v>
      </c>
      <c r="G537">
        <v>4.6070000000000002</v>
      </c>
      <c r="N537" s="8"/>
    </row>
    <row r="538" spans="1:14" x14ac:dyDescent="0.25">
      <c r="A538" s="8">
        <v>40963</v>
      </c>
      <c r="B538">
        <v>2226662.17</v>
      </c>
      <c r="C538">
        <v>0</v>
      </c>
      <c r="D538">
        <v>41.31</v>
      </c>
      <c r="E538">
        <v>3.5409999999999999</v>
      </c>
      <c r="F538">
        <v>130.55020690000001</v>
      </c>
      <c r="G538">
        <v>4.6070000000000002</v>
      </c>
      <c r="N538" s="8"/>
    </row>
    <row r="539" spans="1:14" x14ac:dyDescent="0.25">
      <c r="A539" s="8">
        <v>40970</v>
      </c>
      <c r="B539">
        <v>2206319.9</v>
      </c>
      <c r="C539">
        <v>0</v>
      </c>
      <c r="D539">
        <v>50.38</v>
      </c>
      <c r="E539">
        <v>3.6190000000000002</v>
      </c>
      <c r="F539">
        <v>130.64579309999999</v>
      </c>
      <c r="G539">
        <v>4.6070000000000002</v>
      </c>
      <c r="N539" s="8"/>
    </row>
    <row r="540" spans="1:14" x14ac:dyDescent="0.25">
      <c r="A540" s="8">
        <v>40977</v>
      </c>
      <c r="B540">
        <v>2202450.81</v>
      </c>
      <c r="C540">
        <v>0</v>
      </c>
      <c r="D540">
        <v>53.63</v>
      </c>
      <c r="E540">
        <v>3.6669999999999998</v>
      </c>
      <c r="F540">
        <v>130.74137930000001</v>
      </c>
      <c r="G540">
        <v>4.6070000000000002</v>
      </c>
      <c r="N540" s="8"/>
    </row>
    <row r="541" spans="1:14" x14ac:dyDescent="0.25">
      <c r="A541" s="8">
        <v>40984</v>
      </c>
      <c r="B541">
        <v>2214967.44</v>
      </c>
      <c r="C541">
        <v>0</v>
      </c>
      <c r="D541">
        <v>59.81</v>
      </c>
      <c r="E541">
        <v>3.7069999999999999</v>
      </c>
      <c r="F541">
        <v>130.82619349999999</v>
      </c>
      <c r="G541">
        <v>4.6070000000000002</v>
      </c>
      <c r="N541" s="8"/>
    </row>
    <row r="542" spans="1:14" x14ac:dyDescent="0.25">
      <c r="A542" s="8">
        <v>40991</v>
      </c>
      <c r="B542">
        <v>2091592.54</v>
      </c>
      <c r="C542">
        <v>0</v>
      </c>
      <c r="D542">
        <v>59.07</v>
      </c>
      <c r="E542">
        <v>3.7589999999999999</v>
      </c>
      <c r="F542">
        <v>130.89664519999999</v>
      </c>
      <c r="G542">
        <v>4.6070000000000002</v>
      </c>
      <c r="N542" s="8"/>
    </row>
    <row r="543" spans="1:14" x14ac:dyDescent="0.25">
      <c r="A543" s="8">
        <v>40998</v>
      </c>
      <c r="B543">
        <v>2089381.77</v>
      </c>
      <c r="C543">
        <v>0</v>
      </c>
      <c r="D543">
        <v>72.63</v>
      </c>
      <c r="E543">
        <v>3.82</v>
      </c>
      <c r="F543">
        <v>130.96709680000001</v>
      </c>
      <c r="G543">
        <v>4.6070000000000002</v>
      </c>
      <c r="N543" s="8"/>
    </row>
    <row r="544" spans="1:14" x14ac:dyDescent="0.25">
      <c r="A544" s="8">
        <v>41005</v>
      </c>
      <c r="B544">
        <v>2470206.13</v>
      </c>
      <c r="C544">
        <v>0</v>
      </c>
      <c r="D544">
        <v>67.69</v>
      </c>
      <c r="E544">
        <v>3.8639999999999999</v>
      </c>
      <c r="F544">
        <v>131.03754839999999</v>
      </c>
      <c r="G544">
        <v>4.3079999999999998</v>
      </c>
      <c r="N544" s="8"/>
    </row>
    <row r="545" spans="1:14" x14ac:dyDescent="0.25">
      <c r="A545" s="8">
        <v>41012</v>
      </c>
      <c r="B545">
        <v>2105301.39</v>
      </c>
      <c r="C545">
        <v>0</v>
      </c>
      <c r="D545">
        <v>68.69</v>
      </c>
      <c r="E545">
        <v>3.8809999999999998</v>
      </c>
      <c r="F545">
        <v>131.108</v>
      </c>
      <c r="G545">
        <v>4.3079999999999998</v>
      </c>
      <c r="N545" s="8"/>
    </row>
    <row r="546" spans="1:14" x14ac:dyDescent="0.25">
      <c r="A546" s="8">
        <v>41019</v>
      </c>
      <c r="B546">
        <v>2144336.89</v>
      </c>
      <c r="C546">
        <v>0</v>
      </c>
      <c r="D546">
        <v>68.599999999999994</v>
      </c>
      <c r="E546">
        <v>3.8639999999999999</v>
      </c>
      <c r="F546">
        <v>131.11733330000001</v>
      </c>
      <c r="G546">
        <v>4.3079999999999998</v>
      </c>
      <c r="N546" s="8"/>
    </row>
    <row r="547" spans="1:14" x14ac:dyDescent="0.25">
      <c r="A547" s="8">
        <v>41026</v>
      </c>
      <c r="B547">
        <v>2064065.66</v>
      </c>
      <c r="C547">
        <v>0</v>
      </c>
      <c r="D547">
        <v>76.47</v>
      </c>
      <c r="E547">
        <v>3.81</v>
      </c>
      <c r="F547">
        <v>131.12666669999999</v>
      </c>
      <c r="G547">
        <v>4.3079999999999998</v>
      </c>
      <c r="N547" s="8"/>
    </row>
    <row r="548" spans="1:14" x14ac:dyDescent="0.25">
      <c r="A548" s="8">
        <v>41033</v>
      </c>
      <c r="B548">
        <v>2196968.33</v>
      </c>
      <c r="C548">
        <v>0</v>
      </c>
      <c r="D548">
        <v>80.14</v>
      </c>
      <c r="E548">
        <v>3.7469999999999999</v>
      </c>
      <c r="F548">
        <v>131.136</v>
      </c>
      <c r="G548">
        <v>4.3079999999999998</v>
      </c>
      <c r="N548" s="8"/>
    </row>
    <row r="549" spans="1:14" x14ac:dyDescent="0.25">
      <c r="A549" s="8">
        <v>41040</v>
      </c>
      <c r="B549">
        <v>2127661.17</v>
      </c>
      <c r="C549">
        <v>0</v>
      </c>
      <c r="D549">
        <v>67.64</v>
      </c>
      <c r="E549">
        <v>3.6850000000000001</v>
      </c>
      <c r="F549">
        <v>131.1453333</v>
      </c>
      <c r="G549">
        <v>4.3079999999999998</v>
      </c>
      <c r="N549" s="8"/>
    </row>
    <row r="550" spans="1:14" x14ac:dyDescent="0.25">
      <c r="A550" s="8">
        <v>41047</v>
      </c>
      <c r="B550">
        <v>2207214.81</v>
      </c>
      <c r="C550">
        <v>0</v>
      </c>
      <c r="D550">
        <v>68.430000000000007</v>
      </c>
      <c r="E550">
        <v>3.62</v>
      </c>
      <c r="F550">
        <v>131.09832259999999</v>
      </c>
      <c r="G550">
        <v>4.3079999999999998</v>
      </c>
      <c r="N550" s="8"/>
    </row>
    <row r="551" spans="1:14" x14ac:dyDescent="0.25">
      <c r="A551" s="8">
        <v>41054</v>
      </c>
      <c r="B551">
        <v>2154137.67</v>
      </c>
      <c r="C551">
        <v>0</v>
      </c>
      <c r="D551">
        <v>77.47</v>
      </c>
      <c r="E551">
        <v>3.5510000000000002</v>
      </c>
      <c r="F551">
        <v>131.02877419999999</v>
      </c>
      <c r="G551">
        <v>4.3079999999999998</v>
      </c>
      <c r="N551" s="8"/>
    </row>
    <row r="552" spans="1:14" x14ac:dyDescent="0.25">
      <c r="A552" s="8">
        <v>41061</v>
      </c>
      <c r="B552">
        <v>2179360.94</v>
      </c>
      <c r="C552">
        <v>0</v>
      </c>
      <c r="D552">
        <v>77.41</v>
      </c>
      <c r="E552">
        <v>3.4830000000000001</v>
      </c>
      <c r="F552">
        <v>130.95922580000001</v>
      </c>
      <c r="G552">
        <v>4.3079999999999998</v>
      </c>
      <c r="N552" s="8"/>
    </row>
    <row r="553" spans="1:14" x14ac:dyDescent="0.25">
      <c r="A553" s="8">
        <v>41068</v>
      </c>
      <c r="B553">
        <v>2245257.1800000002</v>
      </c>
      <c r="C553">
        <v>0</v>
      </c>
      <c r="D553">
        <v>78.11</v>
      </c>
      <c r="E553">
        <v>3.4329999999999998</v>
      </c>
      <c r="F553">
        <v>130.88967740000001</v>
      </c>
      <c r="G553">
        <v>4.3079999999999998</v>
      </c>
      <c r="N553" s="8"/>
    </row>
    <row r="554" spans="1:14" x14ac:dyDescent="0.25">
      <c r="A554" s="8">
        <v>41075</v>
      </c>
      <c r="B554">
        <v>2234190.9300000002</v>
      </c>
      <c r="C554">
        <v>0</v>
      </c>
      <c r="D554">
        <v>80.94</v>
      </c>
      <c r="E554">
        <v>3.3719999999999999</v>
      </c>
      <c r="F554">
        <v>130.82953330000001</v>
      </c>
      <c r="G554">
        <v>4.3079999999999998</v>
      </c>
      <c r="N554" s="8"/>
    </row>
    <row r="555" spans="1:14" x14ac:dyDescent="0.25">
      <c r="A555" s="8">
        <v>41082</v>
      </c>
      <c r="B555">
        <v>2197299.65</v>
      </c>
      <c r="C555">
        <v>0</v>
      </c>
      <c r="D555">
        <v>81.63</v>
      </c>
      <c r="E555">
        <v>3.3290000000000002</v>
      </c>
      <c r="F555">
        <v>130.7929</v>
      </c>
      <c r="G555">
        <v>4.3079999999999998</v>
      </c>
      <c r="N555" s="8"/>
    </row>
    <row r="556" spans="1:14" x14ac:dyDescent="0.25">
      <c r="A556" s="8">
        <v>41089</v>
      </c>
      <c r="B556">
        <v>2128362.92</v>
      </c>
      <c r="C556">
        <v>0</v>
      </c>
      <c r="D556">
        <v>84.23</v>
      </c>
      <c r="E556">
        <v>3.2570000000000001</v>
      </c>
      <c r="F556">
        <v>130.7562667</v>
      </c>
      <c r="G556">
        <v>4.3079999999999998</v>
      </c>
      <c r="N556" s="8"/>
    </row>
    <row r="557" spans="1:14" x14ac:dyDescent="0.25">
      <c r="A557" s="8">
        <v>41096</v>
      </c>
      <c r="B557">
        <v>2224499.2799999998</v>
      </c>
      <c r="C557">
        <v>0</v>
      </c>
      <c r="D557">
        <v>80.37</v>
      </c>
      <c r="E557">
        <v>3.1869999999999998</v>
      </c>
      <c r="F557">
        <v>130.7196333</v>
      </c>
      <c r="G557">
        <v>4.077</v>
      </c>
      <c r="N557" s="8"/>
    </row>
    <row r="558" spans="1:14" x14ac:dyDescent="0.25">
      <c r="A558" s="8">
        <v>41103</v>
      </c>
      <c r="B558">
        <v>2100252.61</v>
      </c>
      <c r="C558">
        <v>0</v>
      </c>
      <c r="D558">
        <v>76.86</v>
      </c>
      <c r="E558">
        <v>3.2240000000000002</v>
      </c>
      <c r="F558">
        <v>130.68299999999999</v>
      </c>
      <c r="G558">
        <v>4.077</v>
      </c>
      <c r="N558" s="8"/>
    </row>
    <row r="559" spans="1:14" x14ac:dyDescent="0.25">
      <c r="A559" s="8">
        <v>41110</v>
      </c>
      <c r="B559">
        <v>2175563.69</v>
      </c>
      <c r="C559">
        <v>0</v>
      </c>
      <c r="D559">
        <v>79.14</v>
      </c>
      <c r="E559">
        <v>3.2629999999999999</v>
      </c>
      <c r="F559">
        <v>130.70129030000001</v>
      </c>
      <c r="G559">
        <v>4.077</v>
      </c>
      <c r="N559" s="8"/>
    </row>
    <row r="560" spans="1:14" x14ac:dyDescent="0.25">
      <c r="A560" s="8">
        <v>41117</v>
      </c>
      <c r="B560">
        <v>2048613.65</v>
      </c>
      <c r="C560">
        <v>0</v>
      </c>
      <c r="D560">
        <v>81.06</v>
      </c>
      <c r="E560">
        <v>3.3559999999999999</v>
      </c>
      <c r="F560">
        <v>130.7195806</v>
      </c>
      <c r="G560">
        <v>4.077</v>
      </c>
      <c r="N560" s="8"/>
    </row>
    <row r="561" spans="1:14" x14ac:dyDescent="0.25">
      <c r="A561" s="8">
        <v>41124</v>
      </c>
      <c r="B561">
        <v>2174514.13</v>
      </c>
      <c r="C561">
        <v>0</v>
      </c>
      <c r="D561">
        <v>83.86</v>
      </c>
      <c r="E561">
        <v>3.3740000000000001</v>
      </c>
      <c r="F561">
        <v>130.73787100000001</v>
      </c>
      <c r="G561">
        <v>4.077</v>
      </c>
      <c r="N561" s="8"/>
    </row>
    <row r="562" spans="1:14" x14ac:dyDescent="0.25">
      <c r="A562" s="8">
        <v>41131</v>
      </c>
      <c r="B562">
        <v>2193367.69</v>
      </c>
      <c r="C562">
        <v>0</v>
      </c>
      <c r="D562">
        <v>83.21</v>
      </c>
      <c r="E562">
        <v>3.476</v>
      </c>
      <c r="F562">
        <v>130.7561613</v>
      </c>
      <c r="G562">
        <v>4.077</v>
      </c>
      <c r="N562" s="8"/>
    </row>
    <row r="563" spans="1:14" x14ac:dyDescent="0.25">
      <c r="A563" s="8">
        <v>41138</v>
      </c>
      <c r="B563">
        <v>2283540.2999999998</v>
      </c>
      <c r="C563">
        <v>0</v>
      </c>
      <c r="D563">
        <v>81.41</v>
      </c>
      <c r="E563">
        <v>3.552</v>
      </c>
      <c r="F563">
        <v>130.79096770000001</v>
      </c>
      <c r="G563">
        <v>4.077</v>
      </c>
      <c r="N563" s="8"/>
    </row>
    <row r="564" spans="1:14" x14ac:dyDescent="0.25">
      <c r="A564" s="8">
        <v>41145</v>
      </c>
      <c r="B564">
        <v>2125241.6800000002</v>
      </c>
      <c r="C564">
        <v>0</v>
      </c>
      <c r="D564">
        <v>75.760000000000005</v>
      </c>
      <c r="E564">
        <v>3.61</v>
      </c>
      <c r="F564">
        <v>130.8381613</v>
      </c>
      <c r="G564">
        <v>4.077</v>
      </c>
      <c r="N564" s="8"/>
    </row>
    <row r="565" spans="1:14" x14ac:dyDescent="0.25">
      <c r="A565" s="8">
        <v>41152</v>
      </c>
      <c r="B565">
        <v>2081181.35</v>
      </c>
      <c r="C565">
        <v>0</v>
      </c>
      <c r="D565">
        <v>76.47</v>
      </c>
      <c r="E565">
        <v>3.6459999999999999</v>
      </c>
      <c r="F565">
        <v>130.88535479999999</v>
      </c>
      <c r="G565">
        <v>4.077</v>
      </c>
      <c r="N565" s="8"/>
    </row>
    <row r="566" spans="1:14" x14ac:dyDescent="0.25">
      <c r="A566" s="8">
        <v>41159</v>
      </c>
      <c r="B566">
        <v>2125104.7200000002</v>
      </c>
      <c r="C566">
        <v>1</v>
      </c>
      <c r="D566">
        <v>82.09</v>
      </c>
      <c r="E566">
        <v>3.7090000000000001</v>
      </c>
      <c r="F566">
        <v>130.9325484</v>
      </c>
      <c r="G566">
        <v>4.077</v>
      </c>
      <c r="N566" s="8"/>
    </row>
    <row r="567" spans="1:14" x14ac:dyDescent="0.25">
      <c r="A567" s="8">
        <v>41166</v>
      </c>
      <c r="B567">
        <v>2117854.6</v>
      </c>
      <c r="C567">
        <v>0</v>
      </c>
      <c r="D567">
        <v>68.2</v>
      </c>
      <c r="E567">
        <v>3.706</v>
      </c>
      <c r="F567">
        <v>130.97766669999999</v>
      </c>
      <c r="G567">
        <v>4.077</v>
      </c>
      <c r="N567" s="8"/>
    </row>
    <row r="568" spans="1:14" x14ac:dyDescent="0.25">
      <c r="A568" s="8">
        <v>41173</v>
      </c>
      <c r="B568">
        <v>2119438.5299999998</v>
      </c>
      <c r="C568">
        <v>0</v>
      </c>
      <c r="D568">
        <v>68.97</v>
      </c>
      <c r="E568">
        <v>3.7210000000000001</v>
      </c>
      <c r="F568">
        <v>131.01033330000001</v>
      </c>
      <c r="G568">
        <v>4.077</v>
      </c>
      <c r="N568" s="8"/>
    </row>
    <row r="569" spans="1:14" x14ac:dyDescent="0.25">
      <c r="A569" s="8">
        <v>41180</v>
      </c>
      <c r="B569">
        <v>2027620.23</v>
      </c>
      <c r="C569">
        <v>0</v>
      </c>
      <c r="D569">
        <v>71.739999999999995</v>
      </c>
      <c r="E569">
        <v>3.6659999999999999</v>
      </c>
      <c r="F569">
        <v>131.04300000000001</v>
      </c>
      <c r="G569">
        <v>4.077</v>
      </c>
      <c r="N569" s="8"/>
    </row>
    <row r="570" spans="1:14" x14ac:dyDescent="0.25">
      <c r="A570" s="8">
        <v>41187</v>
      </c>
      <c r="B570">
        <v>2209835.4300000002</v>
      </c>
      <c r="C570">
        <v>0</v>
      </c>
      <c r="D570">
        <v>63.07</v>
      </c>
      <c r="E570">
        <v>3.62</v>
      </c>
      <c r="F570">
        <v>131.0756667</v>
      </c>
      <c r="G570">
        <v>3.879</v>
      </c>
      <c r="N570" s="8"/>
    </row>
    <row r="571" spans="1:14" x14ac:dyDescent="0.25">
      <c r="A571" s="8">
        <v>41194</v>
      </c>
      <c r="B571">
        <v>2133026.0699999998</v>
      </c>
      <c r="C571">
        <v>0</v>
      </c>
      <c r="D571">
        <v>57.11</v>
      </c>
      <c r="E571">
        <v>3.6030000000000002</v>
      </c>
      <c r="F571">
        <v>131.1083333</v>
      </c>
      <c r="G571">
        <v>3.879</v>
      </c>
      <c r="N571" s="8"/>
    </row>
    <row r="572" spans="1:14" x14ac:dyDescent="0.25">
      <c r="A572" s="8">
        <v>41201</v>
      </c>
      <c r="B572">
        <v>2097266.85</v>
      </c>
      <c r="C572">
        <v>0</v>
      </c>
      <c r="D572">
        <v>64.459999999999994</v>
      </c>
      <c r="E572">
        <v>3.61</v>
      </c>
      <c r="F572">
        <v>131.14996769999999</v>
      </c>
      <c r="G572">
        <v>3.879</v>
      </c>
      <c r="N572" s="8"/>
    </row>
    <row r="573" spans="1:14" x14ac:dyDescent="0.25">
      <c r="A573" s="8">
        <v>41208</v>
      </c>
      <c r="B573">
        <v>2149594.46</v>
      </c>
      <c r="C573">
        <v>0</v>
      </c>
      <c r="D573">
        <v>63.64</v>
      </c>
      <c r="E573">
        <v>3.5139999999999998</v>
      </c>
      <c r="F573">
        <v>131.19309680000001</v>
      </c>
      <c r="G573">
        <v>3.879</v>
      </c>
      <c r="N573" s="8"/>
    </row>
    <row r="574" spans="1:14" x14ac:dyDescent="0.25">
      <c r="A574" s="8">
        <v>40214</v>
      </c>
      <c r="B574">
        <v>317173.09999999998</v>
      </c>
      <c r="C574">
        <v>0</v>
      </c>
      <c r="D574">
        <v>39.700000000000003</v>
      </c>
      <c r="E574">
        <v>2.5720000000000001</v>
      </c>
      <c r="F574">
        <v>211.65397160000001</v>
      </c>
      <c r="G574">
        <v>6.5659999999999998</v>
      </c>
      <c r="N574" s="8"/>
    </row>
    <row r="575" spans="1:14" x14ac:dyDescent="0.25">
      <c r="A575" s="8">
        <v>40221</v>
      </c>
      <c r="B575">
        <v>311825.7</v>
      </c>
      <c r="C575">
        <v>1</v>
      </c>
      <c r="D575">
        <v>39.81</v>
      </c>
      <c r="E575">
        <v>2.548</v>
      </c>
      <c r="F575">
        <v>211.8004698</v>
      </c>
      <c r="G575">
        <v>6.5659999999999998</v>
      </c>
      <c r="N575" s="8"/>
    </row>
    <row r="576" spans="1:14" x14ac:dyDescent="0.25">
      <c r="A576" s="8">
        <v>40228</v>
      </c>
      <c r="B576">
        <v>303447.57</v>
      </c>
      <c r="C576">
        <v>0</v>
      </c>
      <c r="D576">
        <v>41.14</v>
      </c>
      <c r="E576">
        <v>2.5139999999999998</v>
      </c>
      <c r="F576">
        <v>211.84712830000001</v>
      </c>
      <c r="G576">
        <v>6.5659999999999998</v>
      </c>
      <c r="N576" s="8"/>
    </row>
    <row r="577" spans="1:14" x14ac:dyDescent="0.25">
      <c r="A577" s="8">
        <v>40235</v>
      </c>
      <c r="B577">
        <v>270281.63</v>
      </c>
      <c r="C577">
        <v>0</v>
      </c>
      <c r="D577">
        <v>46.7</v>
      </c>
      <c r="E577">
        <v>2.5609999999999999</v>
      </c>
      <c r="F577">
        <v>211.87714679999999</v>
      </c>
      <c r="G577">
        <v>6.5659999999999998</v>
      </c>
      <c r="N577" s="8"/>
    </row>
    <row r="578" spans="1:14" x14ac:dyDescent="0.25">
      <c r="A578" s="8">
        <v>40242</v>
      </c>
      <c r="B578">
        <v>288855.71000000002</v>
      </c>
      <c r="C578">
        <v>0</v>
      </c>
      <c r="D578">
        <v>48.89</v>
      </c>
      <c r="E578">
        <v>2.625</v>
      </c>
      <c r="F578">
        <v>211.9071653</v>
      </c>
      <c r="G578">
        <v>6.5659999999999998</v>
      </c>
      <c r="N578" s="8"/>
    </row>
    <row r="579" spans="1:14" x14ac:dyDescent="0.25">
      <c r="A579" s="8">
        <v>40249</v>
      </c>
      <c r="B579">
        <v>297293.59000000003</v>
      </c>
      <c r="C579">
        <v>0</v>
      </c>
      <c r="D579">
        <v>58.5</v>
      </c>
      <c r="E579">
        <v>2.6669999999999998</v>
      </c>
      <c r="F579">
        <v>211.93718390000001</v>
      </c>
      <c r="G579">
        <v>6.5659999999999998</v>
      </c>
      <c r="N579" s="8"/>
    </row>
    <row r="580" spans="1:14" x14ac:dyDescent="0.25">
      <c r="A580" s="8">
        <v>40256</v>
      </c>
      <c r="B580">
        <v>281706.40999999997</v>
      </c>
      <c r="C580">
        <v>0</v>
      </c>
      <c r="D580">
        <v>55.46</v>
      </c>
      <c r="E580">
        <v>2.72</v>
      </c>
      <c r="F580">
        <v>211.77089699999999</v>
      </c>
      <c r="G580">
        <v>6.5659999999999998</v>
      </c>
      <c r="N580" s="8"/>
    </row>
    <row r="581" spans="1:14" x14ac:dyDescent="0.25">
      <c r="A581" s="8">
        <v>40263</v>
      </c>
      <c r="B581">
        <v>273282.96999999997</v>
      </c>
      <c r="C581">
        <v>0</v>
      </c>
      <c r="D581">
        <v>52.47</v>
      </c>
      <c r="E581">
        <v>2.7320000000000002</v>
      </c>
      <c r="F581">
        <v>211.57189249999999</v>
      </c>
      <c r="G581">
        <v>6.5659999999999998</v>
      </c>
      <c r="N581" s="8"/>
    </row>
    <row r="582" spans="1:14" x14ac:dyDescent="0.25">
      <c r="A582" s="8">
        <v>40270</v>
      </c>
      <c r="B582">
        <v>331406</v>
      </c>
      <c r="C582">
        <v>0</v>
      </c>
      <c r="D582">
        <v>63.18</v>
      </c>
      <c r="E582">
        <v>2.7189999999999999</v>
      </c>
      <c r="F582">
        <v>211.37288799999999</v>
      </c>
      <c r="G582">
        <v>6.4649999999999999</v>
      </c>
      <c r="N582" s="8"/>
    </row>
    <row r="583" spans="1:14" x14ac:dyDescent="0.25">
      <c r="A583" s="8">
        <v>40277</v>
      </c>
      <c r="B583">
        <v>328020.49</v>
      </c>
      <c r="C583">
        <v>0</v>
      </c>
      <c r="D583">
        <v>65.19</v>
      </c>
      <c r="E583">
        <v>2.77</v>
      </c>
      <c r="F583">
        <v>211.17388349999999</v>
      </c>
      <c r="G583">
        <v>6.4649999999999999</v>
      </c>
      <c r="N583" s="8"/>
    </row>
    <row r="584" spans="1:14" x14ac:dyDescent="0.25">
      <c r="A584" s="8">
        <v>40284</v>
      </c>
      <c r="B584">
        <v>306858.69</v>
      </c>
      <c r="C584">
        <v>0</v>
      </c>
      <c r="D584">
        <v>65.3</v>
      </c>
      <c r="E584">
        <v>2.8079999999999998</v>
      </c>
      <c r="F584">
        <v>211.0388528</v>
      </c>
      <c r="G584">
        <v>6.4649999999999999</v>
      </c>
      <c r="N584" s="8"/>
    </row>
    <row r="585" spans="1:14" x14ac:dyDescent="0.25">
      <c r="A585" s="8">
        <v>40291</v>
      </c>
      <c r="B585">
        <v>288839.73</v>
      </c>
      <c r="C585">
        <v>0</v>
      </c>
      <c r="D585">
        <v>65.13</v>
      </c>
      <c r="E585">
        <v>2.7949999999999999</v>
      </c>
      <c r="F585">
        <v>210.98912039999999</v>
      </c>
      <c r="G585">
        <v>6.4649999999999999</v>
      </c>
      <c r="N585" s="8"/>
    </row>
    <row r="586" spans="1:14" x14ac:dyDescent="0.25">
      <c r="A586" s="8">
        <v>40298</v>
      </c>
      <c r="B586">
        <v>298697.84000000003</v>
      </c>
      <c r="C586">
        <v>0</v>
      </c>
      <c r="D586">
        <v>67.53</v>
      </c>
      <c r="E586">
        <v>2.78</v>
      </c>
      <c r="F586">
        <v>210.93938800000001</v>
      </c>
      <c r="G586">
        <v>6.4649999999999999</v>
      </c>
      <c r="N586" s="8"/>
    </row>
    <row r="587" spans="1:14" x14ac:dyDescent="0.25">
      <c r="A587" s="8">
        <v>40305</v>
      </c>
      <c r="B587">
        <v>333522.59999999998</v>
      </c>
      <c r="C587">
        <v>0</v>
      </c>
      <c r="D587">
        <v>71.53</v>
      </c>
      <c r="E587">
        <v>2.835</v>
      </c>
      <c r="F587">
        <v>210.8896556</v>
      </c>
      <c r="G587">
        <v>6.4649999999999999</v>
      </c>
      <c r="N587" s="8"/>
    </row>
    <row r="588" spans="1:14" x14ac:dyDescent="0.25">
      <c r="A588" s="8">
        <v>40312</v>
      </c>
      <c r="B588">
        <v>296673.77</v>
      </c>
      <c r="C588">
        <v>0</v>
      </c>
      <c r="D588">
        <v>74.790000000000006</v>
      </c>
      <c r="E588">
        <v>2.8540000000000001</v>
      </c>
      <c r="F588">
        <v>210.8872772</v>
      </c>
      <c r="G588">
        <v>6.4649999999999999</v>
      </c>
      <c r="N588" s="8"/>
    </row>
    <row r="589" spans="1:14" x14ac:dyDescent="0.25">
      <c r="A589" s="8">
        <v>40319</v>
      </c>
      <c r="B589">
        <v>301615.49</v>
      </c>
      <c r="C589">
        <v>0</v>
      </c>
      <c r="D589">
        <v>75.2</v>
      </c>
      <c r="E589">
        <v>2.8260000000000001</v>
      </c>
      <c r="F589">
        <v>211.16902300000001</v>
      </c>
      <c r="G589">
        <v>6.4649999999999999</v>
      </c>
      <c r="N589" s="8"/>
    </row>
    <row r="590" spans="1:14" x14ac:dyDescent="0.25">
      <c r="A590" s="8">
        <v>40326</v>
      </c>
      <c r="B590">
        <v>310013.11</v>
      </c>
      <c r="C590">
        <v>0</v>
      </c>
      <c r="D590">
        <v>79.81</v>
      </c>
      <c r="E590">
        <v>2.7589999999999999</v>
      </c>
      <c r="F590">
        <v>211.45076879999999</v>
      </c>
      <c r="G590">
        <v>6.4649999999999999</v>
      </c>
      <c r="N590" s="8"/>
    </row>
    <row r="591" spans="1:14" x14ac:dyDescent="0.25">
      <c r="A591" s="8">
        <v>40333</v>
      </c>
      <c r="B591">
        <v>337825.89</v>
      </c>
      <c r="C591">
        <v>0</v>
      </c>
      <c r="D591">
        <v>79.540000000000006</v>
      </c>
      <c r="E591">
        <v>2.7050000000000001</v>
      </c>
      <c r="F591">
        <v>211.7325146</v>
      </c>
      <c r="G591">
        <v>6.4649999999999999</v>
      </c>
      <c r="N591" s="8"/>
    </row>
    <row r="592" spans="1:14" x14ac:dyDescent="0.25">
      <c r="A592" s="8">
        <v>40340</v>
      </c>
      <c r="B592">
        <v>296641.90999999997</v>
      </c>
      <c r="C592">
        <v>0</v>
      </c>
      <c r="D592">
        <v>80.7</v>
      </c>
      <c r="E592">
        <v>2.6680000000000001</v>
      </c>
      <c r="F592">
        <v>212.01426050000001</v>
      </c>
      <c r="G592">
        <v>6.4649999999999999</v>
      </c>
      <c r="N592" s="8"/>
    </row>
    <row r="593" spans="1:14" x14ac:dyDescent="0.25">
      <c r="A593" s="8">
        <v>40347</v>
      </c>
      <c r="B593">
        <v>313795.59999999998</v>
      </c>
      <c r="C593">
        <v>0</v>
      </c>
      <c r="D593">
        <v>83.91</v>
      </c>
      <c r="E593">
        <v>2.637</v>
      </c>
      <c r="F593">
        <v>212.01197690000001</v>
      </c>
      <c r="G593">
        <v>6.4649999999999999</v>
      </c>
      <c r="N593" s="8"/>
    </row>
    <row r="594" spans="1:14" x14ac:dyDescent="0.25">
      <c r="A594" s="8">
        <v>40354</v>
      </c>
      <c r="B594">
        <v>295257.3</v>
      </c>
      <c r="C594">
        <v>0</v>
      </c>
      <c r="D594">
        <v>83.72</v>
      </c>
      <c r="E594">
        <v>2.653</v>
      </c>
      <c r="F594">
        <v>211.89608150000001</v>
      </c>
      <c r="G594">
        <v>6.4649999999999999</v>
      </c>
      <c r="N594" s="8"/>
    </row>
    <row r="595" spans="1:14" x14ac:dyDescent="0.25">
      <c r="A595" s="8">
        <v>40361</v>
      </c>
      <c r="B595">
        <v>305993.27</v>
      </c>
      <c r="C595">
        <v>0</v>
      </c>
      <c r="D595">
        <v>81.25</v>
      </c>
      <c r="E595">
        <v>2.669</v>
      </c>
      <c r="F595">
        <v>211.78018610000001</v>
      </c>
      <c r="G595">
        <v>6.4960000000000004</v>
      </c>
      <c r="N595" s="8"/>
    </row>
    <row r="596" spans="1:14" x14ac:dyDescent="0.25">
      <c r="A596" s="8">
        <v>40368</v>
      </c>
      <c r="B596">
        <v>291808.87</v>
      </c>
      <c r="C596">
        <v>0</v>
      </c>
      <c r="D596">
        <v>81.14</v>
      </c>
      <c r="E596">
        <v>2.6419999999999999</v>
      </c>
      <c r="F596">
        <v>211.66429070000001</v>
      </c>
      <c r="G596">
        <v>6.4960000000000004</v>
      </c>
      <c r="N596" s="8"/>
    </row>
    <row r="597" spans="1:14" x14ac:dyDescent="0.25">
      <c r="A597" s="8">
        <v>40375</v>
      </c>
      <c r="B597">
        <v>280701.7</v>
      </c>
      <c r="C597">
        <v>0</v>
      </c>
      <c r="D597">
        <v>83.98</v>
      </c>
      <c r="E597">
        <v>2.6230000000000002</v>
      </c>
      <c r="F597">
        <v>211.65611229999999</v>
      </c>
      <c r="G597">
        <v>6.4960000000000004</v>
      </c>
      <c r="N597" s="8"/>
    </row>
    <row r="598" spans="1:14" x14ac:dyDescent="0.25">
      <c r="A598" s="8">
        <v>40382</v>
      </c>
      <c r="B598">
        <v>274742.63</v>
      </c>
      <c r="C598">
        <v>0</v>
      </c>
      <c r="D598">
        <v>83.66</v>
      </c>
      <c r="E598">
        <v>2.6080000000000001</v>
      </c>
      <c r="F598">
        <v>211.79155650000001</v>
      </c>
      <c r="G598">
        <v>6.4960000000000004</v>
      </c>
      <c r="N598" s="8"/>
    </row>
    <row r="599" spans="1:14" x14ac:dyDescent="0.25">
      <c r="A599" s="8">
        <v>40389</v>
      </c>
      <c r="B599">
        <v>268929.03000000003</v>
      </c>
      <c r="C599">
        <v>0</v>
      </c>
      <c r="D599">
        <v>82.46</v>
      </c>
      <c r="E599">
        <v>2.64</v>
      </c>
      <c r="F599">
        <v>211.92700060000001</v>
      </c>
      <c r="G599">
        <v>6.4960000000000004</v>
      </c>
      <c r="N599" s="8"/>
    </row>
    <row r="600" spans="1:14" x14ac:dyDescent="0.25">
      <c r="A600" s="8">
        <v>40396</v>
      </c>
      <c r="B600">
        <v>303043.02</v>
      </c>
      <c r="C600">
        <v>0</v>
      </c>
      <c r="D600">
        <v>86.1</v>
      </c>
      <c r="E600">
        <v>2.6269999999999998</v>
      </c>
      <c r="F600">
        <v>212.06244469999999</v>
      </c>
      <c r="G600">
        <v>6.4960000000000004</v>
      </c>
      <c r="N600" s="8"/>
    </row>
    <row r="601" spans="1:14" x14ac:dyDescent="0.25">
      <c r="A601" s="8">
        <v>40403</v>
      </c>
      <c r="B601">
        <v>286477.34999999998</v>
      </c>
      <c r="C601">
        <v>0</v>
      </c>
      <c r="D601">
        <v>87.41</v>
      </c>
      <c r="E601">
        <v>2.6920000000000002</v>
      </c>
      <c r="F601">
        <v>212.19788890000001</v>
      </c>
      <c r="G601">
        <v>6.4960000000000004</v>
      </c>
      <c r="N601" s="8"/>
    </row>
    <row r="602" spans="1:14" x14ac:dyDescent="0.25">
      <c r="A602" s="8">
        <v>40410</v>
      </c>
      <c r="B602">
        <v>287205.38</v>
      </c>
      <c r="C602">
        <v>0</v>
      </c>
      <c r="D602">
        <v>87.71</v>
      </c>
      <c r="E602">
        <v>2.6640000000000001</v>
      </c>
      <c r="F602">
        <v>212.16089840000001</v>
      </c>
      <c r="G602">
        <v>6.4960000000000004</v>
      </c>
      <c r="N602" s="8"/>
    </row>
    <row r="603" spans="1:14" x14ac:dyDescent="0.25">
      <c r="A603" s="8">
        <v>40417</v>
      </c>
      <c r="B603">
        <v>288519.75</v>
      </c>
      <c r="C603">
        <v>0</v>
      </c>
      <c r="D603">
        <v>87.05</v>
      </c>
      <c r="E603">
        <v>2.6190000000000002</v>
      </c>
      <c r="F603">
        <v>212.123908</v>
      </c>
      <c r="G603">
        <v>6.4960000000000004</v>
      </c>
      <c r="N603" s="8"/>
    </row>
    <row r="604" spans="1:14" x14ac:dyDescent="0.25">
      <c r="A604" s="8">
        <v>40424</v>
      </c>
      <c r="B604">
        <v>323798</v>
      </c>
      <c r="C604">
        <v>0</v>
      </c>
      <c r="D604">
        <v>84.06</v>
      </c>
      <c r="E604">
        <v>2.577</v>
      </c>
      <c r="F604">
        <v>212.08691759999999</v>
      </c>
      <c r="G604">
        <v>6.4960000000000004</v>
      </c>
      <c r="N604" s="8"/>
    </row>
    <row r="605" spans="1:14" x14ac:dyDescent="0.25">
      <c r="A605" s="8">
        <v>40431</v>
      </c>
      <c r="B605">
        <v>306533.08</v>
      </c>
      <c r="C605">
        <v>1</v>
      </c>
      <c r="D605">
        <v>79.86</v>
      </c>
      <c r="E605">
        <v>2.5649999999999999</v>
      </c>
      <c r="F605">
        <v>212.04992709999999</v>
      </c>
      <c r="G605">
        <v>6.4960000000000004</v>
      </c>
      <c r="N605" s="8"/>
    </row>
    <row r="606" spans="1:14" x14ac:dyDescent="0.25">
      <c r="A606" s="8">
        <v>40438</v>
      </c>
      <c r="B606">
        <v>282558.65000000002</v>
      </c>
      <c r="C606">
        <v>0</v>
      </c>
      <c r="D606">
        <v>82.28</v>
      </c>
      <c r="E606">
        <v>2.5819999999999999</v>
      </c>
      <c r="F606">
        <v>212.07693459999999</v>
      </c>
      <c r="G606">
        <v>6.4960000000000004</v>
      </c>
      <c r="N606" s="8"/>
    </row>
    <row r="607" spans="1:14" x14ac:dyDescent="0.25">
      <c r="A607" s="8">
        <v>40445</v>
      </c>
      <c r="B607">
        <v>293131.58</v>
      </c>
      <c r="C607">
        <v>0</v>
      </c>
      <c r="D607">
        <v>78.53</v>
      </c>
      <c r="E607">
        <v>2.6240000000000001</v>
      </c>
      <c r="F607">
        <v>212.1519404</v>
      </c>
      <c r="G607">
        <v>6.4960000000000004</v>
      </c>
      <c r="N607" s="8"/>
    </row>
    <row r="608" spans="1:14" x14ac:dyDescent="0.25">
      <c r="A608" s="8">
        <v>40452</v>
      </c>
      <c r="B608">
        <v>283178.12</v>
      </c>
      <c r="C608">
        <v>0</v>
      </c>
      <c r="D608">
        <v>71.099999999999994</v>
      </c>
      <c r="E608">
        <v>2.6030000000000002</v>
      </c>
      <c r="F608">
        <v>212.22694630000001</v>
      </c>
      <c r="G608">
        <v>6.7679999999999998</v>
      </c>
      <c r="N608" s="8"/>
    </row>
    <row r="609" spans="1:14" x14ac:dyDescent="0.25">
      <c r="A609" s="8">
        <v>40459</v>
      </c>
      <c r="B609">
        <v>290494.84999999998</v>
      </c>
      <c r="C609">
        <v>0</v>
      </c>
      <c r="D609">
        <v>64.989999999999995</v>
      </c>
      <c r="E609">
        <v>2.633</v>
      </c>
      <c r="F609">
        <v>212.30195219999999</v>
      </c>
      <c r="G609">
        <v>6.7679999999999998</v>
      </c>
      <c r="N609" s="8"/>
    </row>
    <row r="610" spans="1:14" x14ac:dyDescent="0.25">
      <c r="A610" s="8">
        <v>40466</v>
      </c>
      <c r="B610">
        <v>280681.2</v>
      </c>
      <c r="C610">
        <v>0</v>
      </c>
      <c r="D610">
        <v>68.11</v>
      </c>
      <c r="E610">
        <v>2.72</v>
      </c>
      <c r="F610">
        <v>212.3691867</v>
      </c>
      <c r="G610">
        <v>6.7679999999999998</v>
      </c>
      <c r="N610" s="8"/>
    </row>
    <row r="611" spans="1:14" x14ac:dyDescent="0.25">
      <c r="A611" s="8">
        <v>40473</v>
      </c>
      <c r="B611">
        <v>284988.27</v>
      </c>
      <c r="C611">
        <v>0</v>
      </c>
      <c r="D611">
        <v>70.959999999999994</v>
      </c>
      <c r="E611">
        <v>2.7250000000000001</v>
      </c>
      <c r="F611">
        <v>212.4169928</v>
      </c>
      <c r="G611">
        <v>6.7679999999999998</v>
      </c>
      <c r="N611" s="8"/>
    </row>
    <row r="612" spans="1:14" x14ac:dyDescent="0.25">
      <c r="A612" s="8">
        <v>40480</v>
      </c>
      <c r="B612">
        <v>278031.81</v>
      </c>
      <c r="C612">
        <v>0</v>
      </c>
      <c r="D612">
        <v>70.58</v>
      </c>
      <c r="E612">
        <v>2.7160000000000002</v>
      </c>
      <c r="F612">
        <v>212.464799</v>
      </c>
      <c r="G612">
        <v>6.7679999999999998</v>
      </c>
      <c r="N612" s="8"/>
    </row>
    <row r="613" spans="1:14" x14ac:dyDescent="0.25">
      <c r="A613" s="8">
        <v>40487</v>
      </c>
      <c r="B613">
        <v>325310.3</v>
      </c>
      <c r="C613">
        <v>0</v>
      </c>
      <c r="D613">
        <v>58.88</v>
      </c>
      <c r="E613">
        <v>2.6890000000000001</v>
      </c>
      <c r="F613">
        <v>212.5126051</v>
      </c>
      <c r="G613">
        <v>6.7679999999999998</v>
      </c>
      <c r="N613" s="8"/>
    </row>
    <row r="614" spans="1:14" x14ac:dyDescent="0.25">
      <c r="A614" s="8">
        <v>40494</v>
      </c>
      <c r="B614">
        <v>301827.36</v>
      </c>
      <c r="C614">
        <v>0</v>
      </c>
      <c r="D614">
        <v>62.37</v>
      </c>
      <c r="E614">
        <v>2.7280000000000002</v>
      </c>
      <c r="F614">
        <v>212.5604113</v>
      </c>
      <c r="G614">
        <v>6.7679999999999998</v>
      </c>
      <c r="N614" s="8"/>
    </row>
    <row r="615" spans="1:14" x14ac:dyDescent="0.25">
      <c r="A615" s="8">
        <v>40501</v>
      </c>
      <c r="B615">
        <v>297384.81</v>
      </c>
      <c r="C615">
        <v>0</v>
      </c>
      <c r="D615">
        <v>52.52</v>
      </c>
      <c r="E615">
        <v>2.7709999999999999</v>
      </c>
      <c r="F615">
        <v>212.44548700000001</v>
      </c>
      <c r="G615">
        <v>6.7679999999999998</v>
      </c>
      <c r="N615" s="8"/>
    </row>
    <row r="616" spans="1:14" x14ac:dyDescent="0.25">
      <c r="A616" s="8">
        <v>40508</v>
      </c>
      <c r="B616">
        <v>488362.61</v>
      </c>
      <c r="C616">
        <v>1</v>
      </c>
      <c r="D616">
        <v>66.150000000000006</v>
      </c>
      <c r="E616">
        <v>2.7349999999999999</v>
      </c>
      <c r="F616">
        <v>212.30344099999999</v>
      </c>
      <c r="G616">
        <v>6.7679999999999998</v>
      </c>
      <c r="N616" s="8"/>
    </row>
    <row r="617" spans="1:14" x14ac:dyDescent="0.25">
      <c r="A617" s="8">
        <v>40515</v>
      </c>
      <c r="B617">
        <v>344490.88</v>
      </c>
      <c r="C617">
        <v>0</v>
      </c>
      <c r="D617">
        <v>51.31</v>
      </c>
      <c r="E617">
        <v>2.7080000000000002</v>
      </c>
      <c r="F617">
        <v>212.16139509999999</v>
      </c>
      <c r="G617">
        <v>6.7679999999999998</v>
      </c>
      <c r="N617" s="8"/>
    </row>
    <row r="618" spans="1:14" x14ac:dyDescent="0.25">
      <c r="A618" s="8">
        <v>40522</v>
      </c>
      <c r="B618">
        <v>352811.53</v>
      </c>
      <c r="C618">
        <v>0</v>
      </c>
      <c r="D618">
        <v>48.27</v>
      </c>
      <c r="E618">
        <v>2.843</v>
      </c>
      <c r="F618">
        <v>212.0193491</v>
      </c>
      <c r="G618">
        <v>6.7679999999999998</v>
      </c>
      <c r="N618" s="8"/>
    </row>
    <row r="619" spans="1:14" x14ac:dyDescent="0.25">
      <c r="A619" s="8">
        <v>40529</v>
      </c>
      <c r="B619">
        <v>367801.19</v>
      </c>
      <c r="C619">
        <v>0</v>
      </c>
      <c r="D619">
        <v>51.61</v>
      </c>
      <c r="E619">
        <v>2.8690000000000002</v>
      </c>
      <c r="F619">
        <v>211.95808149999999</v>
      </c>
      <c r="G619">
        <v>6.7679999999999998</v>
      </c>
      <c r="N619" s="8"/>
    </row>
    <row r="620" spans="1:14" x14ac:dyDescent="0.25">
      <c r="A620" s="8">
        <v>40536</v>
      </c>
      <c r="B620">
        <v>466010.25</v>
      </c>
      <c r="C620">
        <v>0</v>
      </c>
      <c r="D620">
        <v>55.01</v>
      </c>
      <c r="E620">
        <v>2.8860000000000001</v>
      </c>
      <c r="F620">
        <v>211.9573978</v>
      </c>
      <c r="G620">
        <v>6.7679999999999998</v>
      </c>
      <c r="N620" s="8"/>
    </row>
    <row r="621" spans="1:14" x14ac:dyDescent="0.25">
      <c r="A621" s="8">
        <v>40543</v>
      </c>
      <c r="B621">
        <v>298180.18</v>
      </c>
      <c r="C621">
        <v>1</v>
      </c>
      <c r="D621">
        <v>49.79</v>
      </c>
      <c r="E621">
        <v>2.9430000000000001</v>
      </c>
      <c r="F621">
        <v>211.95671419999999</v>
      </c>
      <c r="G621">
        <v>6.7679999999999998</v>
      </c>
      <c r="N621" s="8"/>
    </row>
    <row r="622" spans="1:14" x14ac:dyDescent="0.25">
      <c r="A622" s="8">
        <v>40550</v>
      </c>
      <c r="B622">
        <v>286347.26</v>
      </c>
      <c r="C622">
        <v>0</v>
      </c>
      <c r="D622">
        <v>48.3</v>
      </c>
      <c r="E622">
        <v>2.976</v>
      </c>
      <c r="F622">
        <v>211.9560305</v>
      </c>
      <c r="G622">
        <v>6.6340000000000003</v>
      </c>
      <c r="N622" s="8"/>
    </row>
    <row r="623" spans="1:14" x14ac:dyDescent="0.25">
      <c r="A623" s="8">
        <v>40557</v>
      </c>
      <c r="B623">
        <v>260636.71</v>
      </c>
      <c r="C623">
        <v>0</v>
      </c>
      <c r="D623">
        <v>37.74</v>
      </c>
      <c r="E623">
        <v>2.9830000000000001</v>
      </c>
      <c r="F623">
        <v>212.00851399999999</v>
      </c>
      <c r="G623">
        <v>6.6340000000000003</v>
      </c>
      <c r="N623" s="8"/>
    </row>
    <row r="624" spans="1:14" x14ac:dyDescent="0.25">
      <c r="A624" s="8">
        <v>40564</v>
      </c>
      <c r="B624">
        <v>275313.34000000003</v>
      </c>
      <c r="C624">
        <v>0</v>
      </c>
      <c r="D624">
        <v>45.41</v>
      </c>
      <c r="E624">
        <v>3.016</v>
      </c>
      <c r="F624">
        <v>212.38000120000001</v>
      </c>
      <c r="G624">
        <v>6.6340000000000003</v>
      </c>
      <c r="N624" s="8"/>
    </row>
    <row r="625" spans="1:14" x14ac:dyDescent="0.25">
      <c r="A625" s="8">
        <v>40571</v>
      </c>
      <c r="B625">
        <v>279088.39</v>
      </c>
      <c r="C625">
        <v>0</v>
      </c>
      <c r="D625">
        <v>44.5</v>
      </c>
      <c r="E625">
        <v>3.01</v>
      </c>
      <c r="F625">
        <v>212.7514884</v>
      </c>
      <c r="G625">
        <v>6.6340000000000003</v>
      </c>
      <c r="N625" s="8"/>
    </row>
    <row r="626" spans="1:14" x14ac:dyDescent="0.25">
      <c r="A626" s="8">
        <v>40578</v>
      </c>
      <c r="B626">
        <v>329613.2</v>
      </c>
      <c r="C626">
        <v>0</v>
      </c>
      <c r="D626">
        <v>41.67</v>
      </c>
      <c r="E626">
        <v>2.9889999999999999</v>
      </c>
      <c r="F626">
        <v>213.1229755</v>
      </c>
      <c r="G626">
        <v>6.6340000000000003</v>
      </c>
      <c r="N626" s="8"/>
    </row>
    <row r="627" spans="1:14" x14ac:dyDescent="0.25">
      <c r="A627" s="8">
        <v>40585</v>
      </c>
      <c r="B627">
        <v>311590.53999999998</v>
      </c>
      <c r="C627">
        <v>1</v>
      </c>
      <c r="D627">
        <v>38.25</v>
      </c>
      <c r="E627">
        <v>3.0219999999999998</v>
      </c>
      <c r="F627">
        <v>213.49446270000001</v>
      </c>
      <c r="G627">
        <v>6.6340000000000003</v>
      </c>
      <c r="N627" s="8"/>
    </row>
    <row r="628" spans="1:14" x14ac:dyDescent="0.25">
      <c r="A628" s="8">
        <v>40592</v>
      </c>
      <c r="B628">
        <v>356622.61</v>
      </c>
      <c r="C628">
        <v>0</v>
      </c>
      <c r="D628">
        <v>58.83</v>
      </c>
      <c r="E628">
        <v>3.0449999999999999</v>
      </c>
      <c r="F628">
        <v>213.8068304</v>
      </c>
      <c r="G628">
        <v>6.6340000000000003</v>
      </c>
      <c r="N628" s="8"/>
    </row>
    <row r="629" spans="1:14" x14ac:dyDescent="0.25">
      <c r="A629" s="8">
        <v>40599</v>
      </c>
      <c r="B629">
        <v>294659.5</v>
      </c>
      <c r="C629">
        <v>0</v>
      </c>
      <c r="D629">
        <v>63.35</v>
      </c>
      <c r="E629">
        <v>3.0649999999999999</v>
      </c>
      <c r="F629">
        <v>214.09555030000001</v>
      </c>
      <c r="G629">
        <v>6.6340000000000003</v>
      </c>
      <c r="N629" s="8"/>
    </row>
    <row r="630" spans="1:14" x14ac:dyDescent="0.25">
      <c r="A630" s="8">
        <v>40606</v>
      </c>
      <c r="B630">
        <v>329033.65999999997</v>
      </c>
      <c r="C630">
        <v>0</v>
      </c>
      <c r="D630">
        <v>60.35</v>
      </c>
      <c r="E630">
        <v>3.2879999999999998</v>
      </c>
      <c r="F630">
        <v>214.3842702</v>
      </c>
      <c r="G630">
        <v>6.6340000000000003</v>
      </c>
      <c r="N630" s="8"/>
    </row>
    <row r="631" spans="1:14" x14ac:dyDescent="0.25">
      <c r="A631" s="8">
        <v>40613</v>
      </c>
      <c r="B631">
        <v>293098.09999999998</v>
      </c>
      <c r="C631">
        <v>0</v>
      </c>
      <c r="D631">
        <v>55.74</v>
      </c>
      <c r="E631">
        <v>3.4590000000000001</v>
      </c>
      <c r="F631">
        <v>214.67299009999999</v>
      </c>
      <c r="G631">
        <v>6.6340000000000003</v>
      </c>
      <c r="N631" s="8"/>
    </row>
    <row r="632" spans="1:14" x14ac:dyDescent="0.25">
      <c r="A632" s="8">
        <v>40620</v>
      </c>
      <c r="B632">
        <v>312177.67</v>
      </c>
      <c r="C632">
        <v>0</v>
      </c>
      <c r="D632">
        <v>64.31</v>
      </c>
      <c r="E632">
        <v>3.488</v>
      </c>
      <c r="F632">
        <v>214.92573390000001</v>
      </c>
      <c r="G632">
        <v>6.6340000000000003</v>
      </c>
      <c r="N632" s="8"/>
    </row>
    <row r="633" spans="1:14" x14ac:dyDescent="0.25">
      <c r="A633" s="8">
        <v>40627</v>
      </c>
      <c r="B633">
        <v>294732.5</v>
      </c>
      <c r="C633">
        <v>0</v>
      </c>
      <c r="D633">
        <v>70.709999999999994</v>
      </c>
      <c r="E633">
        <v>3.4729999999999999</v>
      </c>
      <c r="F633">
        <v>215.16408720000001</v>
      </c>
      <c r="G633">
        <v>6.6340000000000003</v>
      </c>
      <c r="N633" s="8"/>
    </row>
    <row r="634" spans="1:14" x14ac:dyDescent="0.25">
      <c r="A634" s="8">
        <v>40634</v>
      </c>
      <c r="B634">
        <v>314316.55</v>
      </c>
      <c r="C634">
        <v>0</v>
      </c>
      <c r="D634">
        <v>61.5</v>
      </c>
      <c r="E634">
        <v>3.524</v>
      </c>
      <c r="F634">
        <v>215.40244060000001</v>
      </c>
      <c r="G634">
        <v>6.4889999999999999</v>
      </c>
      <c r="N634" s="8"/>
    </row>
    <row r="635" spans="1:14" x14ac:dyDescent="0.25">
      <c r="A635" s="8">
        <v>40641</v>
      </c>
      <c r="B635">
        <v>307333.62</v>
      </c>
      <c r="C635">
        <v>0</v>
      </c>
      <c r="D635">
        <v>69.64</v>
      </c>
      <c r="E635">
        <v>3.6219999999999999</v>
      </c>
      <c r="F635">
        <v>215.64079390000001</v>
      </c>
      <c r="G635">
        <v>6.4889999999999999</v>
      </c>
      <c r="N635" s="8"/>
    </row>
    <row r="636" spans="1:14" x14ac:dyDescent="0.25">
      <c r="A636" s="8">
        <v>40648</v>
      </c>
      <c r="B636">
        <v>307913.58</v>
      </c>
      <c r="C636">
        <v>0</v>
      </c>
      <c r="D636">
        <v>72.02</v>
      </c>
      <c r="E636">
        <v>3.7429999999999999</v>
      </c>
      <c r="F636">
        <v>215.8592673</v>
      </c>
      <c r="G636">
        <v>6.4889999999999999</v>
      </c>
      <c r="N636" s="8"/>
    </row>
    <row r="637" spans="1:14" x14ac:dyDescent="0.25">
      <c r="A637" s="8">
        <v>40655</v>
      </c>
      <c r="B637">
        <v>328415.44</v>
      </c>
      <c r="C637">
        <v>0</v>
      </c>
      <c r="D637">
        <v>74.34</v>
      </c>
      <c r="E637">
        <v>3.8069999999999999</v>
      </c>
      <c r="F637">
        <v>216.02804069999999</v>
      </c>
      <c r="G637">
        <v>6.4889999999999999</v>
      </c>
      <c r="N637" s="8"/>
    </row>
    <row r="638" spans="1:14" x14ac:dyDescent="0.25">
      <c r="A638" s="8">
        <v>40662</v>
      </c>
      <c r="B638">
        <v>307291.56</v>
      </c>
      <c r="C638">
        <v>0</v>
      </c>
      <c r="D638">
        <v>74.75</v>
      </c>
      <c r="E638">
        <v>3.81</v>
      </c>
      <c r="F638">
        <v>216.19681420000001</v>
      </c>
      <c r="G638">
        <v>6.4889999999999999</v>
      </c>
      <c r="N638" s="8"/>
    </row>
    <row r="639" spans="1:14" x14ac:dyDescent="0.25">
      <c r="A639" s="8">
        <v>40669</v>
      </c>
      <c r="B639">
        <v>322904.68</v>
      </c>
      <c r="C639">
        <v>0</v>
      </c>
      <c r="D639">
        <v>66.27</v>
      </c>
      <c r="E639">
        <v>3.9060000000000001</v>
      </c>
      <c r="F639">
        <v>216.36558769999999</v>
      </c>
      <c r="G639">
        <v>6.4889999999999999</v>
      </c>
      <c r="N639" s="8"/>
    </row>
    <row r="640" spans="1:14" x14ac:dyDescent="0.25">
      <c r="A640" s="8">
        <v>40676</v>
      </c>
      <c r="B640">
        <v>290930.01</v>
      </c>
      <c r="C640">
        <v>0</v>
      </c>
      <c r="D640">
        <v>77.38</v>
      </c>
      <c r="E640">
        <v>3.899</v>
      </c>
      <c r="F640">
        <v>216.53436110000001</v>
      </c>
      <c r="G640">
        <v>6.4889999999999999</v>
      </c>
      <c r="N640" s="8"/>
    </row>
    <row r="641" spans="1:14" x14ac:dyDescent="0.25">
      <c r="A641" s="8">
        <v>40683</v>
      </c>
      <c r="B641">
        <v>299614.33</v>
      </c>
      <c r="C641">
        <v>0</v>
      </c>
      <c r="D641">
        <v>71.37</v>
      </c>
      <c r="E641">
        <v>3.907</v>
      </c>
      <c r="F641">
        <v>216.3023847</v>
      </c>
      <c r="G641">
        <v>6.4889999999999999</v>
      </c>
      <c r="N641" s="8"/>
    </row>
    <row r="642" spans="1:14" x14ac:dyDescent="0.25">
      <c r="A642" s="8">
        <v>40690</v>
      </c>
      <c r="B642">
        <v>297149.69</v>
      </c>
      <c r="C642">
        <v>0</v>
      </c>
      <c r="D642">
        <v>80.14</v>
      </c>
      <c r="E642">
        <v>3.786</v>
      </c>
      <c r="F642">
        <v>216.0704083</v>
      </c>
      <c r="G642">
        <v>6.4889999999999999</v>
      </c>
      <c r="N642" s="8"/>
    </row>
    <row r="643" spans="1:14" x14ac:dyDescent="0.25">
      <c r="A643" s="8">
        <v>40697</v>
      </c>
      <c r="B643">
        <v>329183.92</v>
      </c>
      <c r="C643">
        <v>0</v>
      </c>
      <c r="D643">
        <v>83.81</v>
      </c>
      <c r="E643">
        <v>3.6989999999999998</v>
      </c>
      <c r="F643">
        <v>215.83843189999999</v>
      </c>
      <c r="G643">
        <v>6.4889999999999999</v>
      </c>
      <c r="N643" s="8"/>
    </row>
    <row r="644" spans="1:14" x14ac:dyDescent="0.25">
      <c r="A644" s="8">
        <v>40704</v>
      </c>
      <c r="B644">
        <v>304984.14</v>
      </c>
      <c r="C644">
        <v>0</v>
      </c>
      <c r="D644">
        <v>83.61</v>
      </c>
      <c r="E644">
        <v>3.6480000000000001</v>
      </c>
      <c r="F644">
        <v>215.60645550000001</v>
      </c>
      <c r="G644">
        <v>6.4889999999999999</v>
      </c>
      <c r="N644" s="8"/>
    </row>
    <row r="645" spans="1:14" x14ac:dyDescent="0.25">
      <c r="A645" s="8">
        <v>40711</v>
      </c>
      <c r="B645">
        <v>304811.82</v>
      </c>
      <c r="C645">
        <v>0</v>
      </c>
      <c r="D645">
        <v>86.84</v>
      </c>
      <c r="E645">
        <v>3.637</v>
      </c>
      <c r="F645">
        <v>215.560463</v>
      </c>
      <c r="G645">
        <v>6.4889999999999999</v>
      </c>
      <c r="N645" s="8"/>
    </row>
    <row r="646" spans="1:14" x14ac:dyDescent="0.25">
      <c r="A646" s="8">
        <v>40718</v>
      </c>
      <c r="B646">
        <v>302881.64</v>
      </c>
      <c r="C646">
        <v>0</v>
      </c>
      <c r="D646">
        <v>84.76</v>
      </c>
      <c r="E646">
        <v>3.5939999999999999</v>
      </c>
      <c r="F646">
        <v>215.6539583</v>
      </c>
      <c r="G646">
        <v>6.4889999999999999</v>
      </c>
      <c r="N646" s="8"/>
    </row>
    <row r="647" spans="1:14" x14ac:dyDescent="0.25">
      <c r="A647" s="8">
        <v>40725</v>
      </c>
      <c r="B647">
        <v>327093.89</v>
      </c>
      <c r="C647">
        <v>0</v>
      </c>
      <c r="D647">
        <v>85.81</v>
      </c>
      <c r="E647">
        <v>3.524</v>
      </c>
      <c r="F647">
        <v>215.74745369999999</v>
      </c>
      <c r="G647">
        <v>6.5289999999999999</v>
      </c>
      <c r="N647" s="8"/>
    </row>
    <row r="648" spans="1:14" x14ac:dyDescent="0.25">
      <c r="A648" s="8">
        <v>40732</v>
      </c>
      <c r="B648">
        <v>310804.93</v>
      </c>
      <c r="C648">
        <v>0</v>
      </c>
      <c r="D648">
        <v>86.64</v>
      </c>
      <c r="E648">
        <v>3.48</v>
      </c>
      <c r="F648">
        <v>215.84094909999999</v>
      </c>
      <c r="G648">
        <v>6.5289999999999999</v>
      </c>
      <c r="N648" s="8"/>
    </row>
    <row r="649" spans="1:14" x14ac:dyDescent="0.25">
      <c r="A649" s="8">
        <v>40739</v>
      </c>
      <c r="B649">
        <v>283248.62</v>
      </c>
      <c r="C649">
        <v>0</v>
      </c>
      <c r="D649">
        <v>88.64</v>
      </c>
      <c r="E649">
        <v>3.5750000000000002</v>
      </c>
      <c r="F649">
        <v>215.9250696</v>
      </c>
      <c r="G649">
        <v>6.5289999999999999</v>
      </c>
      <c r="N649" s="8"/>
    </row>
    <row r="650" spans="1:14" x14ac:dyDescent="0.25">
      <c r="A650" s="8">
        <v>40746</v>
      </c>
      <c r="B650">
        <v>292539.73</v>
      </c>
      <c r="C650">
        <v>0</v>
      </c>
      <c r="D650">
        <v>86.97</v>
      </c>
      <c r="E650">
        <v>3.6509999999999998</v>
      </c>
      <c r="F650">
        <v>215.98575299999999</v>
      </c>
      <c r="G650">
        <v>6.5289999999999999</v>
      </c>
      <c r="N650" s="8"/>
    </row>
    <row r="651" spans="1:14" x14ac:dyDescent="0.25">
      <c r="A651" s="8">
        <v>40753</v>
      </c>
      <c r="B651">
        <v>275142.17</v>
      </c>
      <c r="C651">
        <v>0</v>
      </c>
      <c r="D651">
        <v>89.42</v>
      </c>
      <c r="E651">
        <v>3.6819999999999999</v>
      </c>
      <c r="F651">
        <v>216.0464364</v>
      </c>
      <c r="G651">
        <v>6.5289999999999999</v>
      </c>
      <c r="N651" s="8"/>
    </row>
    <row r="652" spans="1:14" x14ac:dyDescent="0.25">
      <c r="A652" s="8">
        <v>40760</v>
      </c>
      <c r="B652">
        <v>317738.56</v>
      </c>
      <c r="C652">
        <v>0</v>
      </c>
      <c r="D652">
        <v>91.07</v>
      </c>
      <c r="E652">
        <v>3.6840000000000002</v>
      </c>
      <c r="F652">
        <v>216.10711979999999</v>
      </c>
      <c r="G652">
        <v>6.5289999999999999</v>
      </c>
      <c r="N652" s="8"/>
    </row>
    <row r="653" spans="1:14" x14ac:dyDescent="0.25">
      <c r="A653" s="8">
        <v>40767</v>
      </c>
      <c r="B653">
        <v>289886.15999999997</v>
      </c>
      <c r="C653">
        <v>0</v>
      </c>
      <c r="D653">
        <v>90.16</v>
      </c>
      <c r="E653">
        <v>3.6379999999999999</v>
      </c>
      <c r="F653">
        <v>216.16780320000001</v>
      </c>
      <c r="G653">
        <v>6.5289999999999999</v>
      </c>
      <c r="N653" s="8"/>
    </row>
    <row r="654" spans="1:14" x14ac:dyDescent="0.25">
      <c r="A654" s="8">
        <v>40774</v>
      </c>
      <c r="B654">
        <v>303643.84000000003</v>
      </c>
      <c r="C654">
        <v>0</v>
      </c>
      <c r="D654">
        <v>89.35</v>
      </c>
      <c r="E654">
        <v>3.5539999999999998</v>
      </c>
      <c r="F654">
        <v>216.23118550000001</v>
      </c>
      <c r="G654">
        <v>6.5289999999999999</v>
      </c>
      <c r="N654" s="8"/>
    </row>
    <row r="655" spans="1:14" x14ac:dyDescent="0.25">
      <c r="A655" s="8">
        <v>40781</v>
      </c>
      <c r="B655">
        <v>310338.17</v>
      </c>
      <c r="C655">
        <v>0</v>
      </c>
      <c r="D655">
        <v>89.18</v>
      </c>
      <c r="E655">
        <v>3.5230000000000001</v>
      </c>
      <c r="F655">
        <v>216.29501759999999</v>
      </c>
      <c r="G655">
        <v>6.5289999999999999</v>
      </c>
      <c r="N655" s="8"/>
    </row>
    <row r="656" spans="1:14" x14ac:dyDescent="0.25">
      <c r="A656" s="8">
        <v>40788</v>
      </c>
      <c r="B656">
        <v>315645.53000000003</v>
      </c>
      <c r="C656">
        <v>0</v>
      </c>
      <c r="D656">
        <v>90.38</v>
      </c>
      <c r="E656">
        <v>3.5329999999999999</v>
      </c>
      <c r="F656">
        <v>216.3588498</v>
      </c>
      <c r="G656">
        <v>6.5289999999999999</v>
      </c>
      <c r="N656" s="8"/>
    </row>
    <row r="657" spans="1:14" x14ac:dyDescent="0.25">
      <c r="A657" s="8">
        <v>40795</v>
      </c>
      <c r="B657">
        <v>321110.21999999997</v>
      </c>
      <c r="C657">
        <v>1</v>
      </c>
      <c r="D657">
        <v>79.040000000000006</v>
      </c>
      <c r="E657">
        <v>3.5459999999999998</v>
      </c>
      <c r="F657">
        <v>216.42268189999999</v>
      </c>
      <c r="G657">
        <v>6.5289999999999999</v>
      </c>
      <c r="N657" s="8"/>
    </row>
    <row r="658" spans="1:14" x14ac:dyDescent="0.25">
      <c r="A658" s="8">
        <v>40802</v>
      </c>
      <c r="B658">
        <v>278529.71000000002</v>
      </c>
      <c r="C658">
        <v>0</v>
      </c>
      <c r="D658">
        <v>83.55</v>
      </c>
      <c r="E658">
        <v>3.5259999999999998</v>
      </c>
      <c r="F658">
        <v>216.60330830000001</v>
      </c>
      <c r="G658">
        <v>6.5289999999999999</v>
      </c>
      <c r="N658" s="8"/>
    </row>
    <row r="659" spans="1:14" x14ac:dyDescent="0.25">
      <c r="A659" s="8">
        <v>40809</v>
      </c>
      <c r="B659">
        <v>291024.98</v>
      </c>
      <c r="C659">
        <v>0</v>
      </c>
      <c r="D659">
        <v>78.010000000000005</v>
      </c>
      <c r="E659">
        <v>3.4670000000000001</v>
      </c>
      <c r="F659">
        <v>216.9396605</v>
      </c>
      <c r="G659">
        <v>6.5289999999999999</v>
      </c>
      <c r="N659" s="8"/>
    </row>
    <row r="660" spans="1:14" x14ac:dyDescent="0.25">
      <c r="A660" s="8">
        <v>40816</v>
      </c>
      <c r="B660">
        <v>292315.38</v>
      </c>
      <c r="C660">
        <v>0</v>
      </c>
      <c r="D660">
        <v>81.16</v>
      </c>
      <c r="E660">
        <v>3.355</v>
      </c>
      <c r="F660">
        <v>217.2760127</v>
      </c>
      <c r="G660">
        <v>6.5289999999999999</v>
      </c>
      <c r="N660" s="8"/>
    </row>
    <row r="661" spans="1:14" x14ac:dyDescent="0.25">
      <c r="A661" s="8">
        <v>40823</v>
      </c>
      <c r="B661">
        <v>309111.46999999997</v>
      </c>
      <c r="C661">
        <v>0</v>
      </c>
      <c r="D661">
        <v>71.64</v>
      </c>
      <c r="E661">
        <v>3.2850000000000001</v>
      </c>
      <c r="F661">
        <v>217.61236479999999</v>
      </c>
      <c r="G661">
        <v>6.3</v>
      </c>
      <c r="N661" s="8"/>
    </row>
    <row r="662" spans="1:14" x14ac:dyDescent="0.25">
      <c r="A662" s="8">
        <v>40830</v>
      </c>
      <c r="B662">
        <v>286117.71999999997</v>
      </c>
      <c r="C662">
        <v>0</v>
      </c>
      <c r="D662">
        <v>72.36</v>
      </c>
      <c r="E662">
        <v>3.274</v>
      </c>
      <c r="F662">
        <v>217.92374580000001</v>
      </c>
      <c r="G662">
        <v>6.3</v>
      </c>
      <c r="N662" s="8"/>
    </row>
    <row r="663" spans="1:14" x14ac:dyDescent="0.25">
      <c r="A663" s="8">
        <v>40837</v>
      </c>
      <c r="B663">
        <v>306069.18</v>
      </c>
      <c r="C663">
        <v>0</v>
      </c>
      <c r="D663">
        <v>66.900000000000006</v>
      </c>
      <c r="E663">
        <v>3.3530000000000002</v>
      </c>
      <c r="F663">
        <v>218.0852999</v>
      </c>
      <c r="G663">
        <v>6.3</v>
      </c>
      <c r="N663" s="8"/>
    </row>
    <row r="664" spans="1:14" x14ac:dyDescent="0.25">
      <c r="A664" s="8">
        <v>40844</v>
      </c>
      <c r="B664">
        <v>307035.11</v>
      </c>
      <c r="C664">
        <v>0</v>
      </c>
      <c r="D664">
        <v>69.27</v>
      </c>
      <c r="E664">
        <v>3.3719999999999999</v>
      </c>
      <c r="F664">
        <v>218.24685389999999</v>
      </c>
      <c r="G664">
        <v>6.3</v>
      </c>
      <c r="N664" s="8"/>
    </row>
    <row r="665" spans="1:14" x14ac:dyDescent="0.25">
      <c r="A665" s="8">
        <v>40851</v>
      </c>
      <c r="B665">
        <v>353652.23</v>
      </c>
      <c r="C665">
        <v>0</v>
      </c>
      <c r="D665">
        <v>56.71</v>
      </c>
      <c r="E665">
        <v>3.3319999999999999</v>
      </c>
      <c r="F665">
        <v>218.40840800000001</v>
      </c>
      <c r="G665">
        <v>6.3</v>
      </c>
      <c r="N665" s="8"/>
    </row>
    <row r="666" spans="1:14" x14ac:dyDescent="0.25">
      <c r="A666" s="8">
        <v>40858</v>
      </c>
      <c r="B666">
        <v>311906.7</v>
      </c>
      <c r="C666">
        <v>0</v>
      </c>
      <c r="D666">
        <v>60.71</v>
      </c>
      <c r="E666">
        <v>3.2970000000000002</v>
      </c>
      <c r="F666">
        <v>218.5699621</v>
      </c>
      <c r="G666">
        <v>6.3</v>
      </c>
      <c r="N666" s="8"/>
    </row>
    <row r="667" spans="1:14" x14ac:dyDescent="0.25">
      <c r="A667" s="8">
        <v>40865</v>
      </c>
      <c r="B667">
        <v>307944.37</v>
      </c>
      <c r="C667">
        <v>0</v>
      </c>
      <c r="D667">
        <v>64.33</v>
      </c>
      <c r="E667">
        <v>3.3079999999999998</v>
      </c>
      <c r="F667">
        <v>218.79391200000001</v>
      </c>
      <c r="G667">
        <v>6.3</v>
      </c>
      <c r="N667" s="8"/>
    </row>
    <row r="668" spans="1:14" x14ac:dyDescent="0.25">
      <c r="A668" s="8">
        <v>40872</v>
      </c>
      <c r="B668">
        <v>507900.07</v>
      </c>
      <c r="C668">
        <v>1</v>
      </c>
      <c r="D668">
        <v>61.93</v>
      </c>
      <c r="E668">
        <v>3.2360000000000002</v>
      </c>
      <c r="F668">
        <v>219.04282040000001</v>
      </c>
      <c r="G668">
        <v>6.3</v>
      </c>
      <c r="N668" s="8"/>
    </row>
    <row r="669" spans="1:14" x14ac:dyDescent="0.25">
      <c r="A669" s="8">
        <v>40879</v>
      </c>
      <c r="B669">
        <v>376225.61</v>
      </c>
      <c r="C669">
        <v>0</v>
      </c>
      <c r="D669">
        <v>51.14</v>
      </c>
      <c r="E669">
        <v>3.1720000000000002</v>
      </c>
      <c r="F669">
        <v>219.29172869999999</v>
      </c>
      <c r="G669">
        <v>6.3</v>
      </c>
      <c r="N669" s="8"/>
    </row>
    <row r="670" spans="1:14" x14ac:dyDescent="0.25">
      <c r="A670" s="8">
        <v>40886</v>
      </c>
      <c r="B670">
        <v>367433.77</v>
      </c>
      <c r="C670">
        <v>0</v>
      </c>
      <c r="D670">
        <v>44.12</v>
      </c>
      <c r="E670">
        <v>3.1579999999999999</v>
      </c>
      <c r="F670">
        <v>219.540637</v>
      </c>
      <c r="G670">
        <v>6.3</v>
      </c>
      <c r="N670" s="8"/>
    </row>
    <row r="671" spans="1:14" x14ac:dyDescent="0.25">
      <c r="A671" s="8">
        <v>40893</v>
      </c>
      <c r="B671">
        <v>379530.3</v>
      </c>
      <c r="C671">
        <v>0</v>
      </c>
      <c r="D671">
        <v>54.42</v>
      </c>
      <c r="E671">
        <v>3.1589999999999998</v>
      </c>
      <c r="F671">
        <v>219.75962659999999</v>
      </c>
      <c r="G671">
        <v>6.3</v>
      </c>
      <c r="N671" s="8"/>
    </row>
    <row r="672" spans="1:14" x14ac:dyDescent="0.25">
      <c r="A672" s="8">
        <v>40900</v>
      </c>
      <c r="B672">
        <v>458562.24</v>
      </c>
      <c r="C672">
        <v>0</v>
      </c>
      <c r="D672">
        <v>50.33</v>
      </c>
      <c r="E672">
        <v>3.1120000000000001</v>
      </c>
      <c r="F672">
        <v>219.9387246</v>
      </c>
      <c r="G672">
        <v>6.3</v>
      </c>
      <c r="N672" s="8"/>
    </row>
    <row r="673" spans="1:14" x14ac:dyDescent="0.25">
      <c r="A673" s="8">
        <v>40907</v>
      </c>
      <c r="B673">
        <v>349624.88</v>
      </c>
      <c r="C673">
        <v>1</v>
      </c>
      <c r="D673">
        <v>45.62</v>
      </c>
      <c r="E673">
        <v>3.129</v>
      </c>
      <c r="F673">
        <v>220.11782260000001</v>
      </c>
      <c r="G673">
        <v>6.3</v>
      </c>
      <c r="N673" s="8"/>
    </row>
    <row r="674" spans="1:14" x14ac:dyDescent="0.25">
      <c r="A674" s="8">
        <v>40914</v>
      </c>
      <c r="B674">
        <v>312078.71000000002</v>
      </c>
      <c r="C674">
        <v>0</v>
      </c>
      <c r="D674">
        <v>50.21</v>
      </c>
      <c r="E674">
        <v>3.157</v>
      </c>
      <c r="F674">
        <v>220.2969205</v>
      </c>
      <c r="G674">
        <v>5.9429999999999996</v>
      </c>
      <c r="N674" s="8"/>
    </row>
    <row r="675" spans="1:14" x14ac:dyDescent="0.25">
      <c r="A675" s="8">
        <v>40921</v>
      </c>
      <c r="B675">
        <v>291454.52</v>
      </c>
      <c r="C675">
        <v>0</v>
      </c>
      <c r="D675">
        <v>48.86</v>
      </c>
      <c r="E675">
        <v>3.2610000000000001</v>
      </c>
      <c r="F675">
        <v>220.47601850000001</v>
      </c>
      <c r="G675">
        <v>5.9429999999999996</v>
      </c>
      <c r="N675" s="8"/>
    </row>
    <row r="676" spans="1:14" x14ac:dyDescent="0.25">
      <c r="A676" s="8">
        <v>40928</v>
      </c>
      <c r="B676">
        <v>287523.98</v>
      </c>
      <c r="C676">
        <v>0</v>
      </c>
      <c r="D676">
        <v>54.65</v>
      </c>
      <c r="E676">
        <v>3.2679999999999998</v>
      </c>
      <c r="F676">
        <v>220.56941040000001</v>
      </c>
      <c r="G676">
        <v>5.9429999999999996</v>
      </c>
      <c r="N676" s="8"/>
    </row>
    <row r="677" spans="1:14" x14ac:dyDescent="0.25">
      <c r="A677" s="8">
        <v>40935</v>
      </c>
      <c r="B677">
        <v>295974.21999999997</v>
      </c>
      <c r="C677">
        <v>0</v>
      </c>
      <c r="D677">
        <v>54.63</v>
      </c>
      <c r="E677">
        <v>3.29</v>
      </c>
      <c r="F677">
        <v>220.66280230000001</v>
      </c>
      <c r="G677">
        <v>5.9429999999999996</v>
      </c>
      <c r="N677" s="8"/>
    </row>
    <row r="678" spans="1:14" x14ac:dyDescent="0.25">
      <c r="A678" s="8">
        <v>40942</v>
      </c>
      <c r="B678">
        <v>333948</v>
      </c>
      <c r="C678">
        <v>0</v>
      </c>
      <c r="D678">
        <v>57.35</v>
      </c>
      <c r="E678">
        <v>3.36</v>
      </c>
      <c r="F678">
        <v>220.75619409999999</v>
      </c>
      <c r="G678">
        <v>5.9429999999999996</v>
      </c>
      <c r="N678" s="8"/>
    </row>
    <row r="679" spans="1:14" x14ac:dyDescent="0.25">
      <c r="A679" s="8">
        <v>40949</v>
      </c>
      <c r="B679">
        <v>349239.88</v>
      </c>
      <c r="C679">
        <v>1</v>
      </c>
      <c r="D679">
        <v>48.57</v>
      </c>
      <c r="E679">
        <v>3.4089999999999998</v>
      </c>
      <c r="F679">
        <v>220.84958599999999</v>
      </c>
      <c r="G679">
        <v>5.9429999999999996</v>
      </c>
      <c r="N679" s="8"/>
    </row>
    <row r="680" spans="1:14" x14ac:dyDescent="0.25">
      <c r="A680" s="8">
        <v>40956</v>
      </c>
      <c r="B680">
        <v>356427.98</v>
      </c>
      <c r="C680">
        <v>0</v>
      </c>
      <c r="D680">
        <v>48.25</v>
      </c>
      <c r="E680">
        <v>3.51</v>
      </c>
      <c r="F680">
        <v>221.0106341</v>
      </c>
      <c r="G680">
        <v>5.9429999999999996</v>
      </c>
      <c r="N680" s="8"/>
    </row>
    <row r="681" spans="1:14" x14ac:dyDescent="0.25">
      <c r="A681" s="8">
        <v>40963</v>
      </c>
      <c r="B681">
        <v>312220.46999999997</v>
      </c>
      <c r="C681">
        <v>0</v>
      </c>
      <c r="D681">
        <v>57.75</v>
      </c>
      <c r="E681">
        <v>3.5550000000000002</v>
      </c>
      <c r="F681">
        <v>221.2224243</v>
      </c>
      <c r="G681">
        <v>5.9429999999999996</v>
      </c>
      <c r="N681" s="8"/>
    </row>
    <row r="682" spans="1:14" x14ac:dyDescent="0.25">
      <c r="A682" s="8">
        <v>40970</v>
      </c>
      <c r="B682">
        <v>359206.21</v>
      </c>
      <c r="C682">
        <v>0</v>
      </c>
      <c r="D682">
        <v>60.66</v>
      </c>
      <c r="E682">
        <v>3.63</v>
      </c>
      <c r="F682">
        <v>221.43421459999999</v>
      </c>
      <c r="G682">
        <v>5.9429999999999996</v>
      </c>
      <c r="N682" s="8"/>
    </row>
    <row r="683" spans="1:14" x14ac:dyDescent="0.25">
      <c r="A683" s="8">
        <v>40977</v>
      </c>
      <c r="B683">
        <v>347295.6</v>
      </c>
      <c r="C683">
        <v>0</v>
      </c>
      <c r="D683">
        <v>57.69</v>
      </c>
      <c r="E683">
        <v>3.669</v>
      </c>
      <c r="F683">
        <v>221.64600479999999</v>
      </c>
      <c r="G683">
        <v>5.9429999999999996</v>
      </c>
      <c r="N683" s="8"/>
    </row>
    <row r="684" spans="1:14" x14ac:dyDescent="0.25">
      <c r="A684" s="8">
        <v>40984</v>
      </c>
      <c r="B684">
        <v>339392.54</v>
      </c>
      <c r="C684">
        <v>0</v>
      </c>
      <c r="D684">
        <v>63.55</v>
      </c>
      <c r="E684">
        <v>3.734</v>
      </c>
      <c r="F684">
        <v>221.79897130000001</v>
      </c>
      <c r="G684">
        <v>5.9429999999999996</v>
      </c>
      <c r="N684" s="8"/>
    </row>
    <row r="685" spans="1:14" x14ac:dyDescent="0.25">
      <c r="A685" s="8">
        <v>40991</v>
      </c>
      <c r="B685">
        <v>321299.99</v>
      </c>
      <c r="C685">
        <v>0</v>
      </c>
      <c r="D685">
        <v>64.44</v>
      </c>
      <c r="E685">
        <v>3.7869999999999999</v>
      </c>
      <c r="F685">
        <v>221.8735063</v>
      </c>
      <c r="G685">
        <v>5.9429999999999996</v>
      </c>
      <c r="N685" s="8"/>
    </row>
    <row r="686" spans="1:14" x14ac:dyDescent="0.25">
      <c r="A686" s="8">
        <v>40998</v>
      </c>
      <c r="B686">
        <v>331318.73</v>
      </c>
      <c r="C686">
        <v>0</v>
      </c>
      <c r="D686">
        <v>67.760000000000005</v>
      </c>
      <c r="E686">
        <v>3.8450000000000002</v>
      </c>
      <c r="F686">
        <v>221.94804120000001</v>
      </c>
      <c r="G686">
        <v>5.9429999999999996</v>
      </c>
      <c r="N686" s="8"/>
    </row>
    <row r="687" spans="1:14" x14ac:dyDescent="0.25">
      <c r="A687" s="8">
        <v>41005</v>
      </c>
      <c r="B687">
        <v>402985.7</v>
      </c>
      <c r="C687">
        <v>0</v>
      </c>
      <c r="D687">
        <v>70.400000000000006</v>
      </c>
      <c r="E687">
        <v>3.891</v>
      </c>
      <c r="F687">
        <v>222.0225762</v>
      </c>
      <c r="G687">
        <v>5.8010000000000002</v>
      </c>
      <c r="N687" s="8"/>
    </row>
    <row r="688" spans="1:14" x14ac:dyDescent="0.25">
      <c r="A688" s="8">
        <v>41012</v>
      </c>
      <c r="B688">
        <v>351832.03</v>
      </c>
      <c r="C688">
        <v>0</v>
      </c>
      <c r="D688">
        <v>70.56</v>
      </c>
      <c r="E688">
        <v>3.891</v>
      </c>
      <c r="F688">
        <v>222.09711110000001</v>
      </c>
      <c r="G688">
        <v>5.8010000000000002</v>
      </c>
      <c r="N688" s="8"/>
    </row>
    <row r="689" spans="1:14" x14ac:dyDescent="0.25">
      <c r="A689" s="8">
        <v>41019</v>
      </c>
      <c r="B689">
        <v>330063.06</v>
      </c>
      <c r="C689">
        <v>0</v>
      </c>
      <c r="D689">
        <v>67.33</v>
      </c>
      <c r="E689">
        <v>3.8769999999999998</v>
      </c>
      <c r="F689">
        <v>222.15123149999999</v>
      </c>
      <c r="G689">
        <v>5.8010000000000002</v>
      </c>
      <c r="N689" s="8"/>
    </row>
    <row r="690" spans="1:14" x14ac:dyDescent="0.25">
      <c r="A690" s="8">
        <v>41026</v>
      </c>
      <c r="B690">
        <v>324839.74</v>
      </c>
      <c r="C690">
        <v>0</v>
      </c>
      <c r="D690">
        <v>68.959999999999994</v>
      </c>
      <c r="E690">
        <v>3.8140000000000001</v>
      </c>
      <c r="F690">
        <v>222.20535190000001</v>
      </c>
      <c r="G690">
        <v>5.8010000000000002</v>
      </c>
      <c r="N690" s="8"/>
    </row>
    <row r="691" spans="1:14" x14ac:dyDescent="0.25">
      <c r="A691" s="8">
        <v>41033</v>
      </c>
      <c r="B691">
        <v>360932.69</v>
      </c>
      <c r="C691">
        <v>0</v>
      </c>
      <c r="D691">
        <v>77.099999999999994</v>
      </c>
      <c r="E691">
        <v>3.7490000000000001</v>
      </c>
      <c r="F691">
        <v>222.2594722</v>
      </c>
      <c r="G691">
        <v>5.8010000000000002</v>
      </c>
      <c r="N691" s="8"/>
    </row>
    <row r="692" spans="1:14" x14ac:dyDescent="0.25">
      <c r="A692" s="8">
        <v>41040</v>
      </c>
      <c r="B692">
        <v>333870.52</v>
      </c>
      <c r="C692">
        <v>0</v>
      </c>
      <c r="D692">
        <v>73.45</v>
      </c>
      <c r="E692">
        <v>3.6880000000000002</v>
      </c>
      <c r="F692">
        <v>222.31359259999999</v>
      </c>
      <c r="G692">
        <v>5.8010000000000002</v>
      </c>
      <c r="N692" s="8"/>
    </row>
    <row r="693" spans="1:14" x14ac:dyDescent="0.25">
      <c r="A693" s="8">
        <v>41047</v>
      </c>
      <c r="B693">
        <v>336189.66</v>
      </c>
      <c r="C693">
        <v>0</v>
      </c>
      <c r="D693">
        <v>70.45</v>
      </c>
      <c r="E693">
        <v>3.63</v>
      </c>
      <c r="F693">
        <v>222.330443</v>
      </c>
      <c r="G693">
        <v>5.8010000000000002</v>
      </c>
      <c r="N693" s="8"/>
    </row>
    <row r="694" spans="1:14" x14ac:dyDescent="0.25">
      <c r="A694" s="8">
        <v>41054</v>
      </c>
      <c r="B694">
        <v>341994.48</v>
      </c>
      <c r="C694">
        <v>0</v>
      </c>
      <c r="D694">
        <v>78.23</v>
      </c>
      <c r="E694">
        <v>3.5609999999999999</v>
      </c>
      <c r="F694">
        <v>222.3323853</v>
      </c>
      <c r="G694">
        <v>5.8010000000000002</v>
      </c>
      <c r="N694" s="8"/>
    </row>
    <row r="695" spans="1:14" x14ac:dyDescent="0.25">
      <c r="A695" s="8">
        <v>41061</v>
      </c>
      <c r="B695">
        <v>359867.8</v>
      </c>
      <c r="C695">
        <v>0</v>
      </c>
      <c r="D695">
        <v>79.72</v>
      </c>
      <c r="E695">
        <v>3.5009999999999999</v>
      </c>
      <c r="F695">
        <v>222.33432769999999</v>
      </c>
      <c r="G695">
        <v>5.8010000000000002</v>
      </c>
      <c r="N695" s="8"/>
    </row>
    <row r="696" spans="1:14" x14ac:dyDescent="0.25">
      <c r="A696" s="8">
        <v>41068</v>
      </c>
      <c r="B696">
        <v>341704.59</v>
      </c>
      <c r="C696">
        <v>0</v>
      </c>
      <c r="D696">
        <v>81.02</v>
      </c>
      <c r="E696">
        <v>3.452</v>
      </c>
      <c r="F696">
        <v>222.33627000000001</v>
      </c>
      <c r="G696">
        <v>5.8010000000000002</v>
      </c>
      <c r="N696" s="8"/>
    </row>
    <row r="697" spans="1:14" x14ac:dyDescent="0.25">
      <c r="A697" s="8">
        <v>41075</v>
      </c>
      <c r="B697">
        <v>327383.64</v>
      </c>
      <c r="C697">
        <v>0</v>
      </c>
      <c r="D697">
        <v>81.64</v>
      </c>
      <c r="E697">
        <v>3.3929999999999998</v>
      </c>
      <c r="F697">
        <v>222.34929009999999</v>
      </c>
      <c r="G697">
        <v>5.8010000000000002</v>
      </c>
      <c r="N697" s="8"/>
    </row>
    <row r="698" spans="1:14" x14ac:dyDescent="0.25">
      <c r="A698" s="8">
        <v>41082</v>
      </c>
      <c r="B698">
        <v>325041.68</v>
      </c>
      <c r="C698">
        <v>0</v>
      </c>
      <c r="D698">
        <v>80.569999999999993</v>
      </c>
      <c r="E698">
        <v>3.3460000000000001</v>
      </c>
      <c r="F698">
        <v>222.3900046</v>
      </c>
      <c r="G698">
        <v>5.8010000000000002</v>
      </c>
      <c r="N698" s="8"/>
    </row>
    <row r="699" spans="1:14" x14ac:dyDescent="0.25">
      <c r="A699" s="8">
        <v>41089</v>
      </c>
      <c r="B699">
        <v>329658.09999999998</v>
      </c>
      <c r="C699">
        <v>0</v>
      </c>
      <c r="D699">
        <v>87.08</v>
      </c>
      <c r="E699">
        <v>3.286</v>
      </c>
      <c r="F699">
        <v>222.4307191</v>
      </c>
      <c r="G699">
        <v>5.8010000000000002</v>
      </c>
      <c r="N699" s="8"/>
    </row>
    <row r="700" spans="1:14" x14ac:dyDescent="0.25">
      <c r="A700" s="8">
        <v>41096</v>
      </c>
      <c r="B700">
        <v>341214.43</v>
      </c>
      <c r="C700">
        <v>0</v>
      </c>
      <c r="D700">
        <v>82.35</v>
      </c>
      <c r="E700">
        <v>3.2269999999999999</v>
      </c>
      <c r="F700">
        <v>222.47143360000001</v>
      </c>
      <c r="G700">
        <v>5.6029999999999998</v>
      </c>
      <c r="N700" s="8"/>
    </row>
    <row r="701" spans="1:14" x14ac:dyDescent="0.25">
      <c r="A701" s="8">
        <v>41103</v>
      </c>
      <c r="B701">
        <v>316203.64</v>
      </c>
      <c r="C701">
        <v>0</v>
      </c>
      <c r="D701">
        <v>80.78</v>
      </c>
      <c r="E701">
        <v>3.2559999999999998</v>
      </c>
      <c r="F701">
        <v>222.51214809999999</v>
      </c>
      <c r="G701">
        <v>5.6029999999999998</v>
      </c>
      <c r="N701" s="8"/>
    </row>
    <row r="702" spans="1:14" x14ac:dyDescent="0.25">
      <c r="A702" s="8">
        <v>41110</v>
      </c>
      <c r="B702">
        <v>321205.12</v>
      </c>
      <c r="C702">
        <v>0</v>
      </c>
      <c r="D702">
        <v>81.05</v>
      </c>
      <c r="E702">
        <v>3.3109999999999999</v>
      </c>
      <c r="F702">
        <v>222.52093579999999</v>
      </c>
      <c r="G702">
        <v>5.6029999999999998</v>
      </c>
      <c r="N702" s="8"/>
    </row>
    <row r="703" spans="1:14" x14ac:dyDescent="0.25">
      <c r="A703" s="8">
        <v>41117</v>
      </c>
      <c r="B703">
        <v>306827.36</v>
      </c>
      <c r="C703">
        <v>0</v>
      </c>
      <c r="D703">
        <v>85.06</v>
      </c>
      <c r="E703">
        <v>3.407</v>
      </c>
      <c r="F703">
        <v>222.52972339999999</v>
      </c>
      <c r="G703">
        <v>5.6029999999999998</v>
      </c>
      <c r="N703" s="8"/>
    </row>
    <row r="704" spans="1:14" x14ac:dyDescent="0.25">
      <c r="A704" s="8">
        <v>41124</v>
      </c>
      <c r="B704">
        <v>324195.17</v>
      </c>
      <c r="C704">
        <v>0</v>
      </c>
      <c r="D704">
        <v>86.91</v>
      </c>
      <c r="E704">
        <v>3.4169999999999998</v>
      </c>
      <c r="F704">
        <v>222.53851109999999</v>
      </c>
      <c r="G704">
        <v>5.6029999999999998</v>
      </c>
      <c r="N704" s="8"/>
    </row>
    <row r="705" spans="1:14" x14ac:dyDescent="0.25">
      <c r="A705" s="8">
        <v>41131</v>
      </c>
      <c r="B705">
        <v>306759.7</v>
      </c>
      <c r="C705">
        <v>0</v>
      </c>
      <c r="D705">
        <v>86.96</v>
      </c>
      <c r="E705">
        <v>3.4940000000000002</v>
      </c>
      <c r="F705">
        <v>222.5472987</v>
      </c>
      <c r="G705">
        <v>5.6029999999999998</v>
      </c>
      <c r="N705" s="8"/>
    </row>
    <row r="706" spans="1:14" x14ac:dyDescent="0.25">
      <c r="A706" s="8">
        <v>41138</v>
      </c>
      <c r="B706">
        <v>314014.18</v>
      </c>
      <c r="C706">
        <v>0</v>
      </c>
      <c r="D706">
        <v>87.52</v>
      </c>
      <c r="E706">
        <v>3.5710000000000002</v>
      </c>
      <c r="F706">
        <v>222.62767529999999</v>
      </c>
      <c r="G706">
        <v>5.6029999999999998</v>
      </c>
      <c r="N706" s="8"/>
    </row>
    <row r="707" spans="1:14" x14ac:dyDescent="0.25">
      <c r="A707" s="8">
        <v>41145</v>
      </c>
      <c r="B707">
        <v>320831.35999999999</v>
      </c>
      <c r="C707">
        <v>0</v>
      </c>
      <c r="D707">
        <v>79.45</v>
      </c>
      <c r="E707">
        <v>3.62</v>
      </c>
      <c r="F707">
        <v>222.76174370000001</v>
      </c>
      <c r="G707">
        <v>5.6029999999999998</v>
      </c>
      <c r="N707" s="8"/>
    </row>
    <row r="708" spans="1:14" x14ac:dyDescent="0.25">
      <c r="A708" s="8">
        <v>41152</v>
      </c>
      <c r="B708">
        <v>344642.01</v>
      </c>
      <c r="C708">
        <v>0</v>
      </c>
      <c r="D708">
        <v>84.25</v>
      </c>
      <c r="E708">
        <v>3.6379999999999999</v>
      </c>
      <c r="F708">
        <v>222.8958121</v>
      </c>
      <c r="G708">
        <v>5.6029999999999998</v>
      </c>
      <c r="N708" s="8"/>
    </row>
    <row r="709" spans="1:14" x14ac:dyDescent="0.25">
      <c r="A709" s="8">
        <v>41159</v>
      </c>
      <c r="B709">
        <v>350648.91</v>
      </c>
      <c r="C709">
        <v>1</v>
      </c>
      <c r="D709">
        <v>86.3</v>
      </c>
      <c r="E709">
        <v>3.73</v>
      </c>
      <c r="F709">
        <v>223.02988049999999</v>
      </c>
      <c r="G709">
        <v>5.6029999999999998</v>
      </c>
      <c r="N709" s="8"/>
    </row>
    <row r="710" spans="1:14" x14ac:dyDescent="0.25">
      <c r="A710" s="8">
        <v>41166</v>
      </c>
      <c r="B710">
        <v>299800.67</v>
      </c>
      <c r="C710">
        <v>0</v>
      </c>
      <c r="D710">
        <v>76.650000000000006</v>
      </c>
      <c r="E710">
        <v>3.7170000000000001</v>
      </c>
      <c r="F710">
        <v>223.17341669999999</v>
      </c>
      <c r="G710">
        <v>5.6029999999999998</v>
      </c>
      <c r="N710" s="8"/>
    </row>
    <row r="711" spans="1:14" x14ac:dyDescent="0.25">
      <c r="A711" s="8">
        <v>41173</v>
      </c>
      <c r="B711">
        <v>307306.76</v>
      </c>
      <c r="C711">
        <v>0</v>
      </c>
      <c r="D711">
        <v>71.09</v>
      </c>
      <c r="E711">
        <v>3.7210000000000001</v>
      </c>
      <c r="F711">
        <v>223.37375929999999</v>
      </c>
      <c r="G711">
        <v>5.6029999999999998</v>
      </c>
      <c r="N711" s="8"/>
    </row>
    <row r="712" spans="1:14" x14ac:dyDescent="0.25">
      <c r="A712" s="8">
        <v>41180</v>
      </c>
      <c r="B712">
        <v>310141.68</v>
      </c>
      <c r="C712">
        <v>0</v>
      </c>
      <c r="D712">
        <v>78.33</v>
      </c>
      <c r="E712">
        <v>3.6659999999999999</v>
      </c>
      <c r="F712">
        <v>223.57410189999999</v>
      </c>
      <c r="G712">
        <v>5.6029999999999998</v>
      </c>
      <c r="N712" s="8"/>
    </row>
    <row r="713" spans="1:14" x14ac:dyDescent="0.25">
      <c r="A713" s="8">
        <v>41187</v>
      </c>
      <c r="B713">
        <v>343048.29</v>
      </c>
      <c r="C713">
        <v>0</v>
      </c>
      <c r="D713">
        <v>71.17</v>
      </c>
      <c r="E713">
        <v>3.617</v>
      </c>
      <c r="F713">
        <v>223.77444439999999</v>
      </c>
      <c r="G713">
        <v>5.4219999999999997</v>
      </c>
      <c r="N713" s="8"/>
    </row>
    <row r="714" spans="1:14" x14ac:dyDescent="0.25">
      <c r="A714" s="8">
        <v>41194</v>
      </c>
      <c r="B714">
        <v>325345.40999999997</v>
      </c>
      <c r="C714">
        <v>0</v>
      </c>
      <c r="D714">
        <v>66.239999999999995</v>
      </c>
      <c r="E714">
        <v>3.601</v>
      </c>
      <c r="F714">
        <v>223.97478699999999</v>
      </c>
      <c r="G714">
        <v>5.4219999999999997</v>
      </c>
      <c r="N714" s="8"/>
    </row>
    <row r="715" spans="1:14" x14ac:dyDescent="0.25">
      <c r="A715" s="8">
        <v>41201</v>
      </c>
      <c r="B715">
        <v>313358.15000000002</v>
      </c>
      <c r="C715">
        <v>0</v>
      </c>
      <c r="D715">
        <v>69.17</v>
      </c>
      <c r="E715">
        <v>3.5939999999999999</v>
      </c>
      <c r="F715">
        <v>224.0192873</v>
      </c>
      <c r="G715">
        <v>5.4219999999999997</v>
      </c>
      <c r="N715" s="8"/>
    </row>
    <row r="716" spans="1:14" x14ac:dyDescent="0.25">
      <c r="A716" s="8">
        <v>41208</v>
      </c>
      <c r="B716">
        <v>319550.77</v>
      </c>
      <c r="C716">
        <v>0</v>
      </c>
      <c r="D716">
        <v>71.7</v>
      </c>
      <c r="E716">
        <v>3.5059999999999998</v>
      </c>
      <c r="F716">
        <v>224.0378139</v>
      </c>
      <c r="G716">
        <v>5.4219999999999997</v>
      </c>
      <c r="N716" s="8"/>
    </row>
    <row r="717" spans="1:14" x14ac:dyDescent="0.25">
      <c r="A717" s="8">
        <v>40214</v>
      </c>
      <c r="B717">
        <v>1652635.1</v>
      </c>
      <c r="C717">
        <v>0</v>
      </c>
      <c r="D717">
        <v>40.43</v>
      </c>
      <c r="E717">
        <v>2.5720000000000001</v>
      </c>
      <c r="F717">
        <v>212.62235179999999</v>
      </c>
      <c r="G717">
        <v>7.2590000000000003</v>
      </c>
      <c r="N717" s="8"/>
    </row>
    <row r="718" spans="1:14" x14ac:dyDescent="0.25">
      <c r="A718" s="8">
        <v>40221</v>
      </c>
      <c r="B718">
        <v>1606283.86</v>
      </c>
      <c r="C718">
        <v>1</v>
      </c>
      <c r="D718">
        <v>40.57</v>
      </c>
      <c r="E718">
        <v>2.548</v>
      </c>
      <c r="F718">
        <v>212.77004249999999</v>
      </c>
      <c r="G718">
        <v>7.2590000000000003</v>
      </c>
      <c r="N718" s="8"/>
    </row>
    <row r="719" spans="1:14" x14ac:dyDescent="0.25">
      <c r="A719" s="8">
        <v>40228</v>
      </c>
      <c r="B719">
        <v>1567138.07</v>
      </c>
      <c r="C719">
        <v>0</v>
      </c>
      <c r="D719">
        <v>43.58</v>
      </c>
      <c r="E719">
        <v>2.5139999999999998</v>
      </c>
      <c r="F719">
        <v>212.8161546</v>
      </c>
      <c r="G719">
        <v>7.2590000000000003</v>
      </c>
      <c r="N719" s="8"/>
    </row>
    <row r="720" spans="1:14" x14ac:dyDescent="0.25">
      <c r="A720" s="8">
        <v>40235</v>
      </c>
      <c r="B720">
        <v>1432953.21</v>
      </c>
      <c r="C720">
        <v>0</v>
      </c>
      <c r="D720">
        <v>47.1</v>
      </c>
      <c r="E720">
        <v>2.5609999999999999</v>
      </c>
      <c r="F720">
        <v>212.845337</v>
      </c>
      <c r="G720">
        <v>7.2590000000000003</v>
      </c>
      <c r="N720" s="8"/>
    </row>
    <row r="721" spans="1:14" x14ac:dyDescent="0.25">
      <c r="A721" s="8">
        <v>40242</v>
      </c>
      <c r="B721">
        <v>1601348.82</v>
      </c>
      <c r="C721">
        <v>0</v>
      </c>
      <c r="D721">
        <v>49.63</v>
      </c>
      <c r="E721">
        <v>2.625</v>
      </c>
      <c r="F721">
        <v>212.8745193</v>
      </c>
      <c r="G721">
        <v>7.2590000000000003</v>
      </c>
      <c r="N721" s="8"/>
    </row>
    <row r="722" spans="1:14" x14ac:dyDescent="0.25">
      <c r="A722" s="8">
        <v>40249</v>
      </c>
      <c r="B722">
        <v>1558621.36</v>
      </c>
      <c r="C722">
        <v>0</v>
      </c>
      <c r="D722">
        <v>58.82</v>
      </c>
      <c r="E722">
        <v>2.6669999999999998</v>
      </c>
      <c r="F722">
        <v>212.9037017</v>
      </c>
      <c r="G722">
        <v>7.2590000000000003</v>
      </c>
      <c r="N722" s="8"/>
    </row>
    <row r="723" spans="1:14" x14ac:dyDescent="0.25">
      <c r="A723" s="8">
        <v>40256</v>
      </c>
      <c r="B723">
        <v>1693058.91</v>
      </c>
      <c r="C723">
        <v>0</v>
      </c>
      <c r="D723">
        <v>56.55</v>
      </c>
      <c r="E723">
        <v>2.72</v>
      </c>
      <c r="F723">
        <v>212.73519350000001</v>
      </c>
      <c r="G723">
        <v>7.2590000000000003</v>
      </c>
      <c r="N723" s="8"/>
    </row>
    <row r="724" spans="1:14" x14ac:dyDescent="0.25">
      <c r="A724" s="8">
        <v>40263</v>
      </c>
      <c r="B724">
        <v>1472033.38</v>
      </c>
      <c r="C724">
        <v>0</v>
      </c>
      <c r="D724">
        <v>53.74</v>
      </c>
      <c r="E724">
        <v>2.7320000000000002</v>
      </c>
      <c r="F724">
        <v>212.533737</v>
      </c>
      <c r="G724">
        <v>7.2590000000000003</v>
      </c>
      <c r="N724" s="8"/>
    </row>
    <row r="725" spans="1:14" x14ac:dyDescent="0.25">
      <c r="A725" s="8">
        <v>40270</v>
      </c>
      <c r="B725">
        <v>1770333.9</v>
      </c>
      <c r="C725">
        <v>0</v>
      </c>
      <c r="D725">
        <v>64.94</v>
      </c>
      <c r="E725">
        <v>2.7189999999999999</v>
      </c>
      <c r="F725">
        <v>212.3322805</v>
      </c>
      <c r="G725">
        <v>7.0919999999999996</v>
      </c>
      <c r="N725" s="8"/>
    </row>
    <row r="726" spans="1:14" x14ac:dyDescent="0.25">
      <c r="A726" s="8">
        <v>40277</v>
      </c>
      <c r="B726">
        <v>1667181.82</v>
      </c>
      <c r="C726">
        <v>0</v>
      </c>
      <c r="D726">
        <v>66.150000000000006</v>
      </c>
      <c r="E726">
        <v>2.77</v>
      </c>
      <c r="F726">
        <v>212.1308239</v>
      </c>
      <c r="G726">
        <v>7.0919999999999996</v>
      </c>
      <c r="N726" s="8"/>
    </row>
    <row r="727" spans="1:14" x14ac:dyDescent="0.25">
      <c r="A727" s="8">
        <v>40284</v>
      </c>
      <c r="B727">
        <v>1519846.36</v>
      </c>
      <c r="C727">
        <v>0</v>
      </c>
      <c r="D727">
        <v>65.680000000000007</v>
      </c>
      <c r="E727">
        <v>2.8079999999999998</v>
      </c>
      <c r="F727">
        <v>211.99427650000001</v>
      </c>
      <c r="G727">
        <v>7.0919999999999996</v>
      </c>
      <c r="N727" s="8"/>
    </row>
    <row r="728" spans="1:14" x14ac:dyDescent="0.25">
      <c r="A728" s="8">
        <v>40291</v>
      </c>
      <c r="B728">
        <v>1540435.99</v>
      </c>
      <c r="C728">
        <v>0</v>
      </c>
      <c r="D728">
        <v>64.11</v>
      </c>
      <c r="E728">
        <v>2.7949999999999999</v>
      </c>
      <c r="F728">
        <v>211.94427450000001</v>
      </c>
      <c r="G728">
        <v>7.0919999999999996</v>
      </c>
      <c r="N728" s="8"/>
    </row>
    <row r="729" spans="1:14" x14ac:dyDescent="0.25">
      <c r="A729" s="8">
        <v>40298</v>
      </c>
      <c r="B729">
        <v>1498080.16</v>
      </c>
      <c r="C729">
        <v>0</v>
      </c>
      <c r="D729">
        <v>68.91</v>
      </c>
      <c r="E729">
        <v>2.78</v>
      </c>
      <c r="F729">
        <v>211.8942725</v>
      </c>
      <c r="G729">
        <v>7.0919999999999996</v>
      </c>
      <c r="N729" s="8"/>
    </row>
    <row r="730" spans="1:14" x14ac:dyDescent="0.25">
      <c r="A730" s="8">
        <v>40305</v>
      </c>
      <c r="B730">
        <v>1619920.04</v>
      </c>
      <c r="C730">
        <v>0</v>
      </c>
      <c r="D730">
        <v>73.680000000000007</v>
      </c>
      <c r="E730">
        <v>2.835</v>
      </c>
      <c r="F730">
        <v>211.84427059999999</v>
      </c>
      <c r="G730">
        <v>7.0919999999999996</v>
      </c>
      <c r="N730" s="8"/>
    </row>
    <row r="731" spans="1:14" x14ac:dyDescent="0.25">
      <c r="A731" s="8">
        <v>40312</v>
      </c>
      <c r="B731">
        <v>1524059.4</v>
      </c>
      <c r="C731">
        <v>0</v>
      </c>
      <c r="D731">
        <v>74.95</v>
      </c>
      <c r="E731">
        <v>2.8540000000000001</v>
      </c>
      <c r="F731">
        <v>211.8421769</v>
      </c>
      <c r="G731">
        <v>7.0919999999999996</v>
      </c>
      <c r="N731" s="8"/>
    </row>
    <row r="732" spans="1:14" x14ac:dyDescent="0.25">
      <c r="A732" s="8">
        <v>40319</v>
      </c>
      <c r="B732">
        <v>1531938.44</v>
      </c>
      <c r="C732">
        <v>0</v>
      </c>
      <c r="D732">
        <v>74.8</v>
      </c>
      <c r="E732">
        <v>2.8260000000000001</v>
      </c>
      <c r="F732">
        <v>212.12753240000001</v>
      </c>
      <c r="G732">
        <v>7.0919999999999996</v>
      </c>
      <c r="N732" s="8"/>
    </row>
    <row r="733" spans="1:14" x14ac:dyDescent="0.25">
      <c r="A733" s="8">
        <v>40326</v>
      </c>
      <c r="B733">
        <v>1644470.66</v>
      </c>
      <c r="C733">
        <v>0</v>
      </c>
      <c r="D733">
        <v>78.89</v>
      </c>
      <c r="E733">
        <v>2.7589999999999999</v>
      </c>
      <c r="F733">
        <v>212.41288800000001</v>
      </c>
      <c r="G733">
        <v>7.0919999999999996</v>
      </c>
      <c r="N733" s="8"/>
    </row>
    <row r="734" spans="1:14" x14ac:dyDescent="0.25">
      <c r="A734" s="8">
        <v>40333</v>
      </c>
      <c r="B734">
        <v>1857380.09</v>
      </c>
      <c r="C734">
        <v>0</v>
      </c>
      <c r="D734">
        <v>79.44</v>
      </c>
      <c r="E734">
        <v>2.7050000000000001</v>
      </c>
      <c r="F734">
        <v>212.69824360000001</v>
      </c>
      <c r="G734">
        <v>7.0919999999999996</v>
      </c>
      <c r="N734" s="8"/>
    </row>
    <row r="735" spans="1:14" x14ac:dyDescent="0.25">
      <c r="A735" s="8">
        <v>40340</v>
      </c>
      <c r="B735">
        <v>1685652.35</v>
      </c>
      <c r="C735">
        <v>0</v>
      </c>
      <c r="D735">
        <v>81.81</v>
      </c>
      <c r="E735">
        <v>2.6680000000000001</v>
      </c>
      <c r="F735">
        <v>212.98359919999999</v>
      </c>
      <c r="G735">
        <v>7.0919999999999996</v>
      </c>
      <c r="N735" s="8"/>
    </row>
    <row r="736" spans="1:14" x14ac:dyDescent="0.25">
      <c r="A736" s="8">
        <v>40347</v>
      </c>
      <c r="B736">
        <v>1677248.24</v>
      </c>
      <c r="C736">
        <v>0</v>
      </c>
      <c r="D736">
        <v>83.89</v>
      </c>
      <c r="E736">
        <v>2.637</v>
      </c>
      <c r="F736">
        <v>212.9813843</v>
      </c>
      <c r="G736">
        <v>7.0919999999999996</v>
      </c>
      <c r="N736" s="8"/>
    </row>
    <row r="737" spans="1:14" x14ac:dyDescent="0.25">
      <c r="A737" s="8">
        <v>40354</v>
      </c>
      <c r="B737">
        <v>1640681.88</v>
      </c>
      <c r="C737">
        <v>0</v>
      </c>
      <c r="D737">
        <v>84.2</v>
      </c>
      <c r="E737">
        <v>2.653</v>
      </c>
      <c r="F737">
        <v>212.86414120000001</v>
      </c>
      <c r="G737">
        <v>7.0919999999999996</v>
      </c>
      <c r="N737" s="8"/>
    </row>
    <row r="738" spans="1:14" x14ac:dyDescent="0.25">
      <c r="A738" s="8">
        <v>40361</v>
      </c>
      <c r="B738">
        <v>1759777.25</v>
      </c>
      <c r="C738">
        <v>0</v>
      </c>
      <c r="D738">
        <v>80.34</v>
      </c>
      <c r="E738">
        <v>2.669</v>
      </c>
      <c r="F738">
        <v>212.74689799999999</v>
      </c>
      <c r="G738">
        <v>6.9729999999999999</v>
      </c>
      <c r="N738" s="8"/>
    </row>
    <row r="739" spans="1:14" x14ac:dyDescent="0.25">
      <c r="A739" s="8">
        <v>40368</v>
      </c>
      <c r="B739">
        <v>1690317.99</v>
      </c>
      <c r="C739">
        <v>0</v>
      </c>
      <c r="D739">
        <v>80.930000000000007</v>
      </c>
      <c r="E739">
        <v>2.6419999999999999</v>
      </c>
      <c r="F739">
        <v>212.62965489999999</v>
      </c>
      <c r="G739">
        <v>6.9729999999999999</v>
      </c>
      <c r="N739" s="8"/>
    </row>
    <row r="740" spans="1:14" x14ac:dyDescent="0.25">
      <c r="A740" s="8">
        <v>40375</v>
      </c>
      <c r="B740">
        <v>1560120.8</v>
      </c>
      <c r="C740">
        <v>0</v>
      </c>
      <c r="D740">
        <v>83.75</v>
      </c>
      <c r="E740">
        <v>2.6230000000000002</v>
      </c>
      <c r="F740">
        <v>212.62121629999999</v>
      </c>
      <c r="G740">
        <v>6.9729999999999999</v>
      </c>
      <c r="N740" s="8"/>
    </row>
    <row r="741" spans="1:14" x14ac:dyDescent="0.25">
      <c r="A741" s="8">
        <v>40382</v>
      </c>
      <c r="B741">
        <v>1585240.92</v>
      </c>
      <c r="C741">
        <v>0</v>
      </c>
      <c r="D741">
        <v>83.9</v>
      </c>
      <c r="E741">
        <v>2.6080000000000001</v>
      </c>
      <c r="F741">
        <v>212.75785049999999</v>
      </c>
      <c r="G741">
        <v>6.9729999999999999</v>
      </c>
      <c r="N741" s="8"/>
    </row>
    <row r="742" spans="1:14" x14ac:dyDescent="0.25">
      <c r="A742" s="8">
        <v>40389</v>
      </c>
      <c r="B742">
        <v>1532308.78</v>
      </c>
      <c r="C742">
        <v>0</v>
      </c>
      <c r="D742">
        <v>81.37</v>
      </c>
      <c r="E742">
        <v>2.64</v>
      </c>
      <c r="F742">
        <v>212.8944846</v>
      </c>
      <c r="G742">
        <v>6.9729999999999999</v>
      </c>
      <c r="N742" s="8"/>
    </row>
    <row r="743" spans="1:14" x14ac:dyDescent="0.25">
      <c r="A743" s="8">
        <v>40396</v>
      </c>
      <c r="B743">
        <v>1633241.59</v>
      </c>
      <c r="C743">
        <v>0</v>
      </c>
      <c r="D743">
        <v>86.61</v>
      </c>
      <c r="E743">
        <v>2.6269999999999998</v>
      </c>
      <c r="F743">
        <v>213.0311188</v>
      </c>
      <c r="G743">
        <v>6.9729999999999999</v>
      </c>
      <c r="N743" s="8"/>
    </row>
    <row r="744" spans="1:14" x14ac:dyDescent="0.25">
      <c r="A744" s="8">
        <v>40403</v>
      </c>
      <c r="B744">
        <v>1547654.98</v>
      </c>
      <c r="C744">
        <v>0</v>
      </c>
      <c r="D744">
        <v>86.83</v>
      </c>
      <c r="E744">
        <v>2.6920000000000002</v>
      </c>
      <c r="F744">
        <v>213.16775290000001</v>
      </c>
      <c r="G744">
        <v>6.9729999999999999</v>
      </c>
      <c r="N744" s="8"/>
    </row>
    <row r="745" spans="1:14" x14ac:dyDescent="0.25">
      <c r="A745" s="8">
        <v>40410</v>
      </c>
      <c r="B745">
        <v>1539930.5</v>
      </c>
      <c r="C745">
        <v>0</v>
      </c>
      <c r="D745">
        <v>87.36</v>
      </c>
      <c r="E745">
        <v>2.6640000000000001</v>
      </c>
      <c r="F745">
        <v>213.12914269999999</v>
      </c>
      <c r="G745">
        <v>6.9729999999999999</v>
      </c>
      <c r="N745" s="8"/>
    </row>
    <row r="746" spans="1:14" x14ac:dyDescent="0.25">
      <c r="A746" s="8">
        <v>40417</v>
      </c>
      <c r="B746">
        <v>1450766.12</v>
      </c>
      <c r="C746">
        <v>0</v>
      </c>
      <c r="D746">
        <v>85.71</v>
      </c>
      <c r="E746">
        <v>2.6190000000000002</v>
      </c>
      <c r="F746">
        <v>213.0905324</v>
      </c>
      <c r="G746">
        <v>6.9729999999999999</v>
      </c>
      <c r="N746" s="8"/>
    </row>
    <row r="747" spans="1:14" x14ac:dyDescent="0.25">
      <c r="A747" s="8">
        <v>40424</v>
      </c>
      <c r="B747">
        <v>1510925.32</v>
      </c>
      <c r="C747">
        <v>0</v>
      </c>
      <c r="D747">
        <v>82.15</v>
      </c>
      <c r="E747">
        <v>2.577</v>
      </c>
      <c r="F747">
        <v>213.05192220000001</v>
      </c>
      <c r="G747">
        <v>6.9729999999999999</v>
      </c>
      <c r="N747" s="8"/>
    </row>
    <row r="748" spans="1:14" x14ac:dyDescent="0.25">
      <c r="A748" s="8">
        <v>40431</v>
      </c>
      <c r="B748">
        <v>1424225.44</v>
      </c>
      <c r="C748">
        <v>1</v>
      </c>
      <c r="D748">
        <v>78.78</v>
      </c>
      <c r="E748">
        <v>2.5649999999999999</v>
      </c>
      <c r="F748">
        <v>213.01331200000001</v>
      </c>
      <c r="G748">
        <v>6.9729999999999999</v>
      </c>
      <c r="N748" s="8"/>
    </row>
    <row r="749" spans="1:14" x14ac:dyDescent="0.25">
      <c r="A749" s="8">
        <v>40438</v>
      </c>
      <c r="B749">
        <v>1308537.75</v>
      </c>
      <c r="C749">
        <v>0</v>
      </c>
      <c r="D749">
        <v>81.78</v>
      </c>
      <c r="E749">
        <v>2.5819999999999999</v>
      </c>
      <c r="F749">
        <v>213.0398643</v>
      </c>
      <c r="G749">
        <v>6.9729999999999999</v>
      </c>
      <c r="N749" s="8"/>
    </row>
    <row r="750" spans="1:14" x14ac:dyDescent="0.25">
      <c r="A750" s="8">
        <v>40445</v>
      </c>
      <c r="B750">
        <v>1275591.8400000001</v>
      </c>
      <c r="C750">
        <v>0</v>
      </c>
      <c r="D750">
        <v>76.489999999999995</v>
      </c>
      <c r="E750">
        <v>2.6240000000000001</v>
      </c>
      <c r="F750">
        <v>213.11528860000001</v>
      </c>
      <c r="G750">
        <v>6.9729999999999999</v>
      </c>
      <c r="N750" s="8"/>
    </row>
    <row r="751" spans="1:14" x14ac:dyDescent="0.25">
      <c r="A751" s="8">
        <v>40452</v>
      </c>
      <c r="B751">
        <v>1328468.8899999999</v>
      </c>
      <c r="C751">
        <v>0</v>
      </c>
      <c r="D751">
        <v>70.69</v>
      </c>
      <c r="E751">
        <v>2.6030000000000002</v>
      </c>
      <c r="F751">
        <v>213.19071289999999</v>
      </c>
      <c r="G751">
        <v>7.0069999999999997</v>
      </c>
      <c r="N751" s="8"/>
    </row>
    <row r="752" spans="1:14" x14ac:dyDescent="0.25">
      <c r="A752" s="8">
        <v>40459</v>
      </c>
      <c r="B752">
        <v>1360317.9</v>
      </c>
      <c r="C752">
        <v>0</v>
      </c>
      <c r="D752">
        <v>65.209999999999994</v>
      </c>
      <c r="E752">
        <v>2.633</v>
      </c>
      <c r="F752">
        <v>213.2661373</v>
      </c>
      <c r="G752">
        <v>7.0069999999999997</v>
      </c>
      <c r="N752" s="8"/>
    </row>
    <row r="753" spans="1:14" x14ac:dyDescent="0.25">
      <c r="A753" s="8">
        <v>40466</v>
      </c>
      <c r="B753">
        <v>1344580.92</v>
      </c>
      <c r="C753">
        <v>0</v>
      </c>
      <c r="D753">
        <v>68.930000000000007</v>
      </c>
      <c r="E753">
        <v>2.72</v>
      </c>
      <c r="F753">
        <v>213.33379769999999</v>
      </c>
      <c r="G753">
        <v>7.0069999999999997</v>
      </c>
      <c r="N753" s="8"/>
    </row>
    <row r="754" spans="1:14" x14ac:dyDescent="0.25">
      <c r="A754" s="8">
        <v>40473</v>
      </c>
      <c r="B754">
        <v>1332716.53</v>
      </c>
      <c r="C754">
        <v>0</v>
      </c>
      <c r="D754">
        <v>70.97</v>
      </c>
      <c r="E754">
        <v>2.7250000000000001</v>
      </c>
      <c r="F754">
        <v>213.38204859999999</v>
      </c>
      <c r="G754">
        <v>7.0069999999999997</v>
      </c>
      <c r="N754" s="8"/>
    </row>
    <row r="755" spans="1:14" x14ac:dyDescent="0.25">
      <c r="A755" s="8">
        <v>40480</v>
      </c>
      <c r="B755">
        <v>1385323.7</v>
      </c>
      <c r="C755">
        <v>0</v>
      </c>
      <c r="D755">
        <v>70.39</v>
      </c>
      <c r="E755">
        <v>2.7160000000000002</v>
      </c>
      <c r="F755">
        <v>213.4302994</v>
      </c>
      <c r="G755">
        <v>7.0069999999999997</v>
      </c>
      <c r="N755" s="8"/>
    </row>
    <row r="756" spans="1:14" x14ac:dyDescent="0.25">
      <c r="A756" s="8">
        <v>40487</v>
      </c>
      <c r="B756">
        <v>1505442.15</v>
      </c>
      <c r="C756">
        <v>0</v>
      </c>
      <c r="D756">
        <v>59.9</v>
      </c>
      <c r="E756">
        <v>2.6890000000000001</v>
      </c>
      <c r="F756">
        <v>213.47855029999999</v>
      </c>
      <c r="G756">
        <v>7.0069999999999997</v>
      </c>
      <c r="N756" s="8"/>
    </row>
    <row r="757" spans="1:14" x14ac:dyDescent="0.25">
      <c r="A757" s="8">
        <v>40494</v>
      </c>
      <c r="B757">
        <v>1495536.46</v>
      </c>
      <c r="C757">
        <v>0</v>
      </c>
      <c r="D757">
        <v>62.11</v>
      </c>
      <c r="E757">
        <v>2.7280000000000002</v>
      </c>
      <c r="F757">
        <v>213.5268011</v>
      </c>
      <c r="G757">
        <v>7.0069999999999997</v>
      </c>
      <c r="N757" s="8"/>
    </row>
    <row r="758" spans="1:14" x14ac:dyDescent="0.25">
      <c r="A758" s="8">
        <v>40501</v>
      </c>
      <c r="B758">
        <v>1518841.45</v>
      </c>
      <c r="C758">
        <v>0</v>
      </c>
      <c r="D758">
        <v>52.99</v>
      </c>
      <c r="E758">
        <v>2.7709999999999999</v>
      </c>
      <c r="F758">
        <v>213.41074119999999</v>
      </c>
      <c r="G758">
        <v>7.0069999999999997</v>
      </c>
      <c r="N758" s="8"/>
    </row>
    <row r="759" spans="1:14" x14ac:dyDescent="0.25">
      <c r="A759" s="8">
        <v>40508</v>
      </c>
      <c r="B759">
        <v>2267452.4</v>
      </c>
      <c r="C759">
        <v>1</v>
      </c>
      <c r="D759">
        <v>65.790000000000006</v>
      </c>
      <c r="E759">
        <v>2.7349999999999999</v>
      </c>
      <c r="F759">
        <v>213.26729610000001</v>
      </c>
      <c r="G759">
        <v>7.0069999999999997</v>
      </c>
      <c r="N759" s="8"/>
    </row>
    <row r="760" spans="1:14" x14ac:dyDescent="0.25">
      <c r="A760" s="8">
        <v>40515</v>
      </c>
      <c r="B760">
        <v>1677067.24</v>
      </c>
      <c r="C760">
        <v>0</v>
      </c>
      <c r="D760">
        <v>52.3</v>
      </c>
      <c r="E760">
        <v>2.7080000000000002</v>
      </c>
      <c r="F760">
        <v>213.123851</v>
      </c>
      <c r="G760">
        <v>7.0069999999999997</v>
      </c>
      <c r="N760" s="8"/>
    </row>
    <row r="761" spans="1:14" x14ac:dyDescent="0.25">
      <c r="A761" s="8">
        <v>40522</v>
      </c>
      <c r="B761">
        <v>1834737.58</v>
      </c>
      <c r="C761">
        <v>0</v>
      </c>
      <c r="D761">
        <v>48.46</v>
      </c>
      <c r="E761">
        <v>2.843</v>
      </c>
      <c r="F761">
        <v>212.98040589999999</v>
      </c>
      <c r="G761">
        <v>7.0069999999999997</v>
      </c>
      <c r="N761" s="8"/>
    </row>
    <row r="762" spans="1:14" x14ac:dyDescent="0.25">
      <c r="A762" s="8">
        <v>40529</v>
      </c>
      <c r="B762">
        <v>2090268.95</v>
      </c>
      <c r="C762">
        <v>0</v>
      </c>
      <c r="D762">
        <v>52.24</v>
      </c>
      <c r="E762">
        <v>2.8690000000000002</v>
      </c>
      <c r="F762">
        <v>212.918049</v>
      </c>
      <c r="G762">
        <v>7.0069999999999997</v>
      </c>
      <c r="N762" s="8"/>
    </row>
    <row r="763" spans="1:14" x14ac:dyDescent="0.25">
      <c r="A763" s="8">
        <v>40536</v>
      </c>
      <c r="B763">
        <v>2727575.18</v>
      </c>
      <c r="C763">
        <v>0</v>
      </c>
      <c r="D763">
        <v>55.07</v>
      </c>
      <c r="E763">
        <v>2.8860000000000001</v>
      </c>
      <c r="F763">
        <v>212.91650820000001</v>
      </c>
      <c r="G763">
        <v>7.0069999999999997</v>
      </c>
      <c r="N763" s="8"/>
    </row>
    <row r="764" spans="1:14" x14ac:dyDescent="0.25">
      <c r="A764" s="8">
        <v>40543</v>
      </c>
      <c r="B764">
        <v>1464050.02</v>
      </c>
      <c r="C764">
        <v>1</v>
      </c>
      <c r="D764">
        <v>49.14</v>
      </c>
      <c r="E764">
        <v>2.9430000000000001</v>
      </c>
      <c r="F764">
        <v>212.91496739999999</v>
      </c>
      <c r="G764">
        <v>7.0069999999999997</v>
      </c>
      <c r="N764" s="8"/>
    </row>
    <row r="765" spans="1:14" x14ac:dyDescent="0.25">
      <c r="A765" s="8">
        <v>40550</v>
      </c>
      <c r="B765">
        <v>1350441.68</v>
      </c>
      <c r="C765">
        <v>0</v>
      </c>
      <c r="D765">
        <v>47.78</v>
      </c>
      <c r="E765">
        <v>2.976</v>
      </c>
      <c r="F765">
        <v>212.91342660000001</v>
      </c>
      <c r="G765">
        <v>6.8579999999999997</v>
      </c>
      <c r="N765" s="8"/>
    </row>
    <row r="766" spans="1:14" x14ac:dyDescent="0.25">
      <c r="A766" s="8">
        <v>40557</v>
      </c>
      <c r="B766">
        <v>1306194.55</v>
      </c>
      <c r="C766">
        <v>0</v>
      </c>
      <c r="D766">
        <v>38.369999999999997</v>
      </c>
      <c r="E766">
        <v>2.9830000000000001</v>
      </c>
      <c r="F766">
        <v>212.96558820000001</v>
      </c>
      <c r="G766">
        <v>6.8579999999999997</v>
      </c>
      <c r="N766" s="8"/>
    </row>
    <row r="767" spans="1:14" x14ac:dyDescent="0.25">
      <c r="A767" s="8">
        <v>40564</v>
      </c>
      <c r="B767">
        <v>1261253.18</v>
      </c>
      <c r="C767">
        <v>0</v>
      </c>
      <c r="D767">
        <v>46.2</v>
      </c>
      <c r="E767">
        <v>3.016</v>
      </c>
      <c r="F767">
        <v>213.3399647</v>
      </c>
      <c r="G767">
        <v>6.8579999999999997</v>
      </c>
      <c r="N767" s="8"/>
    </row>
    <row r="768" spans="1:14" x14ac:dyDescent="0.25">
      <c r="A768" s="8">
        <v>40571</v>
      </c>
      <c r="B768">
        <v>1287034.7</v>
      </c>
      <c r="C768">
        <v>0</v>
      </c>
      <c r="D768">
        <v>44.98</v>
      </c>
      <c r="E768">
        <v>3.01</v>
      </c>
      <c r="F768">
        <v>213.71434120000001</v>
      </c>
      <c r="G768">
        <v>6.8579999999999997</v>
      </c>
      <c r="N768" s="8"/>
    </row>
    <row r="769" spans="1:14" x14ac:dyDescent="0.25">
      <c r="A769" s="8">
        <v>40578</v>
      </c>
      <c r="B769">
        <v>1514999.17</v>
      </c>
      <c r="C769">
        <v>0</v>
      </c>
      <c r="D769">
        <v>40.590000000000003</v>
      </c>
      <c r="E769">
        <v>2.9889999999999999</v>
      </c>
      <c r="F769">
        <v>214.0887176</v>
      </c>
      <c r="G769">
        <v>6.8579999999999997</v>
      </c>
      <c r="N769" s="8"/>
    </row>
    <row r="770" spans="1:14" x14ac:dyDescent="0.25">
      <c r="A770" s="8">
        <v>40585</v>
      </c>
      <c r="B770">
        <v>1486920.17</v>
      </c>
      <c r="C770">
        <v>1</v>
      </c>
      <c r="D770">
        <v>39.380000000000003</v>
      </c>
      <c r="E770">
        <v>3.0219999999999998</v>
      </c>
      <c r="F770">
        <v>214.46309410000001</v>
      </c>
      <c r="G770">
        <v>6.8579999999999997</v>
      </c>
      <c r="N770" s="8"/>
    </row>
    <row r="771" spans="1:14" x14ac:dyDescent="0.25">
      <c r="A771" s="8">
        <v>40592</v>
      </c>
      <c r="B771">
        <v>1572117.54</v>
      </c>
      <c r="C771">
        <v>0</v>
      </c>
      <c r="D771">
        <v>59.61</v>
      </c>
      <c r="E771">
        <v>3.0449999999999999</v>
      </c>
      <c r="F771">
        <v>214.7775231</v>
      </c>
      <c r="G771">
        <v>6.8579999999999997</v>
      </c>
      <c r="N771" s="8"/>
    </row>
    <row r="772" spans="1:14" x14ac:dyDescent="0.25">
      <c r="A772" s="8">
        <v>40599</v>
      </c>
      <c r="B772">
        <v>1422600.43</v>
      </c>
      <c r="C772">
        <v>0</v>
      </c>
      <c r="D772">
        <v>62.86</v>
      </c>
      <c r="E772">
        <v>3.0649999999999999</v>
      </c>
      <c r="F772">
        <v>215.06797309999999</v>
      </c>
      <c r="G772">
        <v>6.8579999999999997</v>
      </c>
      <c r="N772" s="8"/>
    </row>
    <row r="773" spans="1:14" x14ac:dyDescent="0.25">
      <c r="A773" s="8">
        <v>40606</v>
      </c>
      <c r="B773">
        <v>1502617.99</v>
      </c>
      <c r="C773">
        <v>0</v>
      </c>
      <c r="D773">
        <v>60.45</v>
      </c>
      <c r="E773">
        <v>3.2879999999999998</v>
      </c>
      <c r="F773">
        <v>215.35842310000001</v>
      </c>
      <c r="G773">
        <v>6.8579999999999997</v>
      </c>
      <c r="N773" s="8"/>
    </row>
    <row r="774" spans="1:14" x14ac:dyDescent="0.25">
      <c r="A774" s="8">
        <v>40613</v>
      </c>
      <c r="B774">
        <v>1494497.39</v>
      </c>
      <c r="C774">
        <v>0</v>
      </c>
      <c r="D774">
        <v>57.71</v>
      </c>
      <c r="E774">
        <v>3.4590000000000001</v>
      </c>
      <c r="F774">
        <v>215.6488731</v>
      </c>
      <c r="G774">
        <v>6.8579999999999997</v>
      </c>
      <c r="N774" s="8"/>
    </row>
    <row r="775" spans="1:14" x14ac:dyDescent="0.25">
      <c r="A775" s="8">
        <v>40620</v>
      </c>
      <c r="B775">
        <v>1685375.47</v>
      </c>
      <c r="C775">
        <v>0</v>
      </c>
      <c r="D775">
        <v>65.069999999999993</v>
      </c>
      <c r="E775">
        <v>3.488</v>
      </c>
      <c r="F775">
        <v>215.9035078</v>
      </c>
      <c r="G775">
        <v>6.8579999999999997</v>
      </c>
      <c r="N775" s="8"/>
    </row>
    <row r="776" spans="1:14" x14ac:dyDescent="0.25">
      <c r="A776" s="8">
        <v>40627</v>
      </c>
      <c r="B776">
        <v>1438465.81</v>
      </c>
      <c r="C776">
        <v>0</v>
      </c>
      <c r="D776">
        <v>70.83</v>
      </c>
      <c r="E776">
        <v>3.4729999999999999</v>
      </c>
      <c r="F776">
        <v>216.1438163</v>
      </c>
      <c r="G776">
        <v>6.8579999999999997</v>
      </c>
      <c r="N776" s="8"/>
    </row>
    <row r="777" spans="1:14" x14ac:dyDescent="0.25">
      <c r="A777" s="8">
        <v>40634</v>
      </c>
      <c r="B777">
        <v>1459276.77</v>
      </c>
      <c r="C777">
        <v>0</v>
      </c>
      <c r="D777">
        <v>62.25</v>
      </c>
      <c r="E777">
        <v>3.524</v>
      </c>
      <c r="F777">
        <v>216.38412489999999</v>
      </c>
      <c r="G777">
        <v>6.8550000000000004</v>
      </c>
      <c r="N777" s="8"/>
    </row>
    <row r="778" spans="1:14" x14ac:dyDescent="0.25">
      <c r="A778" s="8">
        <v>40641</v>
      </c>
      <c r="B778">
        <v>1534594</v>
      </c>
      <c r="C778">
        <v>0</v>
      </c>
      <c r="D778">
        <v>70.349999999999994</v>
      </c>
      <c r="E778">
        <v>3.6219999999999999</v>
      </c>
      <c r="F778">
        <v>216.62443339999999</v>
      </c>
      <c r="G778">
        <v>6.8550000000000004</v>
      </c>
      <c r="N778" s="8"/>
    </row>
    <row r="779" spans="1:14" x14ac:dyDescent="0.25">
      <c r="A779" s="8">
        <v>40648</v>
      </c>
      <c r="B779">
        <v>1448797.02</v>
      </c>
      <c r="C779">
        <v>0</v>
      </c>
      <c r="D779">
        <v>73.17</v>
      </c>
      <c r="E779">
        <v>3.7429999999999999</v>
      </c>
      <c r="F779">
        <v>216.84466269999999</v>
      </c>
      <c r="G779">
        <v>6.8550000000000004</v>
      </c>
      <c r="N779" s="8"/>
    </row>
    <row r="780" spans="1:14" x14ac:dyDescent="0.25">
      <c r="A780" s="8">
        <v>40655</v>
      </c>
      <c r="B780">
        <v>1639358.93</v>
      </c>
      <c r="C780">
        <v>0</v>
      </c>
      <c r="D780">
        <v>74.239999999999995</v>
      </c>
      <c r="E780">
        <v>3.8069999999999999</v>
      </c>
      <c r="F780">
        <v>217.01469410000001</v>
      </c>
      <c r="G780">
        <v>6.8550000000000004</v>
      </c>
      <c r="N780" s="8"/>
    </row>
    <row r="781" spans="1:14" x14ac:dyDescent="0.25">
      <c r="A781" s="8">
        <v>40662</v>
      </c>
      <c r="B781">
        <v>1479249.9</v>
      </c>
      <c r="C781">
        <v>0</v>
      </c>
      <c r="D781">
        <v>75.27</v>
      </c>
      <c r="E781">
        <v>3.81</v>
      </c>
      <c r="F781">
        <v>217.18472550000001</v>
      </c>
      <c r="G781">
        <v>6.8550000000000004</v>
      </c>
      <c r="N781" s="8"/>
    </row>
    <row r="782" spans="1:14" x14ac:dyDescent="0.25">
      <c r="A782" s="8">
        <v>40669</v>
      </c>
      <c r="B782">
        <v>1504651.57</v>
      </c>
      <c r="C782">
        <v>0</v>
      </c>
      <c r="D782">
        <v>65.42</v>
      </c>
      <c r="E782">
        <v>3.9060000000000001</v>
      </c>
      <c r="F782">
        <v>217.35475690000001</v>
      </c>
      <c r="G782">
        <v>6.8550000000000004</v>
      </c>
      <c r="N782" s="8"/>
    </row>
    <row r="783" spans="1:14" x14ac:dyDescent="0.25">
      <c r="A783" s="8">
        <v>40676</v>
      </c>
      <c r="B783">
        <v>1453185.65</v>
      </c>
      <c r="C783">
        <v>0</v>
      </c>
      <c r="D783">
        <v>76.95</v>
      </c>
      <c r="E783">
        <v>3.899</v>
      </c>
      <c r="F783">
        <v>217.52478819999999</v>
      </c>
      <c r="G783">
        <v>6.8550000000000004</v>
      </c>
      <c r="N783" s="8"/>
    </row>
    <row r="784" spans="1:14" x14ac:dyDescent="0.25">
      <c r="A784" s="8">
        <v>40683</v>
      </c>
      <c r="B784">
        <v>1382783.83</v>
      </c>
      <c r="C784">
        <v>0</v>
      </c>
      <c r="D784">
        <v>72.010000000000005</v>
      </c>
      <c r="E784">
        <v>3.907</v>
      </c>
      <c r="F784">
        <v>217.28960950000001</v>
      </c>
      <c r="G784">
        <v>6.8550000000000004</v>
      </c>
      <c r="N784" s="8"/>
    </row>
    <row r="785" spans="1:14" x14ac:dyDescent="0.25">
      <c r="A785" s="8">
        <v>40690</v>
      </c>
      <c r="B785">
        <v>1523979.11</v>
      </c>
      <c r="C785">
        <v>0</v>
      </c>
      <c r="D785">
        <v>80.83</v>
      </c>
      <c r="E785">
        <v>3.786</v>
      </c>
      <c r="F785">
        <v>217.05443070000001</v>
      </c>
      <c r="G785">
        <v>6.8550000000000004</v>
      </c>
      <c r="N785" s="8"/>
    </row>
    <row r="786" spans="1:14" x14ac:dyDescent="0.25">
      <c r="A786" s="8">
        <v>40697</v>
      </c>
      <c r="B786">
        <v>1705506.29</v>
      </c>
      <c r="C786">
        <v>0</v>
      </c>
      <c r="D786">
        <v>84.01</v>
      </c>
      <c r="E786">
        <v>3.6989999999999998</v>
      </c>
      <c r="F786">
        <v>216.81925200000001</v>
      </c>
      <c r="G786">
        <v>6.8550000000000004</v>
      </c>
      <c r="N786" s="8"/>
    </row>
    <row r="787" spans="1:14" x14ac:dyDescent="0.25">
      <c r="A787" s="8">
        <v>40704</v>
      </c>
      <c r="B787">
        <v>1598643.65</v>
      </c>
      <c r="C787">
        <v>0</v>
      </c>
      <c r="D787">
        <v>84.49</v>
      </c>
      <c r="E787">
        <v>3.6480000000000001</v>
      </c>
      <c r="F787">
        <v>216.58407320000001</v>
      </c>
      <c r="G787">
        <v>6.8550000000000004</v>
      </c>
      <c r="N787" s="8"/>
    </row>
    <row r="788" spans="1:14" x14ac:dyDescent="0.25">
      <c r="A788" s="8">
        <v>40711</v>
      </c>
      <c r="B788">
        <v>1622150.33</v>
      </c>
      <c r="C788">
        <v>0</v>
      </c>
      <c r="D788">
        <v>87.08</v>
      </c>
      <c r="E788">
        <v>3.637</v>
      </c>
      <c r="F788">
        <v>216.53716159999999</v>
      </c>
      <c r="G788">
        <v>6.8550000000000004</v>
      </c>
      <c r="N788" s="8"/>
    </row>
    <row r="789" spans="1:14" x14ac:dyDescent="0.25">
      <c r="A789" s="8">
        <v>40718</v>
      </c>
      <c r="B789">
        <v>1543365.9</v>
      </c>
      <c r="C789">
        <v>0</v>
      </c>
      <c r="D789">
        <v>85.51</v>
      </c>
      <c r="E789">
        <v>3.5939999999999999</v>
      </c>
      <c r="F789">
        <v>216.63145019999999</v>
      </c>
      <c r="G789">
        <v>6.8550000000000004</v>
      </c>
      <c r="N789" s="8"/>
    </row>
    <row r="790" spans="1:14" x14ac:dyDescent="0.25">
      <c r="A790" s="8">
        <v>40725</v>
      </c>
      <c r="B790">
        <v>1694551.15</v>
      </c>
      <c r="C790">
        <v>0</v>
      </c>
      <c r="D790">
        <v>87</v>
      </c>
      <c r="E790">
        <v>3.524</v>
      </c>
      <c r="F790">
        <v>216.72573879999999</v>
      </c>
      <c r="G790">
        <v>6.9249999999999998</v>
      </c>
      <c r="N790" s="8"/>
    </row>
    <row r="791" spans="1:14" x14ac:dyDescent="0.25">
      <c r="A791" s="8">
        <v>40732</v>
      </c>
      <c r="B791">
        <v>1709373.62</v>
      </c>
      <c r="C791">
        <v>0</v>
      </c>
      <c r="D791">
        <v>88.36</v>
      </c>
      <c r="E791">
        <v>3.48</v>
      </c>
      <c r="F791">
        <v>216.82002750000001</v>
      </c>
      <c r="G791">
        <v>6.9249999999999998</v>
      </c>
      <c r="N791" s="8"/>
    </row>
    <row r="792" spans="1:14" x14ac:dyDescent="0.25">
      <c r="A792" s="8">
        <v>40739</v>
      </c>
      <c r="B792">
        <v>1526801.24</v>
      </c>
      <c r="C792">
        <v>0</v>
      </c>
      <c r="D792">
        <v>88.93</v>
      </c>
      <c r="E792">
        <v>3.5750000000000002</v>
      </c>
      <c r="F792">
        <v>216.90447320000001</v>
      </c>
      <c r="G792">
        <v>6.9249999999999998</v>
      </c>
      <c r="N792" s="8"/>
    </row>
    <row r="793" spans="1:14" x14ac:dyDescent="0.25">
      <c r="A793" s="8">
        <v>40746</v>
      </c>
      <c r="B793">
        <v>1526506.08</v>
      </c>
      <c r="C793">
        <v>0</v>
      </c>
      <c r="D793">
        <v>88.06</v>
      </c>
      <c r="E793">
        <v>3.6509999999999998</v>
      </c>
      <c r="F793">
        <v>216.96431200000001</v>
      </c>
      <c r="G793">
        <v>6.9249999999999998</v>
      </c>
      <c r="N793" s="8"/>
    </row>
    <row r="794" spans="1:14" x14ac:dyDescent="0.25">
      <c r="A794" s="8">
        <v>40753</v>
      </c>
      <c r="B794">
        <v>1483991.05</v>
      </c>
      <c r="C794">
        <v>0</v>
      </c>
      <c r="D794">
        <v>90.22</v>
      </c>
      <c r="E794">
        <v>3.6819999999999999</v>
      </c>
      <c r="F794">
        <v>217.02415070000001</v>
      </c>
      <c r="G794">
        <v>6.9249999999999998</v>
      </c>
      <c r="N794" s="8"/>
    </row>
    <row r="795" spans="1:14" x14ac:dyDescent="0.25">
      <c r="A795" s="8">
        <v>40760</v>
      </c>
      <c r="B795">
        <v>1601584.57</v>
      </c>
      <c r="C795">
        <v>0</v>
      </c>
      <c r="D795">
        <v>91.46</v>
      </c>
      <c r="E795">
        <v>3.6840000000000002</v>
      </c>
      <c r="F795">
        <v>217.08398940000001</v>
      </c>
      <c r="G795">
        <v>6.9249999999999998</v>
      </c>
      <c r="N795" s="8"/>
    </row>
    <row r="796" spans="1:14" x14ac:dyDescent="0.25">
      <c r="A796" s="8">
        <v>40767</v>
      </c>
      <c r="B796">
        <v>1484995.38</v>
      </c>
      <c r="C796">
        <v>0</v>
      </c>
      <c r="D796">
        <v>90.49</v>
      </c>
      <c r="E796">
        <v>3.6379999999999999</v>
      </c>
      <c r="F796">
        <v>217.14382810000001</v>
      </c>
      <c r="G796">
        <v>6.9249999999999998</v>
      </c>
      <c r="N796" s="8"/>
    </row>
    <row r="797" spans="1:14" x14ac:dyDescent="0.25">
      <c r="A797" s="8">
        <v>40774</v>
      </c>
      <c r="B797">
        <v>1493544.04</v>
      </c>
      <c r="C797">
        <v>0</v>
      </c>
      <c r="D797">
        <v>89.26</v>
      </c>
      <c r="E797">
        <v>3.5539999999999998</v>
      </c>
      <c r="F797">
        <v>217.20696620000001</v>
      </c>
      <c r="G797">
        <v>6.9249999999999998</v>
      </c>
      <c r="N797" s="8"/>
    </row>
    <row r="798" spans="1:14" x14ac:dyDescent="0.25">
      <c r="A798" s="8">
        <v>40781</v>
      </c>
      <c r="B798">
        <v>1420405.41</v>
      </c>
      <c r="C798">
        <v>0</v>
      </c>
      <c r="D798">
        <v>90.07</v>
      </c>
      <c r="E798">
        <v>3.5230000000000001</v>
      </c>
      <c r="F798">
        <v>217.27065429999999</v>
      </c>
      <c r="G798">
        <v>6.9249999999999998</v>
      </c>
      <c r="N798" s="8"/>
    </row>
    <row r="799" spans="1:14" x14ac:dyDescent="0.25">
      <c r="A799" s="8">
        <v>40788</v>
      </c>
      <c r="B799">
        <v>1481618.74</v>
      </c>
      <c r="C799">
        <v>0</v>
      </c>
      <c r="D799">
        <v>91.22</v>
      </c>
      <c r="E799">
        <v>3.5329999999999999</v>
      </c>
      <c r="F799">
        <v>217.3343423</v>
      </c>
      <c r="G799">
        <v>6.9249999999999998</v>
      </c>
      <c r="N799" s="8"/>
    </row>
    <row r="800" spans="1:14" x14ac:dyDescent="0.25">
      <c r="A800" s="8">
        <v>40795</v>
      </c>
      <c r="B800">
        <v>1483574.38</v>
      </c>
      <c r="C800">
        <v>1</v>
      </c>
      <c r="D800">
        <v>80.209999999999994</v>
      </c>
      <c r="E800">
        <v>3.5459999999999998</v>
      </c>
      <c r="F800">
        <v>217.39803040000001</v>
      </c>
      <c r="G800">
        <v>6.9249999999999998</v>
      </c>
      <c r="N800" s="8"/>
    </row>
    <row r="801" spans="1:14" x14ac:dyDescent="0.25">
      <c r="A801" s="8">
        <v>40802</v>
      </c>
      <c r="B801">
        <v>1351407.79</v>
      </c>
      <c r="C801">
        <v>0</v>
      </c>
      <c r="D801">
        <v>84.94</v>
      </c>
      <c r="E801">
        <v>3.5259999999999998</v>
      </c>
      <c r="F801">
        <v>217.57975060000001</v>
      </c>
      <c r="G801">
        <v>6.9249999999999998</v>
      </c>
      <c r="N801" s="8"/>
    </row>
    <row r="802" spans="1:14" x14ac:dyDescent="0.25">
      <c r="A802" s="8">
        <v>40809</v>
      </c>
      <c r="B802">
        <v>1336044.75</v>
      </c>
      <c r="C802">
        <v>0</v>
      </c>
      <c r="D802">
        <v>78.489999999999995</v>
      </c>
      <c r="E802">
        <v>3.4670000000000001</v>
      </c>
      <c r="F802">
        <v>217.91884709999999</v>
      </c>
      <c r="G802">
        <v>6.9249999999999998</v>
      </c>
      <c r="N802" s="8"/>
    </row>
    <row r="803" spans="1:14" x14ac:dyDescent="0.25">
      <c r="A803" s="8">
        <v>40816</v>
      </c>
      <c r="B803">
        <v>1307551.92</v>
      </c>
      <c r="C803">
        <v>0</v>
      </c>
      <c r="D803">
        <v>82.51</v>
      </c>
      <c r="E803">
        <v>3.355</v>
      </c>
      <c r="F803">
        <v>218.25794350000001</v>
      </c>
      <c r="G803">
        <v>6.9249999999999998</v>
      </c>
      <c r="N803" s="8"/>
    </row>
    <row r="804" spans="1:14" x14ac:dyDescent="0.25">
      <c r="A804" s="8">
        <v>40823</v>
      </c>
      <c r="B804">
        <v>1481739.2</v>
      </c>
      <c r="C804">
        <v>0</v>
      </c>
      <c r="D804">
        <v>74.099999999999994</v>
      </c>
      <c r="E804">
        <v>3.2850000000000001</v>
      </c>
      <c r="F804">
        <v>218.59703999999999</v>
      </c>
      <c r="G804">
        <v>6.5510000000000002</v>
      </c>
      <c r="N804" s="8"/>
    </row>
    <row r="805" spans="1:14" x14ac:dyDescent="0.25">
      <c r="A805" s="8">
        <v>40830</v>
      </c>
      <c r="B805">
        <v>1386520.99</v>
      </c>
      <c r="C805">
        <v>0</v>
      </c>
      <c r="D805">
        <v>71.239999999999995</v>
      </c>
      <c r="E805">
        <v>3.274</v>
      </c>
      <c r="F805">
        <v>218.91098439999999</v>
      </c>
      <c r="G805">
        <v>6.5510000000000002</v>
      </c>
      <c r="N805" s="8"/>
    </row>
    <row r="806" spans="1:14" x14ac:dyDescent="0.25">
      <c r="A806" s="8">
        <v>40837</v>
      </c>
      <c r="B806">
        <v>1417922.37</v>
      </c>
      <c r="C806">
        <v>0</v>
      </c>
      <c r="D806">
        <v>68.53</v>
      </c>
      <c r="E806">
        <v>3.3530000000000002</v>
      </c>
      <c r="F806">
        <v>219.07401669999999</v>
      </c>
      <c r="G806">
        <v>6.5510000000000002</v>
      </c>
      <c r="N806" s="8"/>
    </row>
    <row r="807" spans="1:14" x14ac:dyDescent="0.25">
      <c r="A807" s="8">
        <v>40844</v>
      </c>
      <c r="B807">
        <v>1419445.12</v>
      </c>
      <c r="C807">
        <v>0</v>
      </c>
      <c r="D807">
        <v>69.510000000000005</v>
      </c>
      <c r="E807">
        <v>3.3719999999999999</v>
      </c>
      <c r="F807">
        <v>219.23704900000001</v>
      </c>
      <c r="G807">
        <v>6.5510000000000002</v>
      </c>
      <c r="N807" s="8"/>
    </row>
    <row r="808" spans="1:14" x14ac:dyDescent="0.25">
      <c r="A808" s="8">
        <v>40851</v>
      </c>
      <c r="B808">
        <v>1523420.38</v>
      </c>
      <c r="C808">
        <v>0</v>
      </c>
      <c r="D808">
        <v>58.54</v>
      </c>
      <c r="E808">
        <v>3.3319999999999999</v>
      </c>
      <c r="F808">
        <v>219.40008119999999</v>
      </c>
      <c r="G808">
        <v>6.5510000000000002</v>
      </c>
      <c r="N808" s="8"/>
    </row>
    <row r="809" spans="1:14" x14ac:dyDescent="0.25">
      <c r="A809" s="8">
        <v>40858</v>
      </c>
      <c r="B809">
        <v>1536176.54</v>
      </c>
      <c r="C809">
        <v>0</v>
      </c>
      <c r="D809">
        <v>61.33</v>
      </c>
      <c r="E809">
        <v>3.2970000000000002</v>
      </c>
      <c r="F809">
        <v>219.56311349999999</v>
      </c>
      <c r="G809">
        <v>6.5510000000000002</v>
      </c>
      <c r="N809" s="8"/>
    </row>
    <row r="810" spans="1:14" x14ac:dyDescent="0.25">
      <c r="A810" s="8">
        <v>40865</v>
      </c>
      <c r="B810">
        <v>1524390.07</v>
      </c>
      <c r="C810">
        <v>0</v>
      </c>
      <c r="D810">
        <v>63.89</v>
      </c>
      <c r="E810">
        <v>3.3079999999999998</v>
      </c>
      <c r="F810">
        <v>219.78971369999999</v>
      </c>
      <c r="G810">
        <v>6.5510000000000002</v>
      </c>
      <c r="N810" s="8"/>
    </row>
    <row r="811" spans="1:14" x14ac:dyDescent="0.25">
      <c r="A811" s="8">
        <v>40872</v>
      </c>
      <c r="B811">
        <v>2249811.5499999998</v>
      </c>
      <c r="C811">
        <v>1</v>
      </c>
      <c r="D811">
        <v>62.78</v>
      </c>
      <c r="E811">
        <v>3.2360000000000002</v>
      </c>
      <c r="F811">
        <v>220.04174119999999</v>
      </c>
      <c r="G811">
        <v>6.5510000000000002</v>
      </c>
      <c r="N811" s="8"/>
    </row>
    <row r="812" spans="1:14" x14ac:dyDescent="0.25">
      <c r="A812" s="8">
        <v>40879</v>
      </c>
      <c r="B812">
        <v>1688531.34</v>
      </c>
      <c r="C812">
        <v>0</v>
      </c>
      <c r="D812">
        <v>51.18</v>
      </c>
      <c r="E812">
        <v>3.1720000000000002</v>
      </c>
      <c r="F812">
        <v>220.29376859999999</v>
      </c>
      <c r="G812">
        <v>6.5510000000000002</v>
      </c>
      <c r="N812" s="8"/>
    </row>
    <row r="813" spans="1:14" x14ac:dyDescent="0.25">
      <c r="A813" s="8">
        <v>40886</v>
      </c>
      <c r="B813">
        <v>1903385.14</v>
      </c>
      <c r="C813">
        <v>0</v>
      </c>
      <c r="D813">
        <v>43.64</v>
      </c>
      <c r="E813">
        <v>3.1579999999999999</v>
      </c>
      <c r="F813">
        <v>220.54579609999999</v>
      </c>
      <c r="G813">
        <v>6.5510000000000002</v>
      </c>
      <c r="N813" s="8"/>
    </row>
    <row r="814" spans="1:14" x14ac:dyDescent="0.25">
      <c r="A814" s="8">
        <v>40893</v>
      </c>
      <c r="B814">
        <v>2034695.56</v>
      </c>
      <c r="C814">
        <v>0</v>
      </c>
      <c r="D814">
        <v>53.27</v>
      </c>
      <c r="E814">
        <v>3.1589999999999998</v>
      </c>
      <c r="F814">
        <v>220.7671856</v>
      </c>
      <c r="G814">
        <v>6.5510000000000002</v>
      </c>
      <c r="N814" s="8"/>
    </row>
    <row r="815" spans="1:14" x14ac:dyDescent="0.25">
      <c r="A815" s="8">
        <v>40900</v>
      </c>
      <c r="B815">
        <v>2644633.02</v>
      </c>
      <c r="C815">
        <v>0</v>
      </c>
      <c r="D815">
        <v>49.45</v>
      </c>
      <c r="E815">
        <v>3.1120000000000001</v>
      </c>
      <c r="F815">
        <v>220.94772449999999</v>
      </c>
      <c r="G815">
        <v>6.5510000000000002</v>
      </c>
      <c r="N815" s="8"/>
    </row>
    <row r="816" spans="1:14" x14ac:dyDescent="0.25">
      <c r="A816" s="8">
        <v>40907</v>
      </c>
      <c r="B816">
        <v>1598080.52</v>
      </c>
      <c r="C816">
        <v>1</v>
      </c>
      <c r="D816">
        <v>46.8</v>
      </c>
      <c r="E816">
        <v>3.129</v>
      </c>
      <c r="F816">
        <v>221.12826340000001</v>
      </c>
      <c r="G816">
        <v>6.5510000000000002</v>
      </c>
      <c r="N816" s="8"/>
    </row>
    <row r="817" spans="1:14" x14ac:dyDescent="0.25">
      <c r="A817" s="8">
        <v>40914</v>
      </c>
      <c r="B817">
        <v>1395339.71</v>
      </c>
      <c r="C817">
        <v>0</v>
      </c>
      <c r="D817">
        <v>50.82</v>
      </c>
      <c r="E817">
        <v>3.157</v>
      </c>
      <c r="F817">
        <v>221.3088023</v>
      </c>
      <c r="G817">
        <v>6.1319999999999997</v>
      </c>
      <c r="N817" s="8"/>
    </row>
    <row r="818" spans="1:14" x14ac:dyDescent="0.25">
      <c r="A818" s="8">
        <v>40921</v>
      </c>
      <c r="B818">
        <v>1344243.17</v>
      </c>
      <c r="C818">
        <v>0</v>
      </c>
      <c r="D818">
        <v>48.33</v>
      </c>
      <c r="E818">
        <v>3.2610000000000001</v>
      </c>
      <c r="F818">
        <v>221.48934120000001</v>
      </c>
      <c r="G818">
        <v>6.1319999999999997</v>
      </c>
      <c r="N818" s="8"/>
    </row>
    <row r="819" spans="1:14" x14ac:dyDescent="0.25">
      <c r="A819" s="8">
        <v>40928</v>
      </c>
      <c r="B819">
        <v>1326255.7</v>
      </c>
      <c r="C819">
        <v>0</v>
      </c>
      <c r="D819">
        <v>55.37</v>
      </c>
      <c r="E819">
        <v>3.2679999999999998</v>
      </c>
      <c r="F819">
        <v>221.5831306</v>
      </c>
      <c r="G819">
        <v>6.1319999999999997</v>
      </c>
      <c r="N819" s="8"/>
    </row>
    <row r="820" spans="1:14" x14ac:dyDescent="0.25">
      <c r="A820" s="8">
        <v>40935</v>
      </c>
      <c r="B820">
        <v>1315610.6599999999</v>
      </c>
      <c r="C820">
        <v>0</v>
      </c>
      <c r="D820">
        <v>53.95</v>
      </c>
      <c r="E820">
        <v>3.29</v>
      </c>
      <c r="F820">
        <v>221.6769199</v>
      </c>
      <c r="G820">
        <v>6.1319999999999997</v>
      </c>
      <c r="N820" s="8"/>
    </row>
    <row r="821" spans="1:14" x14ac:dyDescent="0.25">
      <c r="A821" s="8">
        <v>40942</v>
      </c>
      <c r="B821">
        <v>1496305.78</v>
      </c>
      <c r="C821">
        <v>0</v>
      </c>
      <c r="D821">
        <v>57.45</v>
      </c>
      <c r="E821">
        <v>3.36</v>
      </c>
      <c r="F821">
        <v>221.77070929999999</v>
      </c>
      <c r="G821">
        <v>6.1319999999999997</v>
      </c>
      <c r="N821" s="8"/>
    </row>
    <row r="822" spans="1:14" x14ac:dyDescent="0.25">
      <c r="A822" s="8">
        <v>40949</v>
      </c>
      <c r="B822">
        <v>1620603.92</v>
      </c>
      <c r="C822">
        <v>1</v>
      </c>
      <c r="D822">
        <v>48.58</v>
      </c>
      <c r="E822">
        <v>3.4089999999999998</v>
      </c>
      <c r="F822">
        <v>221.86449870000001</v>
      </c>
      <c r="G822">
        <v>6.1319999999999997</v>
      </c>
      <c r="N822" s="8"/>
    </row>
    <row r="823" spans="1:14" x14ac:dyDescent="0.25">
      <c r="A823" s="8">
        <v>40956</v>
      </c>
      <c r="B823">
        <v>1632616.09</v>
      </c>
      <c r="C823">
        <v>0</v>
      </c>
      <c r="D823">
        <v>49.03</v>
      </c>
      <c r="E823">
        <v>3.51</v>
      </c>
      <c r="F823">
        <v>222.02635900000001</v>
      </c>
      <c r="G823">
        <v>6.1319999999999997</v>
      </c>
      <c r="N823" s="8"/>
    </row>
    <row r="824" spans="1:14" x14ac:dyDescent="0.25">
      <c r="A824" s="8">
        <v>40963</v>
      </c>
      <c r="B824">
        <v>1465187.71</v>
      </c>
      <c r="C824">
        <v>0</v>
      </c>
      <c r="D824">
        <v>59.17</v>
      </c>
      <c r="E824">
        <v>3.5550000000000002</v>
      </c>
      <c r="F824">
        <v>222.23927259999999</v>
      </c>
      <c r="G824">
        <v>6.1319999999999997</v>
      </c>
      <c r="N824" s="8"/>
    </row>
    <row r="825" spans="1:14" x14ac:dyDescent="0.25">
      <c r="A825" s="8">
        <v>40970</v>
      </c>
      <c r="B825">
        <v>1550385.65</v>
      </c>
      <c r="C825">
        <v>0</v>
      </c>
      <c r="D825">
        <v>60.32</v>
      </c>
      <c r="E825">
        <v>3.63</v>
      </c>
      <c r="F825">
        <v>222.4521862</v>
      </c>
      <c r="G825">
        <v>6.1319999999999997</v>
      </c>
      <c r="N825" s="8"/>
    </row>
    <row r="826" spans="1:14" x14ac:dyDescent="0.25">
      <c r="A826" s="8">
        <v>40977</v>
      </c>
      <c r="B826">
        <v>1569304.4</v>
      </c>
      <c r="C826">
        <v>0</v>
      </c>
      <c r="D826">
        <v>57.89</v>
      </c>
      <c r="E826">
        <v>3.669</v>
      </c>
      <c r="F826">
        <v>222.66509980000001</v>
      </c>
      <c r="G826">
        <v>6.1319999999999997</v>
      </c>
      <c r="N826" s="8"/>
    </row>
    <row r="827" spans="1:14" x14ac:dyDescent="0.25">
      <c r="A827" s="8">
        <v>40984</v>
      </c>
      <c r="B827">
        <v>1748010.29</v>
      </c>
      <c r="C827">
        <v>0</v>
      </c>
      <c r="D827">
        <v>62.8</v>
      </c>
      <c r="E827">
        <v>3.734</v>
      </c>
      <c r="F827">
        <v>222.8186603</v>
      </c>
      <c r="G827">
        <v>6.1319999999999997</v>
      </c>
      <c r="N827" s="8"/>
    </row>
    <row r="828" spans="1:14" x14ac:dyDescent="0.25">
      <c r="A828" s="8">
        <v>40991</v>
      </c>
      <c r="B828">
        <v>1495143.62</v>
      </c>
      <c r="C828">
        <v>0</v>
      </c>
      <c r="D828">
        <v>63.71</v>
      </c>
      <c r="E828">
        <v>3.7869999999999999</v>
      </c>
      <c r="F828">
        <v>222.89308349999999</v>
      </c>
      <c r="G828">
        <v>6.1319999999999997</v>
      </c>
      <c r="N828" s="8"/>
    </row>
    <row r="829" spans="1:14" x14ac:dyDescent="0.25">
      <c r="A829" s="8">
        <v>40998</v>
      </c>
      <c r="B829">
        <v>1508933.26</v>
      </c>
      <c r="C829">
        <v>0</v>
      </c>
      <c r="D829">
        <v>67.91</v>
      </c>
      <c r="E829">
        <v>3.8450000000000002</v>
      </c>
      <c r="F829">
        <v>222.96750660000001</v>
      </c>
      <c r="G829">
        <v>6.1319999999999997</v>
      </c>
      <c r="N829" s="8"/>
    </row>
    <row r="830" spans="1:14" x14ac:dyDescent="0.25">
      <c r="A830" s="8">
        <v>41005</v>
      </c>
      <c r="B830">
        <v>1840131.19</v>
      </c>
      <c r="C830">
        <v>0</v>
      </c>
      <c r="D830">
        <v>71.599999999999994</v>
      </c>
      <c r="E830">
        <v>3.891</v>
      </c>
      <c r="F830">
        <v>223.04192979999999</v>
      </c>
      <c r="G830">
        <v>5.9640000000000004</v>
      </c>
      <c r="N830" s="8"/>
    </row>
    <row r="831" spans="1:14" x14ac:dyDescent="0.25">
      <c r="A831" s="8">
        <v>41012</v>
      </c>
      <c r="B831">
        <v>1616394.45</v>
      </c>
      <c r="C831">
        <v>0</v>
      </c>
      <c r="D831">
        <v>71.290000000000006</v>
      </c>
      <c r="E831">
        <v>3.891</v>
      </c>
      <c r="F831">
        <v>223.11635290000001</v>
      </c>
      <c r="G831">
        <v>5.9640000000000004</v>
      </c>
      <c r="N831" s="8"/>
    </row>
    <row r="832" spans="1:14" x14ac:dyDescent="0.25">
      <c r="A832" s="8">
        <v>41019</v>
      </c>
      <c r="B832">
        <v>1456073.24</v>
      </c>
      <c r="C832">
        <v>0</v>
      </c>
      <c r="D832">
        <v>68.64</v>
      </c>
      <c r="E832">
        <v>3.8769999999999998</v>
      </c>
      <c r="F832">
        <v>223.17092</v>
      </c>
      <c r="G832">
        <v>5.9640000000000004</v>
      </c>
      <c r="N832" s="8"/>
    </row>
    <row r="833" spans="1:14" x14ac:dyDescent="0.25">
      <c r="A833" s="8">
        <v>41026</v>
      </c>
      <c r="B833">
        <v>1456221.1</v>
      </c>
      <c r="C833">
        <v>0</v>
      </c>
      <c r="D833">
        <v>71.5</v>
      </c>
      <c r="E833">
        <v>3.8140000000000001</v>
      </c>
      <c r="F833">
        <v>223.22548710000001</v>
      </c>
      <c r="G833">
        <v>5.9640000000000004</v>
      </c>
      <c r="N833" s="8"/>
    </row>
    <row r="834" spans="1:14" x14ac:dyDescent="0.25">
      <c r="A834" s="8">
        <v>41033</v>
      </c>
      <c r="B834">
        <v>1543461.12</v>
      </c>
      <c r="C834">
        <v>0</v>
      </c>
      <c r="D834">
        <v>77.66</v>
      </c>
      <c r="E834">
        <v>3.7490000000000001</v>
      </c>
      <c r="F834">
        <v>223.2800541</v>
      </c>
      <c r="G834">
        <v>5.9640000000000004</v>
      </c>
      <c r="N834" s="8"/>
    </row>
    <row r="835" spans="1:14" x14ac:dyDescent="0.25">
      <c r="A835" s="8">
        <v>41040</v>
      </c>
      <c r="B835">
        <v>1517075.67</v>
      </c>
      <c r="C835">
        <v>0</v>
      </c>
      <c r="D835">
        <v>72.66</v>
      </c>
      <c r="E835">
        <v>3.6880000000000002</v>
      </c>
      <c r="F835">
        <v>223.33462119999999</v>
      </c>
      <c r="G835">
        <v>5.9640000000000004</v>
      </c>
      <c r="N835" s="8"/>
    </row>
    <row r="836" spans="1:14" x14ac:dyDescent="0.25">
      <c r="A836" s="8">
        <v>41047</v>
      </c>
      <c r="B836">
        <v>1513635.64</v>
      </c>
      <c r="C836">
        <v>0</v>
      </c>
      <c r="D836">
        <v>70.5</v>
      </c>
      <c r="E836">
        <v>3.63</v>
      </c>
      <c r="F836">
        <v>223.35119280000001</v>
      </c>
      <c r="G836">
        <v>5.9640000000000004</v>
      </c>
      <c r="N836" s="8"/>
    </row>
    <row r="837" spans="1:14" x14ac:dyDescent="0.25">
      <c r="A837" s="8">
        <v>41054</v>
      </c>
      <c r="B837">
        <v>1603793.42</v>
      </c>
      <c r="C837">
        <v>0</v>
      </c>
      <c r="D837">
        <v>78.47</v>
      </c>
      <c r="E837">
        <v>3.5609999999999999</v>
      </c>
      <c r="F837">
        <v>223.35256620000001</v>
      </c>
      <c r="G837">
        <v>5.9640000000000004</v>
      </c>
      <c r="N837" s="8"/>
    </row>
    <row r="838" spans="1:14" x14ac:dyDescent="0.25">
      <c r="A838" s="8">
        <v>41061</v>
      </c>
      <c r="B838">
        <v>1681121.38</v>
      </c>
      <c r="C838">
        <v>0</v>
      </c>
      <c r="D838">
        <v>80.39</v>
      </c>
      <c r="E838">
        <v>3.5009999999999999</v>
      </c>
      <c r="F838">
        <v>223.35393970000001</v>
      </c>
      <c r="G838">
        <v>5.9640000000000004</v>
      </c>
      <c r="N838" s="8"/>
    </row>
    <row r="839" spans="1:14" x14ac:dyDescent="0.25">
      <c r="A839" s="8">
        <v>41068</v>
      </c>
      <c r="B839">
        <v>1696619.52</v>
      </c>
      <c r="C839">
        <v>0</v>
      </c>
      <c r="D839">
        <v>80.5</v>
      </c>
      <c r="E839">
        <v>3.452</v>
      </c>
      <c r="F839">
        <v>223.35531309999999</v>
      </c>
      <c r="G839">
        <v>5.9640000000000004</v>
      </c>
      <c r="N839" s="8"/>
    </row>
    <row r="840" spans="1:14" x14ac:dyDescent="0.25">
      <c r="A840" s="8">
        <v>41075</v>
      </c>
      <c r="B840">
        <v>1642247.48</v>
      </c>
      <c r="C840">
        <v>0</v>
      </c>
      <c r="D840">
        <v>82.1</v>
      </c>
      <c r="E840">
        <v>3.3929999999999998</v>
      </c>
      <c r="F840">
        <v>223.3680933</v>
      </c>
      <c r="G840">
        <v>5.9640000000000004</v>
      </c>
      <c r="N840" s="8"/>
    </row>
    <row r="841" spans="1:14" x14ac:dyDescent="0.25">
      <c r="A841" s="8">
        <v>41082</v>
      </c>
      <c r="B841">
        <v>1618272.25</v>
      </c>
      <c r="C841">
        <v>0</v>
      </c>
      <c r="D841">
        <v>81.2</v>
      </c>
      <c r="E841">
        <v>3.3460000000000001</v>
      </c>
      <c r="F841">
        <v>223.40939059999999</v>
      </c>
      <c r="G841">
        <v>5.9640000000000004</v>
      </c>
      <c r="N841" s="8"/>
    </row>
    <row r="842" spans="1:14" x14ac:dyDescent="0.25">
      <c r="A842" s="8">
        <v>41089</v>
      </c>
      <c r="B842">
        <v>1648863.46</v>
      </c>
      <c r="C842">
        <v>0</v>
      </c>
      <c r="D842">
        <v>87.35</v>
      </c>
      <c r="E842">
        <v>3.286</v>
      </c>
      <c r="F842">
        <v>223.4506878</v>
      </c>
      <c r="G842">
        <v>5.9640000000000004</v>
      </c>
      <c r="N842" s="8"/>
    </row>
    <row r="843" spans="1:14" x14ac:dyDescent="0.25">
      <c r="A843" s="8">
        <v>41096</v>
      </c>
      <c r="B843">
        <v>1876359.39</v>
      </c>
      <c r="C843">
        <v>0</v>
      </c>
      <c r="D843">
        <v>82.95</v>
      </c>
      <c r="E843">
        <v>3.2269999999999999</v>
      </c>
      <c r="F843">
        <v>223.49198509999999</v>
      </c>
      <c r="G843">
        <v>5.6680000000000001</v>
      </c>
      <c r="N843" s="8"/>
    </row>
    <row r="844" spans="1:14" x14ac:dyDescent="0.25">
      <c r="A844" s="8">
        <v>41103</v>
      </c>
      <c r="B844">
        <v>1588142.26</v>
      </c>
      <c r="C844">
        <v>0</v>
      </c>
      <c r="D844">
        <v>80.27</v>
      </c>
      <c r="E844">
        <v>3.2559999999999998</v>
      </c>
      <c r="F844">
        <v>223.53328239999999</v>
      </c>
      <c r="G844">
        <v>5.6680000000000001</v>
      </c>
      <c r="N844" s="8"/>
    </row>
    <row r="845" spans="1:14" x14ac:dyDescent="0.25">
      <c r="A845" s="8">
        <v>41110</v>
      </c>
      <c r="B845">
        <v>1574361.97</v>
      </c>
      <c r="C845">
        <v>0</v>
      </c>
      <c r="D845">
        <v>81.569999999999993</v>
      </c>
      <c r="E845">
        <v>3.3109999999999999</v>
      </c>
      <c r="F845">
        <v>223.5424501</v>
      </c>
      <c r="G845">
        <v>5.6680000000000001</v>
      </c>
      <c r="N845" s="8"/>
    </row>
    <row r="846" spans="1:14" x14ac:dyDescent="0.25">
      <c r="A846" s="8">
        <v>41117</v>
      </c>
      <c r="B846">
        <v>1513229.16</v>
      </c>
      <c r="C846">
        <v>0</v>
      </c>
      <c r="D846">
        <v>85.78</v>
      </c>
      <c r="E846">
        <v>3.407</v>
      </c>
      <c r="F846">
        <v>223.5516178</v>
      </c>
      <c r="G846">
        <v>5.6680000000000001</v>
      </c>
      <c r="N846" s="8"/>
    </row>
    <row r="847" spans="1:14" x14ac:dyDescent="0.25">
      <c r="A847" s="8">
        <v>41124</v>
      </c>
      <c r="B847">
        <v>1627274.93</v>
      </c>
      <c r="C847">
        <v>0</v>
      </c>
      <c r="D847">
        <v>87.55</v>
      </c>
      <c r="E847">
        <v>3.4169999999999998</v>
      </c>
      <c r="F847">
        <v>223.5607856</v>
      </c>
      <c r="G847">
        <v>5.6680000000000001</v>
      </c>
      <c r="N847" s="8"/>
    </row>
    <row r="848" spans="1:14" x14ac:dyDescent="0.25">
      <c r="A848" s="8">
        <v>41131</v>
      </c>
      <c r="B848">
        <v>1588380.73</v>
      </c>
      <c r="C848">
        <v>0</v>
      </c>
      <c r="D848">
        <v>87.04</v>
      </c>
      <c r="E848">
        <v>3.4940000000000002</v>
      </c>
      <c r="F848">
        <v>223.56995330000001</v>
      </c>
      <c r="G848">
        <v>5.6680000000000001</v>
      </c>
      <c r="N848" s="8"/>
    </row>
    <row r="849" spans="1:14" x14ac:dyDescent="0.25">
      <c r="A849" s="8">
        <v>41138</v>
      </c>
      <c r="B849">
        <v>1543049.52</v>
      </c>
      <c r="C849">
        <v>0</v>
      </c>
      <c r="D849">
        <v>87.53</v>
      </c>
      <c r="E849">
        <v>3.5710000000000002</v>
      </c>
      <c r="F849">
        <v>223.65102239999999</v>
      </c>
      <c r="G849">
        <v>5.6680000000000001</v>
      </c>
      <c r="N849" s="8"/>
    </row>
    <row r="850" spans="1:14" x14ac:dyDescent="0.25">
      <c r="A850" s="8">
        <v>41145</v>
      </c>
      <c r="B850">
        <v>1501095.49</v>
      </c>
      <c r="C850">
        <v>0</v>
      </c>
      <c r="D850">
        <v>79.03</v>
      </c>
      <c r="E850">
        <v>3.62</v>
      </c>
      <c r="F850">
        <v>223.78601750000001</v>
      </c>
      <c r="G850">
        <v>5.6680000000000001</v>
      </c>
      <c r="N850" s="8"/>
    </row>
    <row r="851" spans="1:14" x14ac:dyDescent="0.25">
      <c r="A851" s="8">
        <v>41152</v>
      </c>
      <c r="B851">
        <v>1577439.81</v>
      </c>
      <c r="C851">
        <v>0</v>
      </c>
      <c r="D851">
        <v>83.58</v>
      </c>
      <c r="E851">
        <v>3.6379999999999999</v>
      </c>
      <c r="F851">
        <v>223.92101249999999</v>
      </c>
      <c r="G851">
        <v>5.6680000000000001</v>
      </c>
      <c r="N851" s="8"/>
    </row>
    <row r="852" spans="1:14" x14ac:dyDescent="0.25">
      <c r="A852" s="8">
        <v>41159</v>
      </c>
      <c r="B852">
        <v>1608077.01</v>
      </c>
      <c r="C852">
        <v>1</v>
      </c>
      <c r="D852">
        <v>86.33</v>
      </c>
      <c r="E852">
        <v>3.73</v>
      </c>
      <c r="F852">
        <v>224.05600759999999</v>
      </c>
      <c r="G852">
        <v>5.6680000000000001</v>
      </c>
      <c r="N852" s="8"/>
    </row>
    <row r="853" spans="1:14" x14ac:dyDescent="0.25">
      <c r="A853" s="8">
        <v>41166</v>
      </c>
      <c r="B853">
        <v>1375166.86</v>
      </c>
      <c r="C853">
        <v>0</v>
      </c>
      <c r="D853">
        <v>76.41</v>
      </c>
      <c r="E853">
        <v>3.7170000000000001</v>
      </c>
      <c r="F853">
        <v>224.20046780000001</v>
      </c>
      <c r="G853">
        <v>5.6680000000000001</v>
      </c>
      <c r="N853" s="8"/>
    </row>
    <row r="854" spans="1:14" x14ac:dyDescent="0.25">
      <c r="A854" s="8">
        <v>41173</v>
      </c>
      <c r="B854">
        <v>1425603.65</v>
      </c>
      <c r="C854">
        <v>0</v>
      </c>
      <c r="D854">
        <v>70.81</v>
      </c>
      <c r="E854">
        <v>3.7210000000000001</v>
      </c>
      <c r="F854">
        <v>224.4017192</v>
      </c>
      <c r="G854">
        <v>5.6680000000000001</v>
      </c>
      <c r="N854" s="8"/>
    </row>
    <row r="855" spans="1:14" x14ac:dyDescent="0.25">
      <c r="A855" s="8">
        <v>41180</v>
      </c>
      <c r="B855">
        <v>1369131.46</v>
      </c>
      <c r="C855">
        <v>0</v>
      </c>
      <c r="D855">
        <v>77.819999999999993</v>
      </c>
      <c r="E855">
        <v>3.6659999999999999</v>
      </c>
      <c r="F855">
        <v>224.60297059999999</v>
      </c>
      <c r="G855">
        <v>5.6680000000000001</v>
      </c>
      <c r="N855" s="8"/>
    </row>
    <row r="856" spans="1:14" x14ac:dyDescent="0.25">
      <c r="A856" s="8">
        <v>41187</v>
      </c>
      <c r="B856">
        <v>1518177.71</v>
      </c>
      <c r="C856">
        <v>0</v>
      </c>
      <c r="D856">
        <v>70.84</v>
      </c>
      <c r="E856">
        <v>3.617</v>
      </c>
      <c r="F856">
        <v>224.80422200000001</v>
      </c>
      <c r="G856">
        <v>5.3289999999999997</v>
      </c>
      <c r="N856" s="8"/>
    </row>
    <row r="857" spans="1:14" x14ac:dyDescent="0.25">
      <c r="A857" s="8">
        <v>41194</v>
      </c>
      <c r="B857">
        <v>1459396.84</v>
      </c>
      <c r="C857">
        <v>0</v>
      </c>
      <c r="D857">
        <v>65.430000000000007</v>
      </c>
      <c r="E857">
        <v>3.601</v>
      </c>
      <c r="F857">
        <v>225.00547330000001</v>
      </c>
      <c r="G857">
        <v>5.3289999999999997</v>
      </c>
      <c r="N857" s="8"/>
    </row>
    <row r="858" spans="1:14" x14ac:dyDescent="0.25">
      <c r="A858" s="8">
        <v>41201</v>
      </c>
      <c r="B858">
        <v>1436883.99</v>
      </c>
      <c r="C858">
        <v>0</v>
      </c>
      <c r="D858">
        <v>69.680000000000007</v>
      </c>
      <c r="E858">
        <v>3.5939999999999999</v>
      </c>
      <c r="F858">
        <v>225.05010129999999</v>
      </c>
      <c r="G858">
        <v>5.3289999999999997</v>
      </c>
      <c r="N858" s="8"/>
    </row>
    <row r="859" spans="1:14" x14ac:dyDescent="0.25">
      <c r="A859" s="8">
        <v>41208</v>
      </c>
      <c r="B859">
        <v>1431426.34</v>
      </c>
      <c r="C859">
        <v>0</v>
      </c>
      <c r="D859">
        <v>72.34</v>
      </c>
      <c r="E859">
        <v>3.5059999999999998</v>
      </c>
      <c r="F859">
        <v>225.0686254</v>
      </c>
      <c r="G859">
        <v>5.3289999999999997</v>
      </c>
      <c r="N859" s="8"/>
    </row>
    <row r="860" spans="1:14" x14ac:dyDescent="0.25">
      <c r="A860" s="8">
        <v>40214</v>
      </c>
      <c r="B860">
        <v>496725.44</v>
      </c>
      <c r="C860">
        <v>0</v>
      </c>
      <c r="D860">
        <v>10.53</v>
      </c>
      <c r="E860">
        <v>2.58</v>
      </c>
      <c r="F860">
        <v>189.38169740000001</v>
      </c>
      <c r="G860">
        <v>9.0139999999999993</v>
      </c>
      <c r="N860" s="8"/>
    </row>
    <row r="861" spans="1:14" x14ac:dyDescent="0.25">
      <c r="A861" s="8">
        <v>40221</v>
      </c>
      <c r="B861">
        <v>524104.92</v>
      </c>
      <c r="C861">
        <v>1</v>
      </c>
      <c r="D861">
        <v>25.9</v>
      </c>
      <c r="E861">
        <v>2.5720000000000001</v>
      </c>
      <c r="F861">
        <v>189.46427249999999</v>
      </c>
      <c r="G861">
        <v>9.0139999999999993</v>
      </c>
      <c r="N861" s="8"/>
    </row>
    <row r="862" spans="1:14" x14ac:dyDescent="0.25">
      <c r="A862" s="8">
        <v>40228</v>
      </c>
      <c r="B862">
        <v>506760.54</v>
      </c>
      <c r="C862">
        <v>0</v>
      </c>
      <c r="D862">
        <v>27.28</v>
      </c>
      <c r="E862">
        <v>2.5499999999999998</v>
      </c>
      <c r="F862">
        <v>189.53409980000001</v>
      </c>
      <c r="G862">
        <v>9.0139999999999993</v>
      </c>
      <c r="N862" s="8"/>
    </row>
    <row r="863" spans="1:14" x14ac:dyDescent="0.25">
      <c r="A863" s="8">
        <v>40235</v>
      </c>
      <c r="B863">
        <v>496083.24</v>
      </c>
      <c r="C863">
        <v>0</v>
      </c>
      <c r="D863">
        <v>24.91</v>
      </c>
      <c r="E863">
        <v>2.5859999999999999</v>
      </c>
      <c r="F863">
        <v>189.6018023</v>
      </c>
      <c r="G863">
        <v>9.0139999999999993</v>
      </c>
      <c r="N863" s="8"/>
    </row>
    <row r="864" spans="1:14" x14ac:dyDescent="0.25">
      <c r="A864" s="8">
        <v>40242</v>
      </c>
      <c r="B864">
        <v>491419.55</v>
      </c>
      <c r="C864">
        <v>0</v>
      </c>
      <c r="D864">
        <v>35.86</v>
      </c>
      <c r="E864">
        <v>2.62</v>
      </c>
      <c r="F864">
        <v>189.66950489999999</v>
      </c>
      <c r="G864">
        <v>9.0139999999999993</v>
      </c>
      <c r="N864" s="8"/>
    </row>
    <row r="865" spans="1:14" x14ac:dyDescent="0.25">
      <c r="A865" s="8">
        <v>40249</v>
      </c>
      <c r="B865">
        <v>480452.1</v>
      </c>
      <c r="C865">
        <v>0</v>
      </c>
      <c r="D865">
        <v>27.25</v>
      </c>
      <c r="E865">
        <v>2.6840000000000002</v>
      </c>
      <c r="F865">
        <v>189.73720750000001</v>
      </c>
      <c r="G865">
        <v>9.0139999999999993</v>
      </c>
      <c r="N865" s="8"/>
    </row>
    <row r="866" spans="1:14" x14ac:dyDescent="0.25">
      <c r="A866" s="8">
        <v>40256</v>
      </c>
      <c r="B866">
        <v>574450.23</v>
      </c>
      <c r="C866">
        <v>0</v>
      </c>
      <c r="D866">
        <v>29.04</v>
      </c>
      <c r="E866">
        <v>2.6920000000000002</v>
      </c>
      <c r="F866">
        <v>189.734262</v>
      </c>
      <c r="G866">
        <v>9.0139999999999993</v>
      </c>
      <c r="N866" s="8"/>
    </row>
    <row r="867" spans="1:14" x14ac:dyDescent="0.25">
      <c r="A867" s="8">
        <v>40263</v>
      </c>
      <c r="B867">
        <v>514731.6</v>
      </c>
      <c r="C867">
        <v>0</v>
      </c>
      <c r="D867">
        <v>23.33</v>
      </c>
      <c r="E867">
        <v>2.7170000000000001</v>
      </c>
      <c r="F867">
        <v>189.71954170000001</v>
      </c>
      <c r="G867">
        <v>9.0139999999999993</v>
      </c>
      <c r="N867" s="8"/>
    </row>
    <row r="868" spans="1:14" x14ac:dyDescent="0.25">
      <c r="A868" s="8">
        <v>40270</v>
      </c>
      <c r="B868">
        <v>561145.14</v>
      </c>
      <c r="C868">
        <v>0</v>
      </c>
      <c r="D868">
        <v>38.26</v>
      </c>
      <c r="E868">
        <v>2.7250000000000001</v>
      </c>
      <c r="F868">
        <v>189.70482150000001</v>
      </c>
      <c r="G868">
        <v>8.9629999999999992</v>
      </c>
      <c r="N868" s="8"/>
    </row>
    <row r="869" spans="1:14" x14ac:dyDescent="0.25">
      <c r="A869" s="8">
        <v>40277</v>
      </c>
      <c r="B869">
        <v>484263.25</v>
      </c>
      <c r="C869">
        <v>0</v>
      </c>
      <c r="D869">
        <v>33.79</v>
      </c>
      <c r="E869">
        <v>2.75</v>
      </c>
      <c r="F869">
        <v>189.69010119999999</v>
      </c>
      <c r="G869">
        <v>8.9629999999999992</v>
      </c>
      <c r="N869" s="8"/>
    </row>
    <row r="870" spans="1:14" x14ac:dyDescent="0.25">
      <c r="A870" s="8">
        <v>40284</v>
      </c>
      <c r="B870">
        <v>406228.19</v>
      </c>
      <c r="C870">
        <v>0</v>
      </c>
      <c r="D870">
        <v>41.89</v>
      </c>
      <c r="E870">
        <v>2.7650000000000001</v>
      </c>
      <c r="F870">
        <v>189.66288449999999</v>
      </c>
      <c r="G870">
        <v>8.9629999999999992</v>
      </c>
      <c r="N870" s="8"/>
    </row>
    <row r="871" spans="1:14" x14ac:dyDescent="0.25">
      <c r="A871" s="8">
        <v>40291</v>
      </c>
      <c r="B871">
        <v>404751.25</v>
      </c>
      <c r="C871">
        <v>0</v>
      </c>
      <c r="D871">
        <v>43.07</v>
      </c>
      <c r="E871">
        <v>2.7759999999999998</v>
      </c>
      <c r="F871">
        <v>189.6190057</v>
      </c>
      <c r="G871">
        <v>8.9629999999999992</v>
      </c>
      <c r="N871" s="8"/>
    </row>
    <row r="872" spans="1:14" x14ac:dyDescent="0.25">
      <c r="A872" s="8">
        <v>40298</v>
      </c>
      <c r="B872">
        <v>373655.61</v>
      </c>
      <c r="C872">
        <v>0</v>
      </c>
      <c r="D872">
        <v>38.99</v>
      </c>
      <c r="E872">
        <v>2.766</v>
      </c>
      <c r="F872">
        <v>189.57512700000001</v>
      </c>
      <c r="G872">
        <v>8.9629999999999992</v>
      </c>
      <c r="N872" s="8"/>
    </row>
    <row r="873" spans="1:14" x14ac:dyDescent="0.25">
      <c r="A873" s="8">
        <v>40305</v>
      </c>
      <c r="B873">
        <v>395453.83</v>
      </c>
      <c r="C873">
        <v>0</v>
      </c>
      <c r="D873">
        <v>40.07</v>
      </c>
      <c r="E873">
        <v>2.7709999999999999</v>
      </c>
      <c r="F873">
        <v>189.53124829999999</v>
      </c>
      <c r="G873">
        <v>8.9629999999999992</v>
      </c>
      <c r="N873" s="8"/>
    </row>
    <row r="874" spans="1:14" x14ac:dyDescent="0.25">
      <c r="A874" s="8">
        <v>40312</v>
      </c>
      <c r="B874">
        <v>372673.61</v>
      </c>
      <c r="C874">
        <v>0</v>
      </c>
      <c r="D874">
        <v>41.41</v>
      </c>
      <c r="E874">
        <v>2.7879999999999998</v>
      </c>
      <c r="F874">
        <v>189.49041159999999</v>
      </c>
      <c r="G874">
        <v>8.9629999999999992</v>
      </c>
      <c r="N874" s="8"/>
    </row>
    <row r="875" spans="1:14" x14ac:dyDescent="0.25">
      <c r="A875" s="8">
        <v>40319</v>
      </c>
      <c r="B875">
        <v>395195.65</v>
      </c>
      <c r="C875">
        <v>0</v>
      </c>
      <c r="D875">
        <v>46.6</v>
      </c>
      <c r="E875">
        <v>2.7759999999999998</v>
      </c>
      <c r="F875">
        <v>189.467827</v>
      </c>
      <c r="G875">
        <v>8.9629999999999992</v>
      </c>
      <c r="N875" s="8"/>
    </row>
    <row r="876" spans="1:14" x14ac:dyDescent="0.25">
      <c r="A876" s="8">
        <v>40326</v>
      </c>
      <c r="B876">
        <v>442734.55</v>
      </c>
      <c r="C876">
        <v>0</v>
      </c>
      <c r="D876">
        <v>54.24</v>
      </c>
      <c r="E876">
        <v>2.7370000000000001</v>
      </c>
      <c r="F876">
        <v>189.44524250000001</v>
      </c>
      <c r="G876">
        <v>8.9629999999999992</v>
      </c>
      <c r="N876" s="8"/>
    </row>
    <row r="877" spans="1:14" x14ac:dyDescent="0.25">
      <c r="A877" s="8">
        <v>40333</v>
      </c>
      <c r="B877">
        <v>509183.22</v>
      </c>
      <c r="C877">
        <v>0</v>
      </c>
      <c r="D877">
        <v>53.63</v>
      </c>
      <c r="E877">
        <v>2.7</v>
      </c>
      <c r="F877">
        <v>189.42265800000001</v>
      </c>
      <c r="G877">
        <v>8.9629999999999992</v>
      </c>
      <c r="N877" s="8"/>
    </row>
    <row r="878" spans="1:14" x14ac:dyDescent="0.25">
      <c r="A878" s="8">
        <v>40340</v>
      </c>
      <c r="B878">
        <v>498580.87</v>
      </c>
      <c r="C878">
        <v>0</v>
      </c>
      <c r="D878">
        <v>63.59</v>
      </c>
      <c r="E878">
        <v>2.6840000000000002</v>
      </c>
      <c r="F878">
        <v>189.4000734</v>
      </c>
      <c r="G878">
        <v>8.9629999999999992</v>
      </c>
      <c r="N878" s="8"/>
    </row>
    <row r="879" spans="1:14" x14ac:dyDescent="0.25">
      <c r="A879" s="8">
        <v>40347</v>
      </c>
      <c r="B879">
        <v>481144.09</v>
      </c>
      <c r="C879">
        <v>0</v>
      </c>
      <c r="D879">
        <v>52.7</v>
      </c>
      <c r="E879">
        <v>2.6739999999999999</v>
      </c>
      <c r="F879">
        <v>189.41852589999999</v>
      </c>
      <c r="G879">
        <v>8.9629999999999992</v>
      </c>
      <c r="N879" s="8"/>
    </row>
    <row r="880" spans="1:14" x14ac:dyDescent="0.25">
      <c r="A880" s="8">
        <v>40354</v>
      </c>
      <c r="B880">
        <v>553714.87</v>
      </c>
      <c r="C880">
        <v>0</v>
      </c>
      <c r="D880">
        <v>59.94</v>
      </c>
      <c r="E880">
        <v>2.7149999999999999</v>
      </c>
      <c r="F880">
        <v>189.4533931</v>
      </c>
      <c r="G880">
        <v>8.9629999999999992</v>
      </c>
      <c r="N880" s="8"/>
    </row>
    <row r="881" spans="1:14" x14ac:dyDescent="0.25">
      <c r="A881" s="8">
        <v>40361</v>
      </c>
      <c r="B881">
        <v>575570.77</v>
      </c>
      <c r="C881">
        <v>0</v>
      </c>
      <c r="D881">
        <v>61.31</v>
      </c>
      <c r="E881">
        <v>2.7280000000000002</v>
      </c>
      <c r="F881">
        <v>189.48826030000001</v>
      </c>
      <c r="G881">
        <v>9.0169999999999995</v>
      </c>
      <c r="N881" s="8"/>
    </row>
    <row r="882" spans="1:14" x14ac:dyDescent="0.25">
      <c r="A882" s="8">
        <v>40368</v>
      </c>
      <c r="B882">
        <v>593462.34</v>
      </c>
      <c r="C882">
        <v>0</v>
      </c>
      <c r="D882">
        <v>58</v>
      </c>
      <c r="E882">
        <v>2.7109999999999999</v>
      </c>
      <c r="F882">
        <v>189.52312760000001</v>
      </c>
      <c r="G882">
        <v>9.0169999999999995</v>
      </c>
      <c r="N882" s="8"/>
    </row>
    <row r="883" spans="1:14" x14ac:dyDescent="0.25">
      <c r="A883" s="8">
        <v>40375</v>
      </c>
      <c r="B883">
        <v>557166.35</v>
      </c>
      <c r="C883">
        <v>0</v>
      </c>
      <c r="D883">
        <v>62.19</v>
      </c>
      <c r="E883">
        <v>2.6989999999999998</v>
      </c>
      <c r="F883">
        <v>189.6125456</v>
      </c>
      <c r="G883">
        <v>9.0169999999999995</v>
      </c>
      <c r="N883" s="8"/>
    </row>
    <row r="884" spans="1:14" x14ac:dyDescent="0.25">
      <c r="A884" s="8">
        <v>40382</v>
      </c>
      <c r="B884">
        <v>570231.21</v>
      </c>
      <c r="C884">
        <v>0</v>
      </c>
      <c r="D884">
        <v>64.64</v>
      </c>
      <c r="E884">
        <v>2.6909999999999998</v>
      </c>
      <c r="F884">
        <v>189.774698</v>
      </c>
      <c r="G884">
        <v>9.0169999999999995</v>
      </c>
      <c r="N884" s="8"/>
    </row>
    <row r="885" spans="1:14" x14ac:dyDescent="0.25">
      <c r="A885" s="8">
        <v>40389</v>
      </c>
      <c r="B885">
        <v>603547.16</v>
      </c>
      <c r="C885">
        <v>0</v>
      </c>
      <c r="D885">
        <v>66.069999999999993</v>
      </c>
      <c r="E885">
        <v>2.69</v>
      </c>
      <c r="F885">
        <v>189.9368504</v>
      </c>
      <c r="G885">
        <v>9.0169999999999995</v>
      </c>
      <c r="N885" s="8"/>
    </row>
    <row r="886" spans="1:14" x14ac:dyDescent="0.25">
      <c r="A886" s="8">
        <v>40396</v>
      </c>
      <c r="B886">
        <v>643854.17000000004</v>
      </c>
      <c r="C886">
        <v>0</v>
      </c>
      <c r="D886">
        <v>61.7</v>
      </c>
      <c r="E886">
        <v>2.69</v>
      </c>
      <c r="F886">
        <v>190.09900279999999</v>
      </c>
      <c r="G886">
        <v>9.0169999999999995</v>
      </c>
      <c r="N886" s="8"/>
    </row>
    <row r="887" spans="1:14" x14ac:dyDescent="0.25">
      <c r="A887" s="8">
        <v>40403</v>
      </c>
      <c r="B887">
        <v>598185.4</v>
      </c>
      <c r="C887">
        <v>0</v>
      </c>
      <c r="D887">
        <v>60.13</v>
      </c>
      <c r="E887">
        <v>2.7229999999999999</v>
      </c>
      <c r="F887">
        <v>190.26115519999999</v>
      </c>
      <c r="G887">
        <v>9.0169999999999995</v>
      </c>
      <c r="N887" s="8"/>
    </row>
    <row r="888" spans="1:14" x14ac:dyDescent="0.25">
      <c r="A888" s="8">
        <v>40410</v>
      </c>
      <c r="B888">
        <v>582353.17000000004</v>
      </c>
      <c r="C888">
        <v>0</v>
      </c>
      <c r="D888">
        <v>59.59</v>
      </c>
      <c r="E888">
        <v>2.7320000000000002</v>
      </c>
      <c r="F888">
        <v>190.29482369999999</v>
      </c>
      <c r="G888">
        <v>9.0169999999999995</v>
      </c>
      <c r="N888" s="8"/>
    </row>
    <row r="889" spans="1:14" x14ac:dyDescent="0.25">
      <c r="A889" s="8">
        <v>40417</v>
      </c>
      <c r="B889">
        <v>554309.24</v>
      </c>
      <c r="C889">
        <v>0</v>
      </c>
      <c r="D889">
        <v>57.57</v>
      </c>
      <c r="E889">
        <v>2.7309999999999999</v>
      </c>
      <c r="F889">
        <v>190.3284922</v>
      </c>
      <c r="G889">
        <v>9.0169999999999995</v>
      </c>
      <c r="N889" s="8"/>
    </row>
    <row r="890" spans="1:14" x14ac:dyDescent="0.25">
      <c r="A890" s="8">
        <v>40424</v>
      </c>
      <c r="B890">
        <v>532765.05000000005</v>
      </c>
      <c r="C890">
        <v>0</v>
      </c>
      <c r="D890">
        <v>49.84</v>
      </c>
      <c r="E890">
        <v>2.7730000000000001</v>
      </c>
      <c r="F890">
        <v>190.3621607</v>
      </c>
      <c r="G890">
        <v>9.0169999999999995</v>
      </c>
      <c r="N890" s="8"/>
    </row>
    <row r="891" spans="1:14" x14ac:dyDescent="0.25">
      <c r="A891" s="8">
        <v>40431</v>
      </c>
      <c r="B891">
        <v>535769.31999999995</v>
      </c>
      <c r="C891">
        <v>1</v>
      </c>
      <c r="D891">
        <v>48.5</v>
      </c>
      <c r="E891">
        <v>2.78</v>
      </c>
      <c r="F891">
        <v>190.3958293</v>
      </c>
      <c r="G891">
        <v>9.0169999999999995</v>
      </c>
      <c r="N891" s="8"/>
    </row>
    <row r="892" spans="1:14" x14ac:dyDescent="0.25">
      <c r="A892" s="8">
        <v>40438</v>
      </c>
      <c r="B892">
        <v>489408.53</v>
      </c>
      <c r="C892">
        <v>0</v>
      </c>
      <c r="D892">
        <v>48.56</v>
      </c>
      <c r="E892">
        <v>2.8</v>
      </c>
      <c r="F892">
        <v>190.46882869999999</v>
      </c>
      <c r="G892">
        <v>9.0169999999999995</v>
      </c>
      <c r="N892" s="8"/>
    </row>
    <row r="893" spans="1:14" x14ac:dyDescent="0.25">
      <c r="A893" s="8">
        <v>40445</v>
      </c>
      <c r="B893">
        <v>488008.83</v>
      </c>
      <c r="C893">
        <v>0</v>
      </c>
      <c r="D893">
        <v>47.55</v>
      </c>
      <c r="E893">
        <v>2.7930000000000001</v>
      </c>
      <c r="F893">
        <v>190.5713264</v>
      </c>
      <c r="G893">
        <v>9.0169999999999995</v>
      </c>
      <c r="N893" s="8"/>
    </row>
    <row r="894" spans="1:14" x14ac:dyDescent="0.25">
      <c r="A894" s="8">
        <v>40452</v>
      </c>
      <c r="B894">
        <v>448998.73</v>
      </c>
      <c r="C894">
        <v>0</v>
      </c>
      <c r="D894">
        <v>49.99</v>
      </c>
      <c r="E894">
        <v>2.7589999999999999</v>
      </c>
      <c r="F894">
        <v>190.67382409999999</v>
      </c>
      <c r="G894">
        <v>9.1370000000000005</v>
      </c>
      <c r="N894" s="8"/>
    </row>
    <row r="895" spans="1:14" x14ac:dyDescent="0.25">
      <c r="A895" s="8">
        <v>40459</v>
      </c>
      <c r="B895">
        <v>480239.88</v>
      </c>
      <c r="C895">
        <v>0</v>
      </c>
      <c r="D895">
        <v>44.13</v>
      </c>
      <c r="E895">
        <v>2.7450000000000001</v>
      </c>
      <c r="F895">
        <v>190.77632180000001</v>
      </c>
      <c r="G895">
        <v>9.1370000000000005</v>
      </c>
      <c r="N895" s="8"/>
    </row>
    <row r="896" spans="1:14" x14ac:dyDescent="0.25">
      <c r="A896" s="8">
        <v>40466</v>
      </c>
      <c r="B896">
        <v>463370.48</v>
      </c>
      <c r="C896">
        <v>0</v>
      </c>
      <c r="D896">
        <v>35.86</v>
      </c>
      <c r="E896">
        <v>2.762</v>
      </c>
      <c r="F896">
        <v>190.8623087</v>
      </c>
      <c r="G896">
        <v>9.1370000000000005</v>
      </c>
      <c r="N896" s="8"/>
    </row>
    <row r="897" spans="1:14" x14ac:dyDescent="0.25">
      <c r="A897" s="8">
        <v>40473</v>
      </c>
      <c r="B897">
        <v>472450.81</v>
      </c>
      <c r="C897">
        <v>0</v>
      </c>
      <c r="D897">
        <v>36.840000000000003</v>
      </c>
      <c r="E897">
        <v>2.762</v>
      </c>
      <c r="F897">
        <v>190.9070184</v>
      </c>
      <c r="G897">
        <v>9.1370000000000005</v>
      </c>
      <c r="N897" s="8"/>
    </row>
    <row r="898" spans="1:14" x14ac:dyDescent="0.25">
      <c r="A898" s="8">
        <v>40480</v>
      </c>
      <c r="B898">
        <v>465493.15</v>
      </c>
      <c r="C898">
        <v>0</v>
      </c>
      <c r="D898">
        <v>34.78</v>
      </c>
      <c r="E898">
        <v>2.7480000000000002</v>
      </c>
      <c r="F898">
        <v>190.951728</v>
      </c>
      <c r="G898">
        <v>9.1370000000000005</v>
      </c>
      <c r="N898" s="8"/>
    </row>
    <row r="899" spans="1:14" x14ac:dyDescent="0.25">
      <c r="A899" s="8">
        <v>40487</v>
      </c>
      <c r="B899">
        <v>480512.44</v>
      </c>
      <c r="C899">
        <v>0</v>
      </c>
      <c r="D899">
        <v>49.44</v>
      </c>
      <c r="E899">
        <v>2.7290000000000001</v>
      </c>
      <c r="F899">
        <v>190.9964377</v>
      </c>
      <c r="G899">
        <v>9.1370000000000005</v>
      </c>
      <c r="N899" s="8"/>
    </row>
    <row r="900" spans="1:14" x14ac:dyDescent="0.25">
      <c r="A900" s="8">
        <v>40494</v>
      </c>
      <c r="B900">
        <v>507584.29</v>
      </c>
      <c r="C900">
        <v>0</v>
      </c>
      <c r="D900">
        <v>22.12</v>
      </c>
      <c r="E900">
        <v>2.7370000000000001</v>
      </c>
      <c r="F900">
        <v>191.0411474</v>
      </c>
      <c r="G900">
        <v>9.1370000000000005</v>
      </c>
      <c r="N900" s="8"/>
    </row>
    <row r="901" spans="1:14" x14ac:dyDescent="0.25">
      <c r="A901" s="8">
        <v>40501</v>
      </c>
      <c r="B901">
        <v>482528.36</v>
      </c>
      <c r="C901">
        <v>0</v>
      </c>
      <c r="D901">
        <v>25.56</v>
      </c>
      <c r="E901">
        <v>2.758</v>
      </c>
      <c r="F901">
        <v>191.03121719999999</v>
      </c>
      <c r="G901">
        <v>9.1370000000000005</v>
      </c>
      <c r="N901" s="8"/>
    </row>
    <row r="902" spans="1:14" x14ac:dyDescent="0.25">
      <c r="A902" s="8">
        <v>40508</v>
      </c>
      <c r="B902">
        <v>835189.26</v>
      </c>
      <c r="C902">
        <v>1</v>
      </c>
      <c r="D902">
        <v>17.95</v>
      </c>
      <c r="E902">
        <v>2.742</v>
      </c>
      <c r="F902">
        <v>191.0121805</v>
      </c>
      <c r="G902">
        <v>9.1370000000000005</v>
      </c>
      <c r="N902" s="8"/>
    </row>
    <row r="903" spans="1:14" x14ac:dyDescent="0.25">
      <c r="A903" s="8">
        <v>40515</v>
      </c>
      <c r="B903">
        <v>552811.62</v>
      </c>
      <c r="C903">
        <v>0</v>
      </c>
      <c r="D903">
        <v>21.88</v>
      </c>
      <c r="E903">
        <v>2.7120000000000002</v>
      </c>
      <c r="F903">
        <v>190.99314369999999</v>
      </c>
      <c r="G903">
        <v>9.1370000000000005</v>
      </c>
      <c r="N903" s="8"/>
    </row>
    <row r="904" spans="1:14" x14ac:dyDescent="0.25">
      <c r="A904" s="8">
        <v>40522</v>
      </c>
      <c r="B904">
        <v>599730.06999999995</v>
      </c>
      <c r="C904">
        <v>0</v>
      </c>
      <c r="D904">
        <v>24.24</v>
      </c>
      <c r="E904">
        <v>2.7280000000000002</v>
      </c>
      <c r="F904">
        <v>190.97410690000001</v>
      </c>
      <c r="G904">
        <v>9.1370000000000005</v>
      </c>
      <c r="N904" s="8"/>
    </row>
    <row r="905" spans="1:14" x14ac:dyDescent="0.25">
      <c r="A905" s="8">
        <v>40529</v>
      </c>
      <c r="B905">
        <v>716388.81</v>
      </c>
      <c r="C905">
        <v>0</v>
      </c>
      <c r="D905">
        <v>20.74</v>
      </c>
      <c r="E905">
        <v>2.778</v>
      </c>
      <c r="F905">
        <v>191.0303376</v>
      </c>
      <c r="G905">
        <v>9.1370000000000005</v>
      </c>
      <c r="N905" s="8"/>
    </row>
    <row r="906" spans="1:14" x14ac:dyDescent="0.25">
      <c r="A906" s="8">
        <v>40536</v>
      </c>
      <c r="B906">
        <v>1045124.88</v>
      </c>
      <c r="C906">
        <v>0</v>
      </c>
      <c r="D906">
        <v>26.04</v>
      </c>
      <c r="E906">
        <v>2.7810000000000001</v>
      </c>
      <c r="F906">
        <v>191.14301889999999</v>
      </c>
      <c r="G906">
        <v>9.1370000000000005</v>
      </c>
      <c r="N906" s="8"/>
    </row>
    <row r="907" spans="1:14" x14ac:dyDescent="0.25">
      <c r="A907" s="8">
        <v>40543</v>
      </c>
      <c r="B907">
        <v>729572.08</v>
      </c>
      <c r="C907">
        <v>1</v>
      </c>
      <c r="D907">
        <v>13.76</v>
      </c>
      <c r="E907">
        <v>2.8290000000000002</v>
      </c>
      <c r="F907">
        <v>191.25570020000001</v>
      </c>
      <c r="G907">
        <v>9.1370000000000005</v>
      </c>
      <c r="N907" s="8"/>
    </row>
    <row r="908" spans="1:14" x14ac:dyDescent="0.25">
      <c r="A908" s="8">
        <v>40550</v>
      </c>
      <c r="B908">
        <v>661163.93999999994</v>
      </c>
      <c r="C908">
        <v>0</v>
      </c>
      <c r="D908">
        <v>10.09</v>
      </c>
      <c r="E908">
        <v>2.8820000000000001</v>
      </c>
      <c r="F908">
        <v>191.3683815</v>
      </c>
      <c r="G908">
        <v>8.8179999999999996</v>
      </c>
      <c r="N908" s="8"/>
    </row>
    <row r="909" spans="1:14" x14ac:dyDescent="0.25">
      <c r="A909" s="8">
        <v>40557</v>
      </c>
      <c r="B909">
        <v>547384.9</v>
      </c>
      <c r="C909">
        <v>0</v>
      </c>
      <c r="D909">
        <v>11.32</v>
      </c>
      <c r="E909">
        <v>2.911</v>
      </c>
      <c r="F909">
        <v>191.47849389999999</v>
      </c>
      <c r="G909">
        <v>8.8179999999999996</v>
      </c>
      <c r="N909" s="8"/>
    </row>
    <row r="910" spans="1:14" x14ac:dyDescent="0.25">
      <c r="A910" s="8">
        <v>40564</v>
      </c>
      <c r="B910">
        <v>521539.46</v>
      </c>
      <c r="C910">
        <v>0</v>
      </c>
      <c r="D910">
        <v>25.4</v>
      </c>
      <c r="E910">
        <v>2.9729999999999999</v>
      </c>
      <c r="F910">
        <v>191.57319240000001</v>
      </c>
      <c r="G910">
        <v>8.8179999999999996</v>
      </c>
      <c r="N910" s="8"/>
    </row>
    <row r="911" spans="1:14" x14ac:dyDescent="0.25">
      <c r="A911" s="8">
        <v>40571</v>
      </c>
      <c r="B911">
        <v>513372.17</v>
      </c>
      <c r="C911">
        <v>0</v>
      </c>
      <c r="D911">
        <v>10.11</v>
      </c>
      <c r="E911">
        <v>3.008</v>
      </c>
      <c r="F911">
        <v>191.667891</v>
      </c>
      <c r="G911">
        <v>8.8179999999999996</v>
      </c>
      <c r="N911" s="8"/>
    </row>
    <row r="912" spans="1:14" x14ac:dyDescent="0.25">
      <c r="A912" s="8">
        <v>40578</v>
      </c>
      <c r="B912">
        <v>558027.77</v>
      </c>
      <c r="C912">
        <v>0</v>
      </c>
      <c r="D912">
        <v>-2.06</v>
      </c>
      <c r="E912">
        <v>3.0110000000000001</v>
      </c>
      <c r="F912">
        <v>191.76258949999999</v>
      </c>
      <c r="G912">
        <v>8.8179999999999996</v>
      </c>
      <c r="N912" s="8"/>
    </row>
    <row r="913" spans="1:14" x14ac:dyDescent="0.25">
      <c r="A913" s="8">
        <v>40585</v>
      </c>
      <c r="B913">
        <v>559903.13</v>
      </c>
      <c r="C913">
        <v>1</v>
      </c>
      <c r="D913">
        <v>10.24</v>
      </c>
      <c r="E913">
        <v>3.0369999999999999</v>
      </c>
      <c r="F913">
        <v>191.85728810000001</v>
      </c>
      <c r="G913">
        <v>8.8179999999999996</v>
      </c>
      <c r="N913" s="8"/>
    </row>
    <row r="914" spans="1:14" x14ac:dyDescent="0.25">
      <c r="A914" s="8">
        <v>40592</v>
      </c>
      <c r="B914">
        <v>572387.47</v>
      </c>
      <c r="C914">
        <v>0</v>
      </c>
      <c r="D914">
        <v>17.3</v>
      </c>
      <c r="E914">
        <v>3.0510000000000002</v>
      </c>
      <c r="F914">
        <v>191.9178331</v>
      </c>
      <c r="G914">
        <v>8.8179999999999996</v>
      </c>
      <c r="N914" s="8"/>
    </row>
    <row r="915" spans="1:14" x14ac:dyDescent="0.25">
      <c r="A915" s="8">
        <v>40599</v>
      </c>
      <c r="B915">
        <v>546690.84</v>
      </c>
      <c r="C915">
        <v>0</v>
      </c>
      <c r="D915">
        <v>17.46</v>
      </c>
      <c r="E915">
        <v>3.101</v>
      </c>
      <c r="F915">
        <v>191.9647167</v>
      </c>
      <c r="G915">
        <v>8.8179999999999996</v>
      </c>
      <c r="N915" s="8"/>
    </row>
    <row r="916" spans="1:14" x14ac:dyDescent="0.25">
      <c r="A916" s="8">
        <v>40606</v>
      </c>
      <c r="B916">
        <v>551378.39</v>
      </c>
      <c r="C916">
        <v>0</v>
      </c>
      <c r="D916">
        <v>21.84</v>
      </c>
      <c r="E916">
        <v>3.2320000000000002</v>
      </c>
      <c r="F916">
        <v>192.01160039999999</v>
      </c>
      <c r="G916">
        <v>8.8179999999999996</v>
      </c>
      <c r="N916" s="8"/>
    </row>
    <row r="917" spans="1:14" x14ac:dyDescent="0.25">
      <c r="A917" s="8">
        <v>40613</v>
      </c>
      <c r="B917">
        <v>558963.82999999996</v>
      </c>
      <c r="C917">
        <v>0</v>
      </c>
      <c r="D917">
        <v>20.7</v>
      </c>
      <c r="E917">
        <v>3.3719999999999999</v>
      </c>
      <c r="F917">
        <v>192.05848399999999</v>
      </c>
      <c r="G917">
        <v>8.8179999999999996</v>
      </c>
      <c r="N917" s="8"/>
    </row>
    <row r="918" spans="1:14" x14ac:dyDescent="0.25">
      <c r="A918" s="8">
        <v>40620</v>
      </c>
      <c r="B918">
        <v>635014.68999999994</v>
      </c>
      <c r="C918">
        <v>0</v>
      </c>
      <c r="D918">
        <v>27.69</v>
      </c>
      <c r="E918">
        <v>3.4060000000000001</v>
      </c>
      <c r="F918">
        <v>192.12379809999999</v>
      </c>
      <c r="G918">
        <v>8.8179999999999996</v>
      </c>
      <c r="N918" s="8"/>
    </row>
    <row r="919" spans="1:14" x14ac:dyDescent="0.25">
      <c r="A919" s="8">
        <v>40627</v>
      </c>
      <c r="B919">
        <v>559061.57999999996</v>
      </c>
      <c r="C919">
        <v>0</v>
      </c>
      <c r="D919">
        <v>25.69</v>
      </c>
      <c r="E919">
        <v>3.4140000000000001</v>
      </c>
      <c r="F919">
        <v>192.1964844</v>
      </c>
      <c r="G919">
        <v>8.8179999999999996</v>
      </c>
      <c r="N919" s="8"/>
    </row>
    <row r="920" spans="1:14" x14ac:dyDescent="0.25">
      <c r="A920" s="8">
        <v>40634</v>
      </c>
      <c r="B920">
        <v>513409.67</v>
      </c>
      <c r="C920">
        <v>0</v>
      </c>
      <c r="D920">
        <v>24.83</v>
      </c>
      <c r="E920">
        <v>3.4609999999999999</v>
      </c>
      <c r="F920">
        <v>192.26917069999999</v>
      </c>
      <c r="G920">
        <v>8.5950000000000006</v>
      </c>
      <c r="N920" s="8"/>
    </row>
    <row r="921" spans="1:14" x14ac:dyDescent="0.25">
      <c r="A921" s="8">
        <v>40641</v>
      </c>
      <c r="B921">
        <v>500552.16</v>
      </c>
      <c r="C921">
        <v>0</v>
      </c>
      <c r="D921">
        <v>30.64</v>
      </c>
      <c r="E921">
        <v>3.532</v>
      </c>
      <c r="F921">
        <v>192.3418571</v>
      </c>
      <c r="G921">
        <v>8.5950000000000006</v>
      </c>
      <c r="N921" s="8"/>
    </row>
    <row r="922" spans="1:14" x14ac:dyDescent="0.25">
      <c r="A922" s="8">
        <v>40648</v>
      </c>
      <c r="B922">
        <v>423380.14</v>
      </c>
      <c r="C922">
        <v>0</v>
      </c>
      <c r="D922">
        <v>27.79</v>
      </c>
      <c r="E922">
        <v>3.6110000000000002</v>
      </c>
      <c r="F922">
        <v>192.42259540000001</v>
      </c>
      <c r="G922">
        <v>8.5950000000000006</v>
      </c>
      <c r="N922" s="8"/>
    </row>
    <row r="923" spans="1:14" x14ac:dyDescent="0.25">
      <c r="A923" s="8">
        <v>40655</v>
      </c>
      <c r="B923">
        <v>466594.89</v>
      </c>
      <c r="C923">
        <v>0</v>
      </c>
      <c r="D923">
        <v>31.84</v>
      </c>
      <c r="E923">
        <v>3.6360000000000001</v>
      </c>
      <c r="F923">
        <v>192.5234638</v>
      </c>
      <c r="G923">
        <v>8.5950000000000006</v>
      </c>
      <c r="N923" s="8"/>
    </row>
    <row r="924" spans="1:14" x14ac:dyDescent="0.25">
      <c r="A924" s="8">
        <v>40662</v>
      </c>
      <c r="B924">
        <v>410429.73</v>
      </c>
      <c r="C924">
        <v>0</v>
      </c>
      <c r="D924">
        <v>26.79</v>
      </c>
      <c r="E924">
        <v>3.6629999999999998</v>
      </c>
      <c r="F924">
        <v>192.6243322</v>
      </c>
      <c r="G924">
        <v>8.5950000000000006</v>
      </c>
      <c r="N924" s="8"/>
    </row>
    <row r="925" spans="1:14" x14ac:dyDescent="0.25">
      <c r="A925" s="8">
        <v>40669</v>
      </c>
      <c r="B925">
        <v>407012.47</v>
      </c>
      <c r="C925">
        <v>0</v>
      </c>
      <c r="D925">
        <v>26.54</v>
      </c>
      <c r="E925">
        <v>3.7349999999999999</v>
      </c>
      <c r="F925">
        <v>192.72520059999999</v>
      </c>
      <c r="G925">
        <v>8.5950000000000006</v>
      </c>
      <c r="N925" s="8"/>
    </row>
    <row r="926" spans="1:14" x14ac:dyDescent="0.25">
      <c r="A926" s="8">
        <v>40676</v>
      </c>
      <c r="B926">
        <v>414094.05</v>
      </c>
      <c r="C926">
        <v>0</v>
      </c>
      <c r="D926">
        <v>36.61</v>
      </c>
      <c r="E926">
        <v>3.7669999999999999</v>
      </c>
      <c r="F926">
        <v>192.82606899999999</v>
      </c>
      <c r="G926">
        <v>8.5950000000000006</v>
      </c>
      <c r="N926" s="8"/>
    </row>
    <row r="927" spans="1:14" x14ac:dyDescent="0.25">
      <c r="A927" s="8">
        <v>40683</v>
      </c>
      <c r="B927">
        <v>424670.98</v>
      </c>
      <c r="C927">
        <v>0</v>
      </c>
      <c r="D927">
        <v>36.159999999999997</v>
      </c>
      <c r="E927">
        <v>3.8279999999999998</v>
      </c>
      <c r="F927">
        <v>192.83131700000001</v>
      </c>
      <c r="G927">
        <v>8.5950000000000006</v>
      </c>
      <c r="N927" s="8"/>
    </row>
    <row r="928" spans="1:14" x14ac:dyDescent="0.25">
      <c r="A928" s="8">
        <v>40690</v>
      </c>
      <c r="B928">
        <v>457216.87</v>
      </c>
      <c r="C928">
        <v>0</v>
      </c>
      <c r="D928">
        <v>37.51</v>
      </c>
      <c r="E928">
        <v>3.7949999999999999</v>
      </c>
      <c r="F928">
        <v>192.8365651</v>
      </c>
      <c r="G928">
        <v>8.5950000000000006</v>
      </c>
      <c r="N928" s="8"/>
    </row>
    <row r="929" spans="1:14" x14ac:dyDescent="0.25">
      <c r="A929" s="8">
        <v>40697</v>
      </c>
      <c r="B929">
        <v>542295.37</v>
      </c>
      <c r="C929">
        <v>0</v>
      </c>
      <c r="D929">
        <v>45.77</v>
      </c>
      <c r="E929">
        <v>3.7629999999999999</v>
      </c>
      <c r="F929">
        <v>192.8418131</v>
      </c>
      <c r="G929">
        <v>8.5950000000000006</v>
      </c>
      <c r="N929" s="8"/>
    </row>
    <row r="930" spans="1:14" x14ac:dyDescent="0.25">
      <c r="A930" s="8">
        <v>40704</v>
      </c>
      <c r="B930">
        <v>621099.94999999995</v>
      </c>
      <c r="C930">
        <v>0</v>
      </c>
      <c r="D930">
        <v>53.3</v>
      </c>
      <c r="E930">
        <v>3.7349999999999999</v>
      </c>
      <c r="F930">
        <v>192.84706120000001</v>
      </c>
      <c r="G930">
        <v>8.5950000000000006</v>
      </c>
      <c r="N930" s="8"/>
    </row>
    <row r="931" spans="1:14" x14ac:dyDescent="0.25">
      <c r="A931" s="8">
        <v>40711</v>
      </c>
      <c r="B931">
        <v>610991.35</v>
      </c>
      <c r="C931">
        <v>0</v>
      </c>
      <c r="D931">
        <v>48.79</v>
      </c>
      <c r="E931">
        <v>3.6970000000000001</v>
      </c>
      <c r="F931">
        <v>192.90347589999999</v>
      </c>
      <c r="G931">
        <v>8.5950000000000006</v>
      </c>
      <c r="N931" s="8"/>
    </row>
    <row r="932" spans="1:14" x14ac:dyDescent="0.25">
      <c r="A932" s="8">
        <v>40718</v>
      </c>
      <c r="B932">
        <v>640043.97</v>
      </c>
      <c r="C932">
        <v>0</v>
      </c>
      <c r="D932">
        <v>46.85</v>
      </c>
      <c r="E932">
        <v>3.661</v>
      </c>
      <c r="F932">
        <v>192.9982655</v>
      </c>
      <c r="G932">
        <v>8.5950000000000006</v>
      </c>
      <c r="N932" s="8"/>
    </row>
    <row r="933" spans="1:14" x14ac:dyDescent="0.25">
      <c r="A933" s="8">
        <v>40725</v>
      </c>
      <c r="B933">
        <v>704344.21</v>
      </c>
      <c r="C933">
        <v>0</v>
      </c>
      <c r="D933">
        <v>58.54</v>
      </c>
      <c r="E933">
        <v>3.597</v>
      </c>
      <c r="F933">
        <v>193.09305520000001</v>
      </c>
      <c r="G933">
        <v>8.6219999999999999</v>
      </c>
      <c r="N933" s="8"/>
    </row>
    <row r="934" spans="1:14" x14ac:dyDescent="0.25">
      <c r="A934" s="8">
        <v>40732</v>
      </c>
      <c r="B934">
        <v>761793.94</v>
      </c>
      <c r="C934">
        <v>0</v>
      </c>
      <c r="D934">
        <v>59.08</v>
      </c>
      <c r="E934">
        <v>3.54</v>
      </c>
      <c r="F934">
        <v>193.18784479999999</v>
      </c>
      <c r="G934">
        <v>8.6219999999999999</v>
      </c>
      <c r="N934" s="8"/>
    </row>
    <row r="935" spans="1:14" x14ac:dyDescent="0.25">
      <c r="A935" s="8">
        <v>40739</v>
      </c>
      <c r="B935">
        <v>642748.21</v>
      </c>
      <c r="C935">
        <v>0</v>
      </c>
      <c r="D935">
        <v>54.37</v>
      </c>
      <c r="E935">
        <v>3.532</v>
      </c>
      <c r="F935">
        <v>193.3125484</v>
      </c>
      <c r="G935">
        <v>8.6219999999999999</v>
      </c>
      <c r="N935" s="8"/>
    </row>
    <row r="936" spans="1:14" x14ac:dyDescent="0.25">
      <c r="A936" s="8">
        <v>40746</v>
      </c>
      <c r="B936">
        <v>688043.96</v>
      </c>
      <c r="C936">
        <v>0</v>
      </c>
      <c r="D936">
        <v>56.22</v>
      </c>
      <c r="E936">
        <v>3.5449999999999999</v>
      </c>
      <c r="F936">
        <v>193.51203670000001</v>
      </c>
      <c r="G936">
        <v>8.6219999999999999</v>
      </c>
      <c r="N936" s="8"/>
    </row>
    <row r="937" spans="1:14" x14ac:dyDescent="0.25">
      <c r="A937" s="8">
        <v>40753</v>
      </c>
      <c r="B937">
        <v>653382.62</v>
      </c>
      <c r="C937">
        <v>0</v>
      </c>
      <c r="D937">
        <v>56.66</v>
      </c>
      <c r="E937">
        <v>3.5470000000000002</v>
      </c>
      <c r="F937">
        <v>193.71152499999999</v>
      </c>
      <c r="G937">
        <v>8.6219999999999999</v>
      </c>
      <c r="N937" s="8"/>
    </row>
    <row r="938" spans="1:14" x14ac:dyDescent="0.25">
      <c r="A938" s="8">
        <v>40760</v>
      </c>
      <c r="B938">
        <v>695392.84</v>
      </c>
      <c r="C938">
        <v>0</v>
      </c>
      <c r="D938">
        <v>55.91</v>
      </c>
      <c r="E938">
        <v>3.5539999999999998</v>
      </c>
      <c r="F938">
        <v>193.91101330000001</v>
      </c>
      <c r="G938">
        <v>8.6219999999999999</v>
      </c>
      <c r="N938" s="8"/>
    </row>
    <row r="939" spans="1:14" x14ac:dyDescent="0.25">
      <c r="A939" s="8">
        <v>40767</v>
      </c>
      <c r="B939">
        <v>670670.46</v>
      </c>
      <c r="C939">
        <v>0</v>
      </c>
      <c r="D939">
        <v>54.56</v>
      </c>
      <c r="E939">
        <v>3.5419999999999998</v>
      </c>
      <c r="F939">
        <v>194.11050169999999</v>
      </c>
      <c r="G939">
        <v>8.6219999999999999</v>
      </c>
      <c r="N939" s="8"/>
    </row>
    <row r="940" spans="1:14" x14ac:dyDescent="0.25">
      <c r="A940" s="8">
        <v>40774</v>
      </c>
      <c r="B940">
        <v>645156.21</v>
      </c>
      <c r="C940">
        <v>0</v>
      </c>
      <c r="D940">
        <v>56.06</v>
      </c>
      <c r="E940">
        <v>3.4990000000000001</v>
      </c>
      <c r="F940">
        <v>194.25006339999999</v>
      </c>
      <c r="G940">
        <v>8.6219999999999999</v>
      </c>
      <c r="N940" s="8"/>
    </row>
    <row r="941" spans="1:14" x14ac:dyDescent="0.25">
      <c r="A941" s="8">
        <v>40781</v>
      </c>
      <c r="B941">
        <v>629994.47</v>
      </c>
      <c r="C941">
        <v>0</v>
      </c>
      <c r="D941">
        <v>57.6</v>
      </c>
      <c r="E941">
        <v>3.4849999999999999</v>
      </c>
      <c r="F941">
        <v>194.37963740000001</v>
      </c>
      <c r="G941">
        <v>8.6219999999999999</v>
      </c>
      <c r="N941" s="8"/>
    </row>
    <row r="942" spans="1:14" x14ac:dyDescent="0.25">
      <c r="A942" s="8">
        <v>40788</v>
      </c>
      <c r="B942">
        <v>592355.24</v>
      </c>
      <c r="C942">
        <v>0</v>
      </c>
      <c r="D942">
        <v>53.4</v>
      </c>
      <c r="E942">
        <v>3.5110000000000001</v>
      </c>
      <c r="F942">
        <v>194.5092113</v>
      </c>
      <c r="G942">
        <v>8.6219999999999999</v>
      </c>
      <c r="N942" s="8"/>
    </row>
    <row r="943" spans="1:14" x14ac:dyDescent="0.25">
      <c r="A943" s="8">
        <v>40795</v>
      </c>
      <c r="B943">
        <v>613135.23</v>
      </c>
      <c r="C943">
        <v>1</v>
      </c>
      <c r="D943">
        <v>45.61</v>
      </c>
      <c r="E943">
        <v>3.5659999999999998</v>
      </c>
      <c r="F943">
        <v>194.6387853</v>
      </c>
      <c r="G943">
        <v>8.6219999999999999</v>
      </c>
      <c r="N943" s="8"/>
    </row>
    <row r="944" spans="1:14" x14ac:dyDescent="0.25">
      <c r="A944" s="8">
        <v>40802</v>
      </c>
      <c r="B944">
        <v>558981.44999999995</v>
      </c>
      <c r="C944">
        <v>0</v>
      </c>
      <c r="D944">
        <v>43.67</v>
      </c>
      <c r="E944">
        <v>3.5960000000000001</v>
      </c>
      <c r="F944">
        <v>194.7419707</v>
      </c>
      <c r="G944">
        <v>8.6219999999999999</v>
      </c>
      <c r="N944" s="8"/>
    </row>
    <row r="945" spans="1:14" x14ac:dyDescent="0.25">
      <c r="A945" s="8">
        <v>40809</v>
      </c>
      <c r="B945">
        <v>536144.81000000006</v>
      </c>
      <c r="C945">
        <v>0</v>
      </c>
      <c r="D945">
        <v>43.67</v>
      </c>
      <c r="E945">
        <v>3.581</v>
      </c>
      <c r="F945">
        <v>194.8099713</v>
      </c>
      <c r="G945">
        <v>8.6219999999999999</v>
      </c>
      <c r="N945" s="8"/>
    </row>
    <row r="946" spans="1:14" x14ac:dyDescent="0.25">
      <c r="A946" s="8">
        <v>40816</v>
      </c>
      <c r="B946">
        <v>488880.26</v>
      </c>
      <c r="C946">
        <v>0</v>
      </c>
      <c r="D946">
        <v>47.34</v>
      </c>
      <c r="E946">
        <v>3.5379999999999998</v>
      </c>
      <c r="F946">
        <v>194.87797180000001</v>
      </c>
      <c r="G946">
        <v>8.6219999999999999</v>
      </c>
      <c r="N946" s="8"/>
    </row>
    <row r="947" spans="1:14" x14ac:dyDescent="0.25">
      <c r="A947" s="8">
        <v>40823</v>
      </c>
      <c r="B947">
        <v>525866.36</v>
      </c>
      <c r="C947">
        <v>0</v>
      </c>
      <c r="D947">
        <v>40.65</v>
      </c>
      <c r="E947">
        <v>3.4980000000000002</v>
      </c>
      <c r="F947">
        <v>194.94597239999999</v>
      </c>
      <c r="G947">
        <v>8.5129999999999999</v>
      </c>
      <c r="N947" s="8"/>
    </row>
    <row r="948" spans="1:14" x14ac:dyDescent="0.25">
      <c r="A948" s="8">
        <v>40830</v>
      </c>
      <c r="B948">
        <v>501959.19</v>
      </c>
      <c r="C948">
        <v>0</v>
      </c>
      <c r="D948">
        <v>32.65</v>
      </c>
      <c r="E948">
        <v>3.4910000000000001</v>
      </c>
      <c r="F948">
        <v>195.0261012</v>
      </c>
      <c r="G948">
        <v>8.5129999999999999</v>
      </c>
      <c r="N948" s="8"/>
    </row>
    <row r="949" spans="1:14" x14ac:dyDescent="0.25">
      <c r="A949" s="8">
        <v>40837</v>
      </c>
      <c r="B949">
        <v>558691.43000000005</v>
      </c>
      <c r="C949">
        <v>0</v>
      </c>
      <c r="D949">
        <v>37.49</v>
      </c>
      <c r="E949">
        <v>3.548</v>
      </c>
      <c r="F949">
        <v>195.17899940000001</v>
      </c>
      <c r="G949">
        <v>8.5129999999999999</v>
      </c>
      <c r="N949" s="8"/>
    </row>
    <row r="950" spans="1:14" x14ac:dyDescent="0.25">
      <c r="A950" s="8">
        <v>40844</v>
      </c>
      <c r="B950">
        <v>527339.52000000002</v>
      </c>
      <c r="C950">
        <v>0</v>
      </c>
      <c r="D950">
        <v>28.82</v>
      </c>
      <c r="E950">
        <v>3.55</v>
      </c>
      <c r="F950">
        <v>195.33189770000001</v>
      </c>
      <c r="G950">
        <v>8.5129999999999999</v>
      </c>
      <c r="N950" s="8"/>
    </row>
    <row r="951" spans="1:14" x14ac:dyDescent="0.25">
      <c r="A951" s="8">
        <v>40851</v>
      </c>
      <c r="B951">
        <v>564536.01</v>
      </c>
      <c r="C951">
        <v>0</v>
      </c>
      <c r="D951">
        <v>23.41</v>
      </c>
      <c r="E951">
        <v>3.5270000000000001</v>
      </c>
      <c r="F951">
        <v>195.48479589999999</v>
      </c>
      <c r="G951">
        <v>8.5129999999999999</v>
      </c>
      <c r="N951" s="8"/>
    </row>
    <row r="952" spans="1:14" x14ac:dyDescent="0.25">
      <c r="A952" s="8">
        <v>40858</v>
      </c>
      <c r="B952">
        <v>556015.59</v>
      </c>
      <c r="C952">
        <v>0</v>
      </c>
      <c r="D952">
        <v>19.53</v>
      </c>
      <c r="E952">
        <v>3.5049999999999999</v>
      </c>
      <c r="F952">
        <v>195.6376941</v>
      </c>
      <c r="G952">
        <v>8.5129999999999999</v>
      </c>
      <c r="N952" s="8"/>
    </row>
    <row r="953" spans="1:14" x14ac:dyDescent="0.25">
      <c r="A953" s="8">
        <v>40865</v>
      </c>
      <c r="B953">
        <v>539826.56000000006</v>
      </c>
      <c r="C953">
        <v>0</v>
      </c>
      <c r="D953">
        <v>29.53</v>
      </c>
      <c r="E953">
        <v>3.4790000000000001</v>
      </c>
      <c r="F953">
        <v>195.7184713</v>
      </c>
      <c r="G953">
        <v>8.5129999999999999</v>
      </c>
      <c r="N953" s="8"/>
    </row>
    <row r="954" spans="1:14" x14ac:dyDescent="0.25">
      <c r="A954" s="8">
        <v>40872</v>
      </c>
      <c r="B954">
        <v>949075.87</v>
      </c>
      <c r="C954">
        <v>1</v>
      </c>
      <c r="D954">
        <v>27.6</v>
      </c>
      <c r="E954">
        <v>3.4239999999999999</v>
      </c>
      <c r="F954">
        <v>195.7704</v>
      </c>
      <c r="G954">
        <v>8.5129999999999999</v>
      </c>
      <c r="N954" s="8"/>
    </row>
    <row r="955" spans="1:14" x14ac:dyDescent="0.25">
      <c r="A955" s="8">
        <v>40879</v>
      </c>
      <c r="B955">
        <v>591907.88</v>
      </c>
      <c r="C955">
        <v>0</v>
      </c>
      <c r="D955">
        <v>20.38</v>
      </c>
      <c r="E955">
        <v>3.3780000000000001</v>
      </c>
      <c r="F955">
        <v>195.82232870000001</v>
      </c>
      <c r="G955">
        <v>8.5129999999999999</v>
      </c>
      <c r="N955" s="8"/>
    </row>
    <row r="956" spans="1:14" x14ac:dyDescent="0.25">
      <c r="A956" s="8">
        <v>40886</v>
      </c>
      <c r="B956">
        <v>653845.44999999995</v>
      </c>
      <c r="C956">
        <v>0</v>
      </c>
      <c r="D956">
        <v>11.17</v>
      </c>
      <c r="E956">
        <v>3.331</v>
      </c>
      <c r="F956">
        <v>195.8742575</v>
      </c>
      <c r="G956">
        <v>8.5129999999999999</v>
      </c>
      <c r="N956" s="8"/>
    </row>
    <row r="957" spans="1:14" x14ac:dyDescent="0.25">
      <c r="A957" s="8">
        <v>40893</v>
      </c>
      <c r="B957">
        <v>720242.19</v>
      </c>
      <c r="C957">
        <v>0</v>
      </c>
      <c r="D957">
        <v>15.2</v>
      </c>
      <c r="E957">
        <v>3.266</v>
      </c>
      <c r="F957">
        <v>195.98416850000001</v>
      </c>
      <c r="G957">
        <v>8.5129999999999999</v>
      </c>
      <c r="N957" s="8"/>
    </row>
    <row r="958" spans="1:14" x14ac:dyDescent="0.25">
      <c r="A958" s="8">
        <v>40900</v>
      </c>
      <c r="B958">
        <v>1059715.27</v>
      </c>
      <c r="C958">
        <v>0</v>
      </c>
      <c r="D958">
        <v>12.19</v>
      </c>
      <c r="E958">
        <v>3.173</v>
      </c>
      <c r="F958">
        <v>196.17138929999999</v>
      </c>
      <c r="G958">
        <v>8.5129999999999999</v>
      </c>
      <c r="N958" s="8"/>
    </row>
    <row r="959" spans="1:14" x14ac:dyDescent="0.25">
      <c r="A959" s="8">
        <v>40907</v>
      </c>
      <c r="B959">
        <v>815915.52000000002</v>
      </c>
      <c r="C959">
        <v>1</v>
      </c>
      <c r="D959">
        <v>15.56</v>
      </c>
      <c r="E959">
        <v>3.1190000000000002</v>
      </c>
      <c r="F959">
        <v>196.35861009999999</v>
      </c>
      <c r="G959">
        <v>8.5129999999999999</v>
      </c>
      <c r="N959" s="8"/>
    </row>
    <row r="960" spans="1:14" x14ac:dyDescent="0.25">
      <c r="A960" s="8">
        <v>40914</v>
      </c>
      <c r="B960">
        <v>713117.66</v>
      </c>
      <c r="C960">
        <v>0</v>
      </c>
      <c r="D960">
        <v>18.670000000000002</v>
      </c>
      <c r="E960">
        <v>3.0950000000000002</v>
      </c>
      <c r="F960">
        <v>196.5458309</v>
      </c>
      <c r="G960">
        <v>8.2560000000000002</v>
      </c>
      <c r="N960" s="8"/>
    </row>
    <row r="961" spans="1:14" x14ac:dyDescent="0.25">
      <c r="A961" s="8">
        <v>40921</v>
      </c>
      <c r="B961">
        <v>593875.46</v>
      </c>
      <c r="C961">
        <v>0</v>
      </c>
      <c r="D961">
        <v>7.46</v>
      </c>
      <c r="E961">
        <v>3.077</v>
      </c>
      <c r="F961">
        <v>196.7330517</v>
      </c>
      <c r="G961">
        <v>8.2560000000000002</v>
      </c>
      <c r="N961" s="8"/>
    </row>
    <row r="962" spans="1:14" x14ac:dyDescent="0.25">
      <c r="A962" s="8">
        <v>40928</v>
      </c>
      <c r="B962">
        <v>578002.85</v>
      </c>
      <c r="C962">
        <v>0</v>
      </c>
      <c r="D962">
        <v>27.41</v>
      </c>
      <c r="E962">
        <v>3.0550000000000002</v>
      </c>
      <c r="F962">
        <v>196.77966520000001</v>
      </c>
      <c r="G962">
        <v>8.2560000000000002</v>
      </c>
      <c r="N962" s="8"/>
    </row>
    <row r="963" spans="1:14" x14ac:dyDescent="0.25">
      <c r="A963" s="8">
        <v>40935</v>
      </c>
      <c r="B963">
        <v>541037.98</v>
      </c>
      <c r="C963">
        <v>0</v>
      </c>
      <c r="D963">
        <v>26.9</v>
      </c>
      <c r="E963">
        <v>3.0379999999999998</v>
      </c>
      <c r="F963">
        <v>196.82627859999999</v>
      </c>
      <c r="G963">
        <v>8.2560000000000002</v>
      </c>
      <c r="N963" s="8"/>
    </row>
    <row r="964" spans="1:14" x14ac:dyDescent="0.25">
      <c r="A964" s="8">
        <v>40942</v>
      </c>
      <c r="B964">
        <v>580453.31999999995</v>
      </c>
      <c r="C964">
        <v>0</v>
      </c>
      <c r="D964">
        <v>22.2</v>
      </c>
      <c r="E964">
        <v>3.0310000000000001</v>
      </c>
      <c r="F964">
        <v>196.8728921</v>
      </c>
      <c r="G964">
        <v>8.2560000000000002</v>
      </c>
      <c r="N964" s="8"/>
    </row>
    <row r="965" spans="1:14" x14ac:dyDescent="0.25">
      <c r="A965" s="8">
        <v>40949</v>
      </c>
      <c r="B965">
        <v>563460.77</v>
      </c>
      <c r="C965">
        <v>1</v>
      </c>
      <c r="D965">
        <v>18.79</v>
      </c>
      <c r="E965">
        <v>3.1030000000000002</v>
      </c>
      <c r="F965">
        <v>196.91950560000001</v>
      </c>
      <c r="G965">
        <v>8.2560000000000002</v>
      </c>
      <c r="N965" s="8"/>
    </row>
    <row r="966" spans="1:14" x14ac:dyDescent="0.25">
      <c r="A966" s="8">
        <v>40956</v>
      </c>
      <c r="B966">
        <v>620908.18000000005</v>
      </c>
      <c r="C966">
        <v>0</v>
      </c>
      <c r="D966">
        <v>27.03</v>
      </c>
      <c r="E966">
        <v>3.113</v>
      </c>
      <c r="F966">
        <v>196.9432711</v>
      </c>
      <c r="G966">
        <v>8.2560000000000002</v>
      </c>
      <c r="N966" s="8"/>
    </row>
    <row r="967" spans="1:14" x14ac:dyDescent="0.25">
      <c r="A967" s="8">
        <v>40963</v>
      </c>
      <c r="B967">
        <v>603041.14</v>
      </c>
      <c r="C967">
        <v>0</v>
      </c>
      <c r="D967">
        <v>24.41</v>
      </c>
      <c r="E967">
        <v>3.129</v>
      </c>
      <c r="F967">
        <v>196.9499007</v>
      </c>
      <c r="G967">
        <v>8.2560000000000002</v>
      </c>
      <c r="N967" s="8"/>
    </row>
    <row r="968" spans="1:14" x14ac:dyDescent="0.25">
      <c r="A968" s="8">
        <v>40970</v>
      </c>
      <c r="B968">
        <v>551058.13</v>
      </c>
      <c r="C968">
        <v>0</v>
      </c>
      <c r="D968">
        <v>21.64</v>
      </c>
      <c r="E968">
        <v>3.1909999999999998</v>
      </c>
      <c r="F968">
        <v>196.9565303</v>
      </c>
      <c r="G968">
        <v>8.2560000000000002</v>
      </c>
      <c r="N968" s="8"/>
    </row>
    <row r="969" spans="1:14" x14ac:dyDescent="0.25">
      <c r="A969" s="8">
        <v>40977</v>
      </c>
      <c r="B969">
        <v>579166.5</v>
      </c>
      <c r="C969">
        <v>0</v>
      </c>
      <c r="D969">
        <v>30.1</v>
      </c>
      <c r="E969">
        <v>3.286</v>
      </c>
      <c r="F969">
        <v>196.96315989999999</v>
      </c>
      <c r="G969">
        <v>8.2560000000000002</v>
      </c>
      <c r="N969" s="8"/>
    </row>
    <row r="970" spans="1:14" x14ac:dyDescent="0.25">
      <c r="A970" s="8">
        <v>40984</v>
      </c>
      <c r="B970">
        <v>669205.73</v>
      </c>
      <c r="C970">
        <v>0</v>
      </c>
      <c r="D970">
        <v>37.29</v>
      </c>
      <c r="E970">
        <v>3.4860000000000002</v>
      </c>
      <c r="F970">
        <v>197.0457208</v>
      </c>
      <c r="G970">
        <v>8.2560000000000002</v>
      </c>
      <c r="N970" s="8"/>
    </row>
    <row r="971" spans="1:14" x14ac:dyDescent="0.25">
      <c r="A971" s="8">
        <v>40991</v>
      </c>
      <c r="B971">
        <v>615997.29</v>
      </c>
      <c r="C971">
        <v>0</v>
      </c>
      <c r="D971">
        <v>35.06</v>
      </c>
      <c r="E971">
        <v>3.6640000000000001</v>
      </c>
      <c r="F971">
        <v>197.22952340000001</v>
      </c>
      <c r="G971">
        <v>8.2560000000000002</v>
      </c>
      <c r="N971" s="8"/>
    </row>
    <row r="972" spans="1:14" x14ac:dyDescent="0.25">
      <c r="A972" s="8">
        <v>40998</v>
      </c>
      <c r="B972">
        <v>583322.19999999995</v>
      </c>
      <c r="C972">
        <v>0</v>
      </c>
      <c r="D972">
        <v>44.99</v>
      </c>
      <c r="E972">
        <v>3.75</v>
      </c>
      <c r="F972">
        <v>197.41332589999999</v>
      </c>
      <c r="G972">
        <v>8.2560000000000002</v>
      </c>
      <c r="N972" s="8"/>
    </row>
    <row r="973" spans="1:14" x14ac:dyDescent="0.25">
      <c r="A973" s="8">
        <v>41005</v>
      </c>
      <c r="B973">
        <v>621425.98</v>
      </c>
      <c r="C973">
        <v>0</v>
      </c>
      <c r="D973">
        <v>44.29</v>
      </c>
      <c r="E973">
        <v>3.8540000000000001</v>
      </c>
      <c r="F973">
        <v>197.5971285</v>
      </c>
      <c r="G973">
        <v>8.09</v>
      </c>
      <c r="N973" s="8"/>
    </row>
    <row r="974" spans="1:14" x14ac:dyDescent="0.25">
      <c r="A974" s="8">
        <v>41012</v>
      </c>
      <c r="B974">
        <v>517420.23</v>
      </c>
      <c r="C974">
        <v>0</v>
      </c>
      <c r="D974">
        <v>41.43</v>
      </c>
      <c r="E974">
        <v>3.9009999999999998</v>
      </c>
      <c r="F974">
        <v>197.78093100000001</v>
      </c>
      <c r="G974">
        <v>8.09</v>
      </c>
      <c r="N974" s="8"/>
    </row>
    <row r="975" spans="1:14" x14ac:dyDescent="0.25">
      <c r="A975" s="8">
        <v>41019</v>
      </c>
      <c r="B975">
        <v>457340.06</v>
      </c>
      <c r="C975">
        <v>0</v>
      </c>
      <c r="D975">
        <v>39.299999999999997</v>
      </c>
      <c r="E975">
        <v>3.9359999999999999</v>
      </c>
      <c r="F975">
        <v>197.72273849999999</v>
      </c>
      <c r="G975">
        <v>8.09</v>
      </c>
      <c r="N975" s="8"/>
    </row>
    <row r="976" spans="1:14" x14ac:dyDescent="0.25">
      <c r="A976" s="8">
        <v>41026</v>
      </c>
      <c r="B976">
        <v>467827.75</v>
      </c>
      <c r="C976">
        <v>0</v>
      </c>
      <c r="D976">
        <v>51.49</v>
      </c>
      <c r="E976">
        <v>3.927</v>
      </c>
      <c r="F976">
        <v>197.664546</v>
      </c>
      <c r="G976">
        <v>8.09</v>
      </c>
      <c r="N976" s="8"/>
    </row>
    <row r="977" spans="1:14" x14ac:dyDescent="0.25">
      <c r="A977" s="8">
        <v>41033</v>
      </c>
      <c r="B977">
        <v>465198.89</v>
      </c>
      <c r="C977">
        <v>0</v>
      </c>
      <c r="D977">
        <v>45.38</v>
      </c>
      <c r="E977">
        <v>3.903</v>
      </c>
      <c r="F977">
        <v>197.60635339999999</v>
      </c>
      <c r="G977">
        <v>8.09</v>
      </c>
      <c r="N977" s="8"/>
    </row>
    <row r="978" spans="1:14" x14ac:dyDescent="0.25">
      <c r="A978" s="8">
        <v>41040</v>
      </c>
      <c r="B978">
        <v>460397.41</v>
      </c>
      <c r="C978">
        <v>0</v>
      </c>
      <c r="D978">
        <v>48.54</v>
      </c>
      <c r="E978">
        <v>3.87</v>
      </c>
      <c r="F978">
        <v>197.5481609</v>
      </c>
      <c r="G978">
        <v>8.09</v>
      </c>
      <c r="N978" s="8"/>
    </row>
    <row r="979" spans="1:14" x14ac:dyDescent="0.25">
      <c r="A979" s="8">
        <v>41047</v>
      </c>
      <c r="B979">
        <v>468428.3</v>
      </c>
      <c r="C979">
        <v>0</v>
      </c>
      <c r="D979">
        <v>49.41</v>
      </c>
      <c r="E979">
        <v>3.8370000000000002</v>
      </c>
      <c r="F979">
        <v>197.5553137</v>
      </c>
      <c r="G979">
        <v>8.09</v>
      </c>
      <c r="N979" s="8"/>
    </row>
    <row r="980" spans="1:14" x14ac:dyDescent="0.25">
      <c r="A980" s="8">
        <v>41054</v>
      </c>
      <c r="B980">
        <v>532739.77</v>
      </c>
      <c r="C980">
        <v>0</v>
      </c>
      <c r="D980">
        <v>50.6</v>
      </c>
      <c r="E980">
        <v>3.8039999999999998</v>
      </c>
      <c r="F980">
        <v>197.5886046</v>
      </c>
      <c r="G980">
        <v>8.09</v>
      </c>
      <c r="N980" s="8"/>
    </row>
    <row r="981" spans="1:14" x14ac:dyDescent="0.25">
      <c r="A981" s="8">
        <v>41061</v>
      </c>
      <c r="B981">
        <v>598495.02</v>
      </c>
      <c r="C981">
        <v>0</v>
      </c>
      <c r="D981">
        <v>55.06</v>
      </c>
      <c r="E981">
        <v>3.7639999999999998</v>
      </c>
      <c r="F981">
        <v>197.6218954</v>
      </c>
      <c r="G981">
        <v>8.09</v>
      </c>
      <c r="N981" s="8"/>
    </row>
    <row r="982" spans="1:14" x14ac:dyDescent="0.25">
      <c r="A982" s="8">
        <v>41068</v>
      </c>
      <c r="B982">
        <v>642963.75</v>
      </c>
      <c r="C982">
        <v>0</v>
      </c>
      <c r="D982">
        <v>63.07</v>
      </c>
      <c r="E982">
        <v>3.7410000000000001</v>
      </c>
      <c r="F982">
        <v>197.6551863</v>
      </c>
      <c r="G982">
        <v>8.09</v>
      </c>
      <c r="N982" s="8"/>
    </row>
    <row r="983" spans="1:14" x14ac:dyDescent="0.25">
      <c r="A983" s="8">
        <v>41075</v>
      </c>
      <c r="B983">
        <v>666942.02</v>
      </c>
      <c r="C983">
        <v>0</v>
      </c>
      <c r="D983">
        <v>59.33</v>
      </c>
      <c r="E983">
        <v>3.7229999999999999</v>
      </c>
      <c r="F983">
        <v>197.69229200000001</v>
      </c>
      <c r="G983">
        <v>8.09</v>
      </c>
      <c r="N983" s="8"/>
    </row>
    <row r="984" spans="1:14" x14ac:dyDescent="0.25">
      <c r="A984" s="8">
        <v>41082</v>
      </c>
      <c r="B984">
        <v>687344.68</v>
      </c>
      <c r="C984">
        <v>0</v>
      </c>
      <c r="D984">
        <v>63.69</v>
      </c>
      <c r="E984">
        <v>3.7349999999999999</v>
      </c>
      <c r="F984">
        <v>197.7389345</v>
      </c>
      <c r="G984">
        <v>8.09</v>
      </c>
      <c r="N984" s="8"/>
    </row>
    <row r="985" spans="1:14" x14ac:dyDescent="0.25">
      <c r="A985" s="8">
        <v>41089</v>
      </c>
      <c r="B985">
        <v>704335.41</v>
      </c>
      <c r="C985">
        <v>0</v>
      </c>
      <c r="D985">
        <v>68.84</v>
      </c>
      <c r="E985">
        <v>3.6930000000000001</v>
      </c>
      <c r="F985">
        <v>197.78557699999999</v>
      </c>
      <c r="G985">
        <v>8.09</v>
      </c>
      <c r="N985" s="8"/>
    </row>
    <row r="986" spans="1:14" x14ac:dyDescent="0.25">
      <c r="A986" s="8">
        <v>41096</v>
      </c>
      <c r="B986">
        <v>805642.61</v>
      </c>
      <c r="C986">
        <v>0</v>
      </c>
      <c r="D986">
        <v>64.67</v>
      </c>
      <c r="E986">
        <v>3.6459999999999999</v>
      </c>
      <c r="F986">
        <v>197.83221950000001</v>
      </c>
      <c r="G986">
        <v>7.8719999999999999</v>
      </c>
      <c r="N986" s="8"/>
    </row>
    <row r="987" spans="1:14" x14ac:dyDescent="0.25">
      <c r="A987" s="8">
        <v>41103</v>
      </c>
      <c r="B987">
        <v>694150.89</v>
      </c>
      <c r="C987">
        <v>0</v>
      </c>
      <c r="D987">
        <v>64.209999999999994</v>
      </c>
      <c r="E987">
        <v>3.613</v>
      </c>
      <c r="F987">
        <v>197.87886209999999</v>
      </c>
      <c r="G987">
        <v>7.8719999999999999</v>
      </c>
      <c r="N987" s="8"/>
    </row>
    <row r="988" spans="1:14" x14ac:dyDescent="0.25">
      <c r="A988" s="8">
        <v>41110</v>
      </c>
      <c r="B988">
        <v>686345.69</v>
      </c>
      <c r="C988">
        <v>0</v>
      </c>
      <c r="D988">
        <v>62.87</v>
      </c>
      <c r="E988">
        <v>3.585</v>
      </c>
      <c r="F988">
        <v>197.9290378</v>
      </c>
      <c r="G988">
        <v>7.8719999999999999</v>
      </c>
      <c r="N988" s="8"/>
    </row>
    <row r="989" spans="1:14" x14ac:dyDescent="0.25">
      <c r="A989" s="8">
        <v>41117</v>
      </c>
      <c r="B989">
        <v>686365.4</v>
      </c>
      <c r="C989">
        <v>0</v>
      </c>
      <c r="D989">
        <v>64.599999999999994</v>
      </c>
      <c r="E989">
        <v>3.57</v>
      </c>
      <c r="F989">
        <v>197.97921360000001</v>
      </c>
      <c r="G989">
        <v>7.8719999999999999</v>
      </c>
      <c r="N989" s="8"/>
    </row>
    <row r="990" spans="1:14" x14ac:dyDescent="0.25">
      <c r="A990" s="8">
        <v>41124</v>
      </c>
      <c r="B990">
        <v>680954.81</v>
      </c>
      <c r="C990">
        <v>0</v>
      </c>
      <c r="D990">
        <v>61.83</v>
      </c>
      <c r="E990">
        <v>3.528</v>
      </c>
      <c r="F990">
        <v>198.02938929999999</v>
      </c>
      <c r="G990">
        <v>7.8719999999999999</v>
      </c>
      <c r="N990" s="8"/>
    </row>
    <row r="991" spans="1:14" x14ac:dyDescent="0.25">
      <c r="A991" s="8">
        <v>41131</v>
      </c>
      <c r="B991">
        <v>675926.3</v>
      </c>
      <c r="C991">
        <v>0</v>
      </c>
      <c r="D991">
        <v>63.41</v>
      </c>
      <c r="E991">
        <v>3.5089999999999999</v>
      </c>
      <c r="F991">
        <v>198.0795651</v>
      </c>
      <c r="G991">
        <v>7.8719999999999999</v>
      </c>
      <c r="N991" s="8"/>
    </row>
    <row r="992" spans="1:14" x14ac:dyDescent="0.25">
      <c r="A992" s="8">
        <v>41138</v>
      </c>
      <c r="B992">
        <v>642450.4</v>
      </c>
      <c r="C992">
        <v>0</v>
      </c>
      <c r="D992">
        <v>59.66</v>
      </c>
      <c r="E992">
        <v>3.5449999999999999</v>
      </c>
      <c r="F992">
        <v>198.1001057</v>
      </c>
      <c r="G992">
        <v>7.8719999999999999</v>
      </c>
      <c r="N992" s="8"/>
    </row>
    <row r="993" spans="1:14" x14ac:dyDescent="0.25">
      <c r="A993" s="8">
        <v>41145</v>
      </c>
      <c r="B993">
        <v>609099.37</v>
      </c>
      <c r="C993">
        <v>0</v>
      </c>
      <c r="D993">
        <v>59.27</v>
      </c>
      <c r="E993">
        <v>3.5579999999999998</v>
      </c>
      <c r="F993">
        <v>198.09841990000001</v>
      </c>
      <c r="G993">
        <v>7.8719999999999999</v>
      </c>
      <c r="N993" s="8"/>
    </row>
    <row r="994" spans="1:14" x14ac:dyDescent="0.25">
      <c r="A994" s="8">
        <v>41152</v>
      </c>
      <c r="B994">
        <v>586467.16</v>
      </c>
      <c r="C994">
        <v>0</v>
      </c>
      <c r="D994">
        <v>60.46</v>
      </c>
      <c r="E994">
        <v>3.556</v>
      </c>
      <c r="F994">
        <v>198.09673409999999</v>
      </c>
      <c r="G994">
        <v>7.8719999999999999</v>
      </c>
      <c r="N994" s="8"/>
    </row>
    <row r="995" spans="1:14" x14ac:dyDescent="0.25">
      <c r="A995" s="8">
        <v>41159</v>
      </c>
      <c r="B995">
        <v>597876.55000000005</v>
      </c>
      <c r="C995">
        <v>1</v>
      </c>
      <c r="D995">
        <v>57.84</v>
      </c>
      <c r="E995">
        <v>3.5960000000000001</v>
      </c>
      <c r="F995">
        <v>198.0950484</v>
      </c>
      <c r="G995">
        <v>7.8719999999999999</v>
      </c>
      <c r="N995" s="8"/>
    </row>
    <row r="996" spans="1:14" x14ac:dyDescent="0.25">
      <c r="A996" s="8">
        <v>41166</v>
      </c>
      <c r="B996">
        <v>541120.19999999995</v>
      </c>
      <c r="C996">
        <v>0</v>
      </c>
      <c r="D996">
        <v>53.66</v>
      </c>
      <c r="E996">
        <v>3.6589999999999998</v>
      </c>
      <c r="F996">
        <v>198.12671839999999</v>
      </c>
      <c r="G996">
        <v>7.8719999999999999</v>
      </c>
      <c r="N996" s="8"/>
    </row>
    <row r="997" spans="1:14" x14ac:dyDescent="0.25">
      <c r="A997" s="8">
        <v>41173</v>
      </c>
      <c r="B997">
        <v>530842.25</v>
      </c>
      <c r="C997">
        <v>0</v>
      </c>
      <c r="D997">
        <v>51.77</v>
      </c>
      <c r="E997">
        <v>3.7650000000000001</v>
      </c>
      <c r="F997">
        <v>198.35852299999999</v>
      </c>
      <c r="G997">
        <v>7.8719999999999999</v>
      </c>
      <c r="N997" s="8"/>
    </row>
    <row r="998" spans="1:14" x14ac:dyDescent="0.25">
      <c r="A998" s="8">
        <v>41180</v>
      </c>
      <c r="B998">
        <v>525545.76</v>
      </c>
      <c r="C998">
        <v>0</v>
      </c>
      <c r="D998">
        <v>50.64</v>
      </c>
      <c r="E998">
        <v>3.7890000000000001</v>
      </c>
      <c r="F998">
        <v>198.59032759999999</v>
      </c>
      <c r="G998">
        <v>7.8719999999999999</v>
      </c>
      <c r="N998" s="8"/>
    </row>
    <row r="999" spans="1:14" x14ac:dyDescent="0.25">
      <c r="A999" s="8">
        <v>41187</v>
      </c>
      <c r="B999">
        <v>505830.56</v>
      </c>
      <c r="C999">
        <v>0</v>
      </c>
      <c r="D999">
        <v>48.43</v>
      </c>
      <c r="E999">
        <v>3.7789999999999999</v>
      </c>
      <c r="F999">
        <v>198.8221322</v>
      </c>
      <c r="G999">
        <v>7.5570000000000004</v>
      </c>
      <c r="N999" s="8"/>
    </row>
    <row r="1000" spans="1:14" x14ac:dyDescent="0.25">
      <c r="A1000" s="8">
        <v>41194</v>
      </c>
      <c r="B1000">
        <v>503463.93</v>
      </c>
      <c r="C1000">
        <v>0</v>
      </c>
      <c r="D1000">
        <v>41.43</v>
      </c>
      <c r="E1000">
        <v>3.76</v>
      </c>
      <c r="F1000">
        <v>199.0539368</v>
      </c>
      <c r="G1000">
        <v>7.5570000000000004</v>
      </c>
      <c r="N1000" s="8"/>
    </row>
    <row r="1001" spans="1:14" x14ac:dyDescent="0.25">
      <c r="A1001" s="8">
        <v>41201</v>
      </c>
      <c r="B1001">
        <v>516424.83</v>
      </c>
      <c r="C1001">
        <v>0</v>
      </c>
      <c r="D1001">
        <v>43.01</v>
      </c>
      <c r="E1001">
        <v>3.75</v>
      </c>
      <c r="F1001">
        <v>199.1481963</v>
      </c>
      <c r="G1001">
        <v>7.5570000000000004</v>
      </c>
      <c r="N1001" s="8"/>
    </row>
    <row r="1002" spans="1:14" x14ac:dyDescent="0.25">
      <c r="A1002" s="8">
        <v>41208</v>
      </c>
      <c r="B1002">
        <v>495543.28</v>
      </c>
      <c r="C1002">
        <v>0</v>
      </c>
      <c r="D1002">
        <v>42.53</v>
      </c>
      <c r="E1002">
        <v>3.6859999999999999</v>
      </c>
      <c r="F1002">
        <v>199.2195317</v>
      </c>
      <c r="G1002">
        <v>7.5570000000000004</v>
      </c>
      <c r="N1002" s="8"/>
    </row>
    <row r="1003" spans="1:14" x14ac:dyDescent="0.25">
      <c r="A1003" s="8">
        <v>40214</v>
      </c>
      <c r="B1003">
        <v>1004137.09</v>
      </c>
      <c r="C1003">
        <v>0</v>
      </c>
      <c r="D1003">
        <v>34.14</v>
      </c>
      <c r="E1003">
        <v>2.5720000000000001</v>
      </c>
      <c r="F1003">
        <v>214.47145119999999</v>
      </c>
      <c r="G1003">
        <v>6.2990000000000004</v>
      </c>
      <c r="N1003" s="8"/>
    </row>
    <row r="1004" spans="1:14" x14ac:dyDescent="0.25">
      <c r="A1004" s="8">
        <v>40221</v>
      </c>
      <c r="B1004">
        <v>994801.4</v>
      </c>
      <c r="C1004">
        <v>1</v>
      </c>
      <c r="D1004">
        <v>33.340000000000003</v>
      </c>
      <c r="E1004">
        <v>2.548</v>
      </c>
      <c r="F1004">
        <v>214.62141890000001</v>
      </c>
      <c r="G1004">
        <v>6.2990000000000004</v>
      </c>
      <c r="N1004" s="8"/>
    </row>
    <row r="1005" spans="1:14" x14ac:dyDescent="0.25">
      <c r="A1005" s="8">
        <v>40228</v>
      </c>
      <c r="B1005">
        <v>963960.37</v>
      </c>
      <c r="C1005">
        <v>0</v>
      </c>
      <c r="D1005">
        <v>39.1</v>
      </c>
      <c r="E1005">
        <v>2.5139999999999998</v>
      </c>
      <c r="F1005">
        <v>214.6664878</v>
      </c>
      <c r="G1005">
        <v>6.2990000000000004</v>
      </c>
      <c r="N1005" s="8"/>
    </row>
    <row r="1006" spans="1:14" x14ac:dyDescent="0.25">
      <c r="A1006" s="8">
        <v>40235</v>
      </c>
      <c r="B1006">
        <v>847592.11</v>
      </c>
      <c r="C1006">
        <v>0</v>
      </c>
      <c r="D1006">
        <v>37.909999999999997</v>
      </c>
      <c r="E1006">
        <v>2.5609999999999999</v>
      </c>
      <c r="F1006">
        <v>214.6940735</v>
      </c>
      <c r="G1006">
        <v>6.2990000000000004</v>
      </c>
      <c r="N1006" s="8"/>
    </row>
    <row r="1007" spans="1:14" x14ac:dyDescent="0.25">
      <c r="A1007" s="8">
        <v>40242</v>
      </c>
      <c r="B1007">
        <v>881503.95</v>
      </c>
      <c r="C1007">
        <v>0</v>
      </c>
      <c r="D1007">
        <v>45.64</v>
      </c>
      <c r="E1007">
        <v>2.625</v>
      </c>
      <c r="F1007">
        <v>214.7216592</v>
      </c>
      <c r="G1007">
        <v>6.2990000000000004</v>
      </c>
      <c r="N1007" s="8"/>
    </row>
    <row r="1008" spans="1:14" x14ac:dyDescent="0.25">
      <c r="A1008" s="8">
        <v>40249</v>
      </c>
      <c r="B1008">
        <v>860336.16</v>
      </c>
      <c r="C1008">
        <v>0</v>
      </c>
      <c r="D1008">
        <v>49.76</v>
      </c>
      <c r="E1008">
        <v>2.6669999999999998</v>
      </c>
      <c r="F1008">
        <v>214.74924490000001</v>
      </c>
      <c r="G1008">
        <v>6.2990000000000004</v>
      </c>
      <c r="N1008" s="8"/>
    </row>
    <row r="1009" spans="1:14" x14ac:dyDescent="0.25">
      <c r="A1009" s="8">
        <v>40256</v>
      </c>
      <c r="B1009">
        <v>839911</v>
      </c>
      <c r="C1009">
        <v>0</v>
      </c>
      <c r="D1009">
        <v>47.26</v>
      </c>
      <c r="E1009">
        <v>2.72</v>
      </c>
      <c r="F1009">
        <v>214.5764954</v>
      </c>
      <c r="G1009">
        <v>6.2990000000000004</v>
      </c>
      <c r="N1009" s="8"/>
    </row>
    <row r="1010" spans="1:14" x14ac:dyDescent="0.25">
      <c r="A1010" s="8">
        <v>40263</v>
      </c>
      <c r="B1010">
        <v>772539.12</v>
      </c>
      <c r="C1010">
        <v>0</v>
      </c>
      <c r="D1010">
        <v>46.51</v>
      </c>
      <c r="E1010">
        <v>2.7320000000000002</v>
      </c>
      <c r="F1010">
        <v>214.3703567</v>
      </c>
      <c r="G1010">
        <v>6.2990000000000004</v>
      </c>
      <c r="N1010" s="8"/>
    </row>
    <row r="1011" spans="1:14" x14ac:dyDescent="0.25">
      <c r="A1011" s="8">
        <v>40270</v>
      </c>
      <c r="B1011">
        <v>914500.91</v>
      </c>
      <c r="C1011">
        <v>0</v>
      </c>
      <c r="D1011">
        <v>60.18</v>
      </c>
      <c r="E1011">
        <v>2.7189999999999999</v>
      </c>
      <c r="F1011">
        <v>214.16421800000001</v>
      </c>
      <c r="G1011">
        <v>6.29</v>
      </c>
      <c r="N1011" s="8"/>
    </row>
    <row r="1012" spans="1:14" x14ac:dyDescent="0.25">
      <c r="A1012" s="8">
        <v>40277</v>
      </c>
      <c r="B1012">
        <v>916033.92</v>
      </c>
      <c r="C1012">
        <v>0</v>
      </c>
      <c r="D1012">
        <v>59.25</v>
      </c>
      <c r="E1012">
        <v>2.77</v>
      </c>
      <c r="F1012">
        <v>213.95807930000001</v>
      </c>
      <c r="G1012">
        <v>6.29</v>
      </c>
      <c r="N1012" s="8"/>
    </row>
    <row r="1013" spans="1:14" x14ac:dyDescent="0.25">
      <c r="A1013" s="8">
        <v>40284</v>
      </c>
      <c r="B1013">
        <v>882917.12</v>
      </c>
      <c r="C1013">
        <v>0</v>
      </c>
      <c r="D1013">
        <v>62.66</v>
      </c>
      <c r="E1013">
        <v>2.8079999999999998</v>
      </c>
      <c r="F1013">
        <v>213.81863569999999</v>
      </c>
      <c r="G1013">
        <v>6.29</v>
      </c>
      <c r="N1013" s="8"/>
    </row>
    <row r="1014" spans="1:14" x14ac:dyDescent="0.25">
      <c r="A1014" s="8">
        <v>40291</v>
      </c>
      <c r="B1014">
        <v>850440.26</v>
      </c>
      <c r="C1014">
        <v>0</v>
      </c>
      <c r="D1014">
        <v>56.1</v>
      </c>
      <c r="E1014">
        <v>2.7949999999999999</v>
      </c>
      <c r="F1014">
        <v>213.76811900000001</v>
      </c>
      <c r="G1014">
        <v>6.29</v>
      </c>
      <c r="N1014" s="8"/>
    </row>
    <row r="1015" spans="1:14" x14ac:dyDescent="0.25">
      <c r="A1015" s="8">
        <v>40298</v>
      </c>
      <c r="B1015">
        <v>778672.64000000001</v>
      </c>
      <c r="C1015">
        <v>0</v>
      </c>
      <c r="D1015">
        <v>61.01</v>
      </c>
      <c r="E1015">
        <v>2.78</v>
      </c>
      <c r="F1015">
        <v>213.7176024</v>
      </c>
      <c r="G1015">
        <v>6.29</v>
      </c>
      <c r="N1015" s="8"/>
    </row>
    <row r="1016" spans="1:14" x14ac:dyDescent="0.25">
      <c r="A1016" s="8">
        <v>40305</v>
      </c>
      <c r="B1016">
        <v>916820.96</v>
      </c>
      <c r="C1016">
        <v>0</v>
      </c>
      <c r="D1016">
        <v>62.68</v>
      </c>
      <c r="E1016">
        <v>2.835</v>
      </c>
      <c r="F1016">
        <v>213.6670857</v>
      </c>
      <c r="G1016">
        <v>6.29</v>
      </c>
      <c r="N1016" s="8"/>
    </row>
    <row r="1017" spans="1:14" x14ac:dyDescent="0.25">
      <c r="A1017" s="8">
        <v>40312</v>
      </c>
      <c r="B1017">
        <v>873337.84</v>
      </c>
      <c r="C1017">
        <v>0</v>
      </c>
      <c r="D1017">
        <v>61.35</v>
      </c>
      <c r="E1017">
        <v>2.8540000000000001</v>
      </c>
      <c r="F1017">
        <v>213.6655355</v>
      </c>
      <c r="G1017">
        <v>6.29</v>
      </c>
      <c r="N1017" s="8"/>
    </row>
    <row r="1018" spans="1:14" x14ac:dyDescent="0.25">
      <c r="A1018" s="8">
        <v>40319</v>
      </c>
      <c r="B1018">
        <v>818333.21</v>
      </c>
      <c r="C1018">
        <v>0</v>
      </c>
      <c r="D1018">
        <v>66.03</v>
      </c>
      <c r="E1018">
        <v>2.8260000000000001</v>
      </c>
      <c r="F1018">
        <v>213.95778390000001</v>
      </c>
      <c r="G1018">
        <v>6.29</v>
      </c>
      <c r="N1018" s="8"/>
    </row>
    <row r="1019" spans="1:14" x14ac:dyDescent="0.25">
      <c r="A1019" s="8">
        <v>40326</v>
      </c>
      <c r="B1019">
        <v>868041.56</v>
      </c>
      <c r="C1019">
        <v>0</v>
      </c>
      <c r="D1019">
        <v>74.709999999999994</v>
      </c>
      <c r="E1019">
        <v>2.7589999999999999</v>
      </c>
      <c r="F1019">
        <v>214.25003229999999</v>
      </c>
      <c r="G1019">
        <v>6.29</v>
      </c>
      <c r="N1019" s="8"/>
    </row>
    <row r="1020" spans="1:14" x14ac:dyDescent="0.25">
      <c r="A1020" s="8">
        <v>40333</v>
      </c>
      <c r="B1020">
        <v>958225.41</v>
      </c>
      <c r="C1020">
        <v>0</v>
      </c>
      <c r="D1020">
        <v>75.709999999999994</v>
      </c>
      <c r="E1020">
        <v>2.7050000000000001</v>
      </c>
      <c r="F1020">
        <v>214.5422806</v>
      </c>
      <c r="G1020">
        <v>6.29</v>
      </c>
      <c r="N1020" s="8"/>
    </row>
    <row r="1021" spans="1:14" x14ac:dyDescent="0.25">
      <c r="A1021" s="8">
        <v>40340</v>
      </c>
      <c r="B1021">
        <v>914835.86</v>
      </c>
      <c r="C1021">
        <v>0</v>
      </c>
      <c r="D1021">
        <v>82.21</v>
      </c>
      <c r="E1021">
        <v>2.6680000000000001</v>
      </c>
      <c r="F1021">
        <v>214.834529</v>
      </c>
      <c r="G1021">
        <v>6.29</v>
      </c>
      <c r="N1021" s="8"/>
    </row>
    <row r="1022" spans="1:14" x14ac:dyDescent="0.25">
      <c r="A1022" s="8">
        <v>40347</v>
      </c>
      <c r="B1022">
        <v>869922.56</v>
      </c>
      <c r="C1022">
        <v>0</v>
      </c>
      <c r="D1022">
        <v>78.790000000000006</v>
      </c>
      <c r="E1022">
        <v>2.637</v>
      </c>
      <c r="F1022">
        <v>214.8324452</v>
      </c>
      <c r="G1022">
        <v>6.29</v>
      </c>
      <c r="N1022" s="8"/>
    </row>
    <row r="1023" spans="1:14" x14ac:dyDescent="0.25">
      <c r="A1023" s="8">
        <v>40354</v>
      </c>
      <c r="B1023">
        <v>814919.11</v>
      </c>
      <c r="C1023">
        <v>0</v>
      </c>
      <c r="D1023">
        <v>81.78</v>
      </c>
      <c r="E1023">
        <v>2.653</v>
      </c>
      <c r="F1023">
        <v>214.71262859999999</v>
      </c>
      <c r="G1023">
        <v>6.29</v>
      </c>
      <c r="N1023" s="8"/>
    </row>
    <row r="1024" spans="1:14" x14ac:dyDescent="0.25">
      <c r="A1024" s="8">
        <v>40361</v>
      </c>
      <c r="B1024">
        <v>852333.75</v>
      </c>
      <c r="C1024">
        <v>0</v>
      </c>
      <c r="D1024">
        <v>74.78</v>
      </c>
      <c r="E1024">
        <v>2.669</v>
      </c>
      <c r="F1024">
        <v>214.59281189999999</v>
      </c>
      <c r="G1024">
        <v>6.3150000000000004</v>
      </c>
      <c r="N1024" s="8"/>
    </row>
    <row r="1025" spans="1:14" x14ac:dyDescent="0.25">
      <c r="A1025" s="8">
        <v>40368</v>
      </c>
      <c r="B1025">
        <v>845289.77</v>
      </c>
      <c r="C1025">
        <v>0</v>
      </c>
      <c r="D1025">
        <v>72.489999999999995</v>
      </c>
      <c r="E1025">
        <v>2.6419999999999999</v>
      </c>
      <c r="F1025">
        <v>214.47299520000001</v>
      </c>
      <c r="G1025">
        <v>6.3150000000000004</v>
      </c>
      <c r="N1025" s="8"/>
    </row>
    <row r="1026" spans="1:14" x14ac:dyDescent="0.25">
      <c r="A1026" s="8">
        <v>40375</v>
      </c>
      <c r="B1026">
        <v>848630.57</v>
      </c>
      <c r="C1026">
        <v>0</v>
      </c>
      <c r="D1026">
        <v>77.489999999999995</v>
      </c>
      <c r="E1026">
        <v>2.6230000000000002</v>
      </c>
      <c r="F1026">
        <v>214.4640599</v>
      </c>
      <c r="G1026">
        <v>6.3150000000000004</v>
      </c>
      <c r="N1026" s="8"/>
    </row>
    <row r="1027" spans="1:14" x14ac:dyDescent="0.25">
      <c r="A1027" s="8">
        <v>40382</v>
      </c>
      <c r="B1027">
        <v>785515.88</v>
      </c>
      <c r="C1027">
        <v>0</v>
      </c>
      <c r="D1027">
        <v>78.290000000000006</v>
      </c>
      <c r="E1027">
        <v>2.6080000000000001</v>
      </c>
      <c r="F1027">
        <v>214.60296640000001</v>
      </c>
      <c r="G1027">
        <v>6.3150000000000004</v>
      </c>
      <c r="N1027" s="8"/>
    </row>
    <row r="1028" spans="1:14" x14ac:dyDescent="0.25">
      <c r="A1028" s="8">
        <v>40389</v>
      </c>
      <c r="B1028">
        <v>787295.09</v>
      </c>
      <c r="C1028">
        <v>0</v>
      </c>
      <c r="D1028">
        <v>76.02</v>
      </c>
      <c r="E1028">
        <v>2.64</v>
      </c>
      <c r="F1028">
        <v>214.74187280000001</v>
      </c>
      <c r="G1028">
        <v>6.3150000000000004</v>
      </c>
      <c r="N1028" s="8"/>
    </row>
    <row r="1029" spans="1:14" x14ac:dyDescent="0.25">
      <c r="A1029" s="8">
        <v>40396</v>
      </c>
      <c r="B1029">
        <v>893399.77</v>
      </c>
      <c r="C1029">
        <v>0</v>
      </c>
      <c r="D1029">
        <v>80.37</v>
      </c>
      <c r="E1029">
        <v>2.6269999999999998</v>
      </c>
      <c r="F1029">
        <v>214.8807793</v>
      </c>
      <c r="G1029">
        <v>6.3150000000000004</v>
      </c>
      <c r="N1029" s="8"/>
    </row>
    <row r="1030" spans="1:14" x14ac:dyDescent="0.25">
      <c r="A1030" s="8">
        <v>40403</v>
      </c>
      <c r="B1030">
        <v>867919.21</v>
      </c>
      <c r="C1030">
        <v>0</v>
      </c>
      <c r="D1030">
        <v>80.11</v>
      </c>
      <c r="E1030">
        <v>2.6920000000000002</v>
      </c>
      <c r="F1030">
        <v>215.0196857</v>
      </c>
      <c r="G1030">
        <v>6.3150000000000004</v>
      </c>
      <c r="N1030" s="8"/>
    </row>
    <row r="1031" spans="1:14" x14ac:dyDescent="0.25">
      <c r="A1031" s="8">
        <v>40410</v>
      </c>
      <c r="B1031">
        <v>870676.44</v>
      </c>
      <c r="C1031">
        <v>0</v>
      </c>
      <c r="D1031">
        <v>79.36</v>
      </c>
      <c r="E1031">
        <v>2.6640000000000001</v>
      </c>
      <c r="F1031">
        <v>214.9779825</v>
      </c>
      <c r="G1031">
        <v>6.3150000000000004</v>
      </c>
      <c r="N1031" s="8"/>
    </row>
    <row r="1032" spans="1:14" x14ac:dyDescent="0.25">
      <c r="A1032" s="8">
        <v>40417</v>
      </c>
      <c r="B1032">
        <v>888816.78</v>
      </c>
      <c r="C1032">
        <v>0</v>
      </c>
      <c r="D1032">
        <v>74.92</v>
      </c>
      <c r="E1032">
        <v>2.6190000000000002</v>
      </c>
      <c r="F1032">
        <v>214.9362793</v>
      </c>
      <c r="G1032">
        <v>6.3150000000000004</v>
      </c>
      <c r="N1032" s="8"/>
    </row>
    <row r="1033" spans="1:14" x14ac:dyDescent="0.25">
      <c r="A1033" s="8">
        <v>40424</v>
      </c>
      <c r="B1033">
        <v>899036.47</v>
      </c>
      <c r="C1033">
        <v>0</v>
      </c>
      <c r="D1033">
        <v>76.14</v>
      </c>
      <c r="E1033">
        <v>2.577</v>
      </c>
      <c r="F1033">
        <v>214.894576</v>
      </c>
      <c r="G1033">
        <v>6.3150000000000004</v>
      </c>
      <c r="N1033" s="8"/>
    </row>
    <row r="1034" spans="1:14" x14ac:dyDescent="0.25">
      <c r="A1034" s="8">
        <v>40431</v>
      </c>
      <c r="B1034">
        <v>831425.2</v>
      </c>
      <c r="C1034">
        <v>1</v>
      </c>
      <c r="D1034">
        <v>74.34</v>
      </c>
      <c r="E1034">
        <v>2.5649999999999999</v>
      </c>
      <c r="F1034">
        <v>214.8528728</v>
      </c>
      <c r="G1034">
        <v>6.3150000000000004</v>
      </c>
      <c r="N1034" s="8"/>
    </row>
    <row r="1035" spans="1:14" x14ac:dyDescent="0.25">
      <c r="A1035" s="8">
        <v>40438</v>
      </c>
      <c r="B1035">
        <v>836707.85</v>
      </c>
      <c r="C1035">
        <v>0</v>
      </c>
      <c r="D1035">
        <v>75.319999999999993</v>
      </c>
      <c r="E1035">
        <v>2.5819999999999999</v>
      </c>
      <c r="F1035">
        <v>214.87855619999999</v>
      </c>
      <c r="G1035">
        <v>6.3150000000000004</v>
      </c>
      <c r="N1035" s="8"/>
    </row>
    <row r="1036" spans="1:14" x14ac:dyDescent="0.25">
      <c r="A1036" s="8">
        <v>40445</v>
      </c>
      <c r="B1036">
        <v>773725.08</v>
      </c>
      <c r="C1036">
        <v>0</v>
      </c>
      <c r="D1036">
        <v>72.209999999999994</v>
      </c>
      <c r="E1036">
        <v>2.6240000000000001</v>
      </c>
      <c r="F1036">
        <v>214.9547795</v>
      </c>
      <c r="G1036">
        <v>6.3150000000000004</v>
      </c>
      <c r="N1036" s="8"/>
    </row>
    <row r="1037" spans="1:14" x14ac:dyDescent="0.25">
      <c r="A1037" s="8">
        <v>40452</v>
      </c>
      <c r="B1037">
        <v>804105.49</v>
      </c>
      <c r="C1037">
        <v>0</v>
      </c>
      <c r="D1037">
        <v>68.7</v>
      </c>
      <c r="E1037">
        <v>2.6030000000000002</v>
      </c>
      <c r="F1037">
        <v>215.0310029</v>
      </c>
      <c r="G1037">
        <v>6.4329999999999998</v>
      </c>
      <c r="N1037" s="8"/>
    </row>
    <row r="1038" spans="1:14" x14ac:dyDescent="0.25">
      <c r="A1038" s="8">
        <v>40459</v>
      </c>
      <c r="B1038">
        <v>870349.86</v>
      </c>
      <c r="C1038">
        <v>0</v>
      </c>
      <c r="D1038">
        <v>62.94</v>
      </c>
      <c r="E1038">
        <v>2.633</v>
      </c>
      <c r="F1038">
        <v>215.10722620000001</v>
      </c>
      <c r="G1038">
        <v>6.4329999999999998</v>
      </c>
      <c r="N1038" s="8"/>
    </row>
    <row r="1039" spans="1:14" x14ac:dyDescent="0.25">
      <c r="A1039" s="8">
        <v>40466</v>
      </c>
      <c r="B1039">
        <v>826546.96</v>
      </c>
      <c r="C1039">
        <v>0</v>
      </c>
      <c r="D1039">
        <v>62.59</v>
      </c>
      <c r="E1039">
        <v>2.72</v>
      </c>
      <c r="F1039">
        <v>215.17570000000001</v>
      </c>
      <c r="G1039">
        <v>6.4329999999999998</v>
      </c>
      <c r="N1039" s="8"/>
    </row>
    <row r="1040" spans="1:14" x14ac:dyDescent="0.25">
      <c r="A1040" s="8">
        <v>40473</v>
      </c>
      <c r="B1040">
        <v>836419.14</v>
      </c>
      <c r="C1040">
        <v>0</v>
      </c>
      <c r="D1040">
        <v>62.86</v>
      </c>
      <c r="E1040">
        <v>2.7250000000000001</v>
      </c>
      <c r="F1040">
        <v>215.22479999999999</v>
      </c>
      <c r="G1040">
        <v>6.4329999999999998</v>
      </c>
      <c r="N1040" s="8"/>
    </row>
    <row r="1041" spans="1:14" x14ac:dyDescent="0.25">
      <c r="A1041" s="8">
        <v>40480</v>
      </c>
      <c r="B1041">
        <v>830756.76</v>
      </c>
      <c r="C1041">
        <v>0</v>
      </c>
      <c r="D1041">
        <v>57.93</v>
      </c>
      <c r="E1041">
        <v>2.7160000000000002</v>
      </c>
      <c r="F1041">
        <v>215.2739</v>
      </c>
      <c r="G1041">
        <v>6.4329999999999998</v>
      </c>
      <c r="N1041" s="8"/>
    </row>
    <row r="1042" spans="1:14" x14ac:dyDescent="0.25">
      <c r="A1042" s="8">
        <v>40487</v>
      </c>
      <c r="B1042">
        <v>927266.34</v>
      </c>
      <c r="C1042">
        <v>0</v>
      </c>
      <c r="D1042">
        <v>55.76</v>
      </c>
      <c r="E1042">
        <v>2.6890000000000001</v>
      </c>
      <c r="F1042">
        <v>215.32300000000001</v>
      </c>
      <c r="G1042">
        <v>6.4329999999999998</v>
      </c>
      <c r="N1042" s="8"/>
    </row>
    <row r="1043" spans="1:14" x14ac:dyDescent="0.25">
      <c r="A1043" s="8">
        <v>40494</v>
      </c>
      <c r="B1043">
        <v>911538.98</v>
      </c>
      <c r="C1043">
        <v>0</v>
      </c>
      <c r="D1043">
        <v>54.89</v>
      </c>
      <c r="E1043">
        <v>2.7280000000000002</v>
      </c>
      <c r="F1043">
        <v>215.37209999999999</v>
      </c>
      <c r="G1043">
        <v>6.4329999999999998</v>
      </c>
      <c r="N1043" s="8"/>
    </row>
    <row r="1044" spans="1:14" x14ac:dyDescent="0.25">
      <c r="A1044" s="8">
        <v>40501</v>
      </c>
      <c r="B1044">
        <v>885608.04</v>
      </c>
      <c r="C1044">
        <v>0</v>
      </c>
      <c r="D1044">
        <v>43.86</v>
      </c>
      <c r="E1044">
        <v>2.7709999999999999</v>
      </c>
      <c r="F1044">
        <v>215.25387140000001</v>
      </c>
      <c r="G1044">
        <v>6.4329999999999998</v>
      </c>
      <c r="N1044" s="8"/>
    </row>
    <row r="1045" spans="1:14" x14ac:dyDescent="0.25">
      <c r="A1045" s="8">
        <v>40508</v>
      </c>
      <c r="B1045">
        <v>1261693.1599999999</v>
      </c>
      <c r="C1045">
        <v>1</v>
      </c>
      <c r="D1045">
        <v>51.07</v>
      </c>
      <c r="E1045">
        <v>2.7349999999999999</v>
      </c>
      <c r="F1045">
        <v>215.10775480000001</v>
      </c>
      <c r="G1045">
        <v>6.4329999999999998</v>
      </c>
      <c r="N1045" s="8"/>
    </row>
    <row r="1046" spans="1:14" x14ac:dyDescent="0.25">
      <c r="A1046" s="8">
        <v>40515</v>
      </c>
      <c r="B1046">
        <v>952766.93</v>
      </c>
      <c r="C1046">
        <v>0</v>
      </c>
      <c r="D1046">
        <v>42.85</v>
      </c>
      <c r="E1046">
        <v>2.7080000000000002</v>
      </c>
      <c r="F1046">
        <v>214.96163809999999</v>
      </c>
      <c r="G1046">
        <v>6.4329999999999998</v>
      </c>
      <c r="N1046" s="8"/>
    </row>
    <row r="1047" spans="1:14" x14ac:dyDescent="0.25">
      <c r="A1047" s="8">
        <v>40522</v>
      </c>
      <c r="B1047">
        <v>1069061.6299999999</v>
      </c>
      <c r="C1047">
        <v>0</v>
      </c>
      <c r="D1047">
        <v>42.47</v>
      </c>
      <c r="E1047">
        <v>2.843</v>
      </c>
      <c r="F1047">
        <v>214.81552139999999</v>
      </c>
      <c r="G1047">
        <v>6.4329999999999998</v>
      </c>
      <c r="N1047" s="8"/>
    </row>
    <row r="1048" spans="1:14" x14ac:dyDescent="0.25">
      <c r="A1048" s="8">
        <v>40529</v>
      </c>
      <c r="B1048">
        <v>1220579.55</v>
      </c>
      <c r="C1048">
        <v>0</v>
      </c>
      <c r="D1048">
        <v>45.03</v>
      </c>
      <c r="E1048">
        <v>2.8690000000000002</v>
      </c>
      <c r="F1048">
        <v>214.7510843</v>
      </c>
      <c r="G1048">
        <v>6.4329999999999998</v>
      </c>
      <c r="N1048" s="8"/>
    </row>
    <row r="1049" spans="1:14" x14ac:dyDescent="0.25">
      <c r="A1049" s="8">
        <v>40536</v>
      </c>
      <c r="B1049">
        <v>1511641.09</v>
      </c>
      <c r="C1049">
        <v>0</v>
      </c>
      <c r="D1049">
        <v>45.67</v>
      </c>
      <c r="E1049">
        <v>2.8860000000000001</v>
      </c>
      <c r="F1049">
        <v>214.7479069</v>
      </c>
      <c r="G1049">
        <v>6.4329999999999998</v>
      </c>
      <c r="N1049" s="8"/>
    </row>
    <row r="1050" spans="1:14" x14ac:dyDescent="0.25">
      <c r="A1050" s="8">
        <v>40543</v>
      </c>
      <c r="B1050">
        <v>773586.49</v>
      </c>
      <c r="C1050">
        <v>1</v>
      </c>
      <c r="D1050">
        <v>41.47</v>
      </c>
      <c r="E1050">
        <v>2.9430000000000001</v>
      </c>
      <c r="F1050">
        <v>214.74472950000001</v>
      </c>
      <c r="G1050">
        <v>6.4329999999999998</v>
      </c>
      <c r="N1050" s="8"/>
    </row>
    <row r="1051" spans="1:14" x14ac:dyDescent="0.25">
      <c r="A1051" s="8">
        <v>40550</v>
      </c>
      <c r="B1051">
        <v>873065.23</v>
      </c>
      <c r="C1051">
        <v>0</v>
      </c>
      <c r="D1051">
        <v>35.770000000000003</v>
      </c>
      <c r="E1051">
        <v>2.976</v>
      </c>
      <c r="F1051">
        <v>214.74155210000001</v>
      </c>
      <c r="G1051">
        <v>6.2619999999999996</v>
      </c>
      <c r="N1051" s="8"/>
    </row>
    <row r="1052" spans="1:14" x14ac:dyDescent="0.25">
      <c r="A1052" s="8">
        <v>40557</v>
      </c>
      <c r="B1052">
        <v>809646.66</v>
      </c>
      <c r="C1052">
        <v>0</v>
      </c>
      <c r="D1052">
        <v>31.62</v>
      </c>
      <c r="E1052">
        <v>2.9830000000000001</v>
      </c>
      <c r="F1052">
        <v>214.79309910000001</v>
      </c>
      <c r="G1052">
        <v>6.2619999999999996</v>
      </c>
      <c r="N1052" s="8"/>
    </row>
    <row r="1053" spans="1:14" x14ac:dyDescent="0.25">
      <c r="A1053" s="8">
        <v>40564</v>
      </c>
      <c r="B1053">
        <v>822668.23</v>
      </c>
      <c r="C1053">
        <v>0</v>
      </c>
      <c r="D1053">
        <v>42.06</v>
      </c>
      <c r="E1053">
        <v>3.016</v>
      </c>
      <c r="F1053">
        <v>215.17299259999999</v>
      </c>
      <c r="G1053">
        <v>6.2619999999999996</v>
      </c>
      <c r="N1053" s="8"/>
    </row>
    <row r="1054" spans="1:14" x14ac:dyDescent="0.25">
      <c r="A1054" s="8">
        <v>40571</v>
      </c>
      <c r="B1054">
        <v>782256.66</v>
      </c>
      <c r="C1054">
        <v>0</v>
      </c>
      <c r="D1054">
        <v>39.26</v>
      </c>
      <c r="E1054">
        <v>3.01</v>
      </c>
      <c r="F1054">
        <v>215.55288619999999</v>
      </c>
      <c r="G1054">
        <v>6.2619999999999996</v>
      </c>
      <c r="N1054" s="8"/>
    </row>
    <row r="1055" spans="1:14" x14ac:dyDescent="0.25">
      <c r="A1055" s="8">
        <v>40578</v>
      </c>
      <c r="B1055">
        <v>944594.78</v>
      </c>
      <c r="C1055">
        <v>0</v>
      </c>
      <c r="D1055">
        <v>24.48</v>
      </c>
      <c r="E1055">
        <v>2.9889999999999999</v>
      </c>
      <c r="F1055">
        <v>215.9327797</v>
      </c>
      <c r="G1055">
        <v>6.2619999999999996</v>
      </c>
      <c r="N1055" s="8"/>
    </row>
    <row r="1056" spans="1:14" x14ac:dyDescent="0.25">
      <c r="A1056" s="8">
        <v>40585</v>
      </c>
      <c r="B1056">
        <v>996147.39</v>
      </c>
      <c r="C1056">
        <v>1</v>
      </c>
      <c r="D1056">
        <v>28.26</v>
      </c>
      <c r="E1056">
        <v>3.0219999999999998</v>
      </c>
      <c r="F1056">
        <v>216.3126733</v>
      </c>
      <c r="G1056">
        <v>6.2619999999999996</v>
      </c>
      <c r="N1056" s="8"/>
    </row>
    <row r="1057" spans="1:14" x14ac:dyDescent="0.25">
      <c r="A1057" s="8">
        <v>40592</v>
      </c>
      <c r="B1057">
        <v>1065108.6399999999</v>
      </c>
      <c r="C1057">
        <v>0</v>
      </c>
      <c r="D1057">
        <v>50.64</v>
      </c>
      <c r="E1057">
        <v>3.0449999999999999</v>
      </c>
      <c r="F1057">
        <v>216.6310383</v>
      </c>
      <c r="G1057">
        <v>6.2619999999999996</v>
      </c>
      <c r="N1057" s="8"/>
    </row>
    <row r="1058" spans="1:14" x14ac:dyDescent="0.25">
      <c r="A1058" s="8">
        <v>40599</v>
      </c>
      <c r="B1058">
        <v>917317.15</v>
      </c>
      <c r="C1058">
        <v>0</v>
      </c>
      <c r="D1058">
        <v>51.29</v>
      </c>
      <c r="E1058">
        <v>3.0649999999999999</v>
      </c>
      <c r="F1058">
        <v>216.92479180000001</v>
      </c>
      <c r="G1058">
        <v>6.2619999999999996</v>
      </c>
      <c r="N1058" s="8"/>
    </row>
    <row r="1059" spans="1:14" x14ac:dyDescent="0.25">
      <c r="A1059" s="8">
        <v>40606</v>
      </c>
      <c r="B1059">
        <v>935266.43</v>
      </c>
      <c r="C1059">
        <v>0</v>
      </c>
      <c r="D1059">
        <v>53.18</v>
      </c>
      <c r="E1059">
        <v>3.2879999999999998</v>
      </c>
      <c r="F1059">
        <v>217.21854540000001</v>
      </c>
      <c r="G1059">
        <v>6.2619999999999996</v>
      </c>
      <c r="N1059" s="8"/>
    </row>
    <row r="1060" spans="1:14" x14ac:dyDescent="0.25">
      <c r="A1060" s="8">
        <v>40613</v>
      </c>
      <c r="B1060">
        <v>900387.29</v>
      </c>
      <c r="C1060">
        <v>0</v>
      </c>
      <c r="D1060">
        <v>49.14</v>
      </c>
      <c r="E1060">
        <v>3.4590000000000001</v>
      </c>
      <c r="F1060">
        <v>217.51229900000001</v>
      </c>
      <c r="G1060">
        <v>6.2619999999999996</v>
      </c>
      <c r="N1060" s="8"/>
    </row>
    <row r="1061" spans="1:14" x14ac:dyDescent="0.25">
      <c r="A1061" s="8">
        <v>40620</v>
      </c>
      <c r="B1061">
        <v>898289.14</v>
      </c>
      <c r="C1061">
        <v>0</v>
      </c>
      <c r="D1061">
        <v>56.68</v>
      </c>
      <c r="E1061">
        <v>3.488</v>
      </c>
      <c r="F1061">
        <v>217.77054419999999</v>
      </c>
      <c r="G1061">
        <v>6.2619999999999996</v>
      </c>
      <c r="N1061" s="8"/>
    </row>
    <row r="1062" spans="1:14" x14ac:dyDescent="0.25">
      <c r="A1062" s="8">
        <v>40627</v>
      </c>
      <c r="B1062">
        <v>827968.36</v>
      </c>
      <c r="C1062">
        <v>0</v>
      </c>
      <c r="D1062">
        <v>59.74</v>
      </c>
      <c r="E1062">
        <v>3.4729999999999999</v>
      </c>
      <c r="F1062">
        <v>218.0145862</v>
      </c>
      <c r="G1062">
        <v>6.2619999999999996</v>
      </c>
      <c r="N1062" s="8"/>
    </row>
    <row r="1063" spans="1:14" x14ac:dyDescent="0.25">
      <c r="A1063" s="8">
        <v>40634</v>
      </c>
      <c r="B1063">
        <v>878762.3</v>
      </c>
      <c r="C1063">
        <v>0</v>
      </c>
      <c r="D1063">
        <v>49.86</v>
      </c>
      <c r="E1063">
        <v>3.524</v>
      </c>
      <c r="F1063">
        <v>218.25862810000001</v>
      </c>
      <c r="G1063">
        <v>6.2969999999999997</v>
      </c>
      <c r="N1063" s="8"/>
    </row>
    <row r="1064" spans="1:14" x14ac:dyDescent="0.25">
      <c r="A1064" s="8">
        <v>40641</v>
      </c>
      <c r="B1064">
        <v>949825.83</v>
      </c>
      <c r="C1064">
        <v>0</v>
      </c>
      <c r="D1064">
        <v>65.62</v>
      </c>
      <c r="E1064">
        <v>3.6219999999999999</v>
      </c>
      <c r="F1064">
        <v>218.50266999999999</v>
      </c>
      <c r="G1064">
        <v>6.2969999999999997</v>
      </c>
      <c r="N1064" s="8"/>
    </row>
    <row r="1065" spans="1:14" x14ac:dyDescent="0.25">
      <c r="A1065" s="8">
        <v>40648</v>
      </c>
      <c r="B1065">
        <v>908278.74</v>
      </c>
      <c r="C1065">
        <v>0</v>
      </c>
      <c r="D1065">
        <v>63.55</v>
      </c>
      <c r="E1065">
        <v>3.7429999999999999</v>
      </c>
      <c r="F1065">
        <v>218.72625239999999</v>
      </c>
      <c r="G1065">
        <v>6.2969999999999997</v>
      </c>
      <c r="N1065" s="8"/>
    </row>
    <row r="1066" spans="1:14" x14ac:dyDescent="0.25">
      <c r="A1066" s="8">
        <v>40655</v>
      </c>
      <c r="B1066">
        <v>937473.13</v>
      </c>
      <c r="C1066">
        <v>0</v>
      </c>
      <c r="D1066">
        <v>65.11</v>
      </c>
      <c r="E1066">
        <v>3.8069999999999999</v>
      </c>
      <c r="F1066">
        <v>218.89868569999999</v>
      </c>
      <c r="G1066">
        <v>6.2969999999999997</v>
      </c>
      <c r="N1066" s="8"/>
    </row>
    <row r="1067" spans="1:14" x14ac:dyDescent="0.25">
      <c r="A1067" s="8">
        <v>40662</v>
      </c>
      <c r="B1067">
        <v>855014.77</v>
      </c>
      <c r="C1067">
        <v>0</v>
      </c>
      <c r="D1067">
        <v>62.29</v>
      </c>
      <c r="E1067">
        <v>3.81</v>
      </c>
      <c r="F1067">
        <v>219.07111900000001</v>
      </c>
      <c r="G1067">
        <v>6.2969999999999997</v>
      </c>
      <c r="N1067" s="8"/>
    </row>
    <row r="1068" spans="1:14" x14ac:dyDescent="0.25">
      <c r="A1068" s="8">
        <v>40669</v>
      </c>
      <c r="B1068">
        <v>941457.34</v>
      </c>
      <c r="C1068">
        <v>0</v>
      </c>
      <c r="D1068">
        <v>58.92</v>
      </c>
      <c r="E1068">
        <v>3.9060000000000001</v>
      </c>
      <c r="F1068">
        <v>219.2435524</v>
      </c>
      <c r="G1068">
        <v>6.2969999999999997</v>
      </c>
      <c r="N1068" s="8"/>
    </row>
    <row r="1069" spans="1:14" x14ac:dyDescent="0.25">
      <c r="A1069" s="8">
        <v>40676</v>
      </c>
      <c r="B1069">
        <v>895763.41</v>
      </c>
      <c r="C1069">
        <v>0</v>
      </c>
      <c r="D1069">
        <v>72.959999999999994</v>
      </c>
      <c r="E1069">
        <v>3.899</v>
      </c>
      <c r="F1069">
        <v>219.41598569999999</v>
      </c>
      <c r="G1069">
        <v>6.2969999999999997</v>
      </c>
      <c r="N1069" s="8"/>
    </row>
    <row r="1070" spans="1:14" x14ac:dyDescent="0.25">
      <c r="A1070" s="8">
        <v>40683</v>
      </c>
      <c r="B1070">
        <v>836049.89</v>
      </c>
      <c r="C1070">
        <v>0</v>
      </c>
      <c r="D1070">
        <v>65.540000000000006</v>
      </c>
      <c r="E1070">
        <v>3.907</v>
      </c>
      <c r="F1070">
        <v>219.17469220000001</v>
      </c>
      <c r="G1070">
        <v>6.2969999999999997</v>
      </c>
      <c r="N1070" s="8"/>
    </row>
    <row r="1071" spans="1:14" x14ac:dyDescent="0.25">
      <c r="A1071" s="8">
        <v>40690</v>
      </c>
      <c r="B1071">
        <v>857939.41</v>
      </c>
      <c r="C1071">
        <v>0</v>
      </c>
      <c r="D1071">
        <v>73.14</v>
      </c>
      <c r="E1071">
        <v>3.786</v>
      </c>
      <c r="F1071">
        <v>218.9333986</v>
      </c>
      <c r="G1071">
        <v>6.2969999999999997</v>
      </c>
      <c r="N1071" s="8"/>
    </row>
    <row r="1072" spans="1:14" x14ac:dyDescent="0.25">
      <c r="A1072" s="8">
        <v>40697</v>
      </c>
      <c r="B1072">
        <v>929222.16</v>
      </c>
      <c r="C1072">
        <v>0</v>
      </c>
      <c r="D1072">
        <v>82.05</v>
      </c>
      <c r="E1072">
        <v>3.6989999999999998</v>
      </c>
      <c r="F1072">
        <v>218.69210509999999</v>
      </c>
      <c r="G1072">
        <v>6.2969999999999997</v>
      </c>
      <c r="N1072" s="8"/>
    </row>
    <row r="1073" spans="1:14" x14ac:dyDescent="0.25">
      <c r="A1073" s="8">
        <v>40704</v>
      </c>
      <c r="B1073">
        <v>897309.41</v>
      </c>
      <c r="C1073">
        <v>0</v>
      </c>
      <c r="D1073">
        <v>82.21</v>
      </c>
      <c r="E1073">
        <v>3.6480000000000001</v>
      </c>
      <c r="F1073">
        <v>218.45081149999999</v>
      </c>
      <c r="G1073">
        <v>6.2969999999999997</v>
      </c>
      <c r="N1073" s="8"/>
    </row>
    <row r="1074" spans="1:14" x14ac:dyDescent="0.25">
      <c r="A1074" s="8">
        <v>40711</v>
      </c>
      <c r="B1074">
        <v>922048.41</v>
      </c>
      <c r="C1074">
        <v>0</v>
      </c>
      <c r="D1074">
        <v>84.73</v>
      </c>
      <c r="E1074">
        <v>3.637</v>
      </c>
      <c r="F1074">
        <v>218.4021448</v>
      </c>
      <c r="G1074">
        <v>6.2969999999999997</v>
      </c>
      <c r="N1074" s="8"/>
    </row>
    <row r="1075" spans="1:14" x14ac:dyDescent="0.25">
      <c r="A1075" s="8">
        <v>40718</v>
      </c>
      <c r="B1075">
        <v>864881.24</v>
      </c>
      <c r="C1075">
        <v>0</v>
      </c>
      <c r="D1075">
        <v>83.94</v>
      </c>
      <c r="E1075">
        <v>3.5939999999999999</v>
      </c>
      <c r="F1075">
        <v>218.4979481</v>
      </c>
      <c r="G1075">
        <v>6.2969999999999997</v>
      </c>
      <c r="N1075" s="8"/>
    </row>
    <row r="1076" spans="1:14" x14ac:dyDescent="0.25">
      <c r="A1076" s="8">
        <v>40725</v>
      </c>
      <c r="B1076">
        <v>883683.35</v>
      </c>
      <c r="C1076">
        <v>0</v>
      </c>
      <c r="D1076">
        <v>87.26</v>
      </c>
      <c r="E1076">
        <v>3.524</v>
      </c>
      <c r="F1076">
        <v>218.5937514</v>
      </c>
      <c r="G1076">
        <v>6.4249999999999998</v>
      </c>
      <c r="N1076" s="8"/>
    </row>
    <row r="1077" spans="1:14" x14ac:dyDescent="0.25">
      <c r="A1077" s="8">
        <v>40732</v>
      </c>
      <c r="B1077">
        <v>861965.12</v>
      </c>
      <c r="C1077">
        <v>0</v>
      </c>
      <c r="D1077">
        <v>83.57</v>
      </c>
      <c r="E1077">
        <v>3.48</v>
      </c>
      <c r="F1077">
        <v>218.6895548</v>
      </c>
      <c r="G1077">
        <v>6.4249999999999998</v>
      </c>
      <c r="N1077" s="8"/>
    </row>
    <row r="1078" spans="1:14" x14ac:dyDescent="0.25">
      <c r="A1078" s="8">
        <v>40739</v>
      </c>
      <c r="B1078">
        <v>849925.37</v>
      </c>
      <c r="C1078">
        <v>0</v>
      </c>
      <c r="D1078">
        <v>84.26</v>
      </c>
      <c r="E1078">
        <v>3.5750000000000002</v>
      </c>
      <c r="F1078">
        <v>218.77462170000001</v>
      </c>
      <c r="G1078">
        <v>6.4249999999999998</v>
      </c>
      <c r="N1078" s="8"/>
    </row>
    <row r="1079" spans="1:14" x14ac:dyDescent="0.25">
      <c r="A1079" s="8">
        <v>40746</v>
      </c>
      <c r="B1079">
        <v>829902.42</v>
      </c>
      <c r="C1079">
        <v>0</v>
      </c>
      <c r="D1079">
        <v>85.46</v>
      </c>
      <c r="E1079">
        <v>3.6509999999999998</v>
      </c>
      <c r="F1079">
        <v>218.83284750000001</v>
      </c>
      <c r="G1079">
        <v>6.4249999999999998</v>
      </c>
      <c r="N1079" s="8"/>
    </row>
    <row r="1080" spans="1:14" x14ac:dyDescent="0.25">
      <c r="A1080" s="8">
        <v>40753</v>
      </c>
      <c r="B1080">
        <v>807082.19</v>
      </c>
      <c r="C1080">
        <v>0</v>
      </c>
      <c r="D1080">
        <v>86.46</v>
      </c>
      <c r="E1080">
        <v>3.6819999999999999</v>
      </c>
      <c r="F1080">
        <v>218.89107329999999</v>
      </c>
      <c r="G1080">
        <v>6.4249999999999998</v>
      </c>
      <c r="N1080" s="8"/>
    </row>
    <row r="1081" spans="1:14" x14ac:dyDescent="0.25">
      <c r="A1081" s="8">
        <v>40760</v>
      </c>
      <c r="B1081">
        <v>892393.77</v>
      </c>
      <c r="C1081">
        <v>0</v>
      </c>
      <c r="D1081">
        <v>85.15</v>
      </c>
      <c r="E1081">
        <v>3.6840000000000002</v>
      </c>
      <c r="F1081">
        <v>218.94929909999999</v>
      </c>
      <c r="G1081">
        <v>6.4249999999999998</v>
      </c>
      <c r="N1081" s="8"/>
    </row>
    <row r="1082" spans="1:14" x14ac:dyDescent="0.25">
      <c r="A1082" s="8">
        <v>40767</v>
      </c>
      <c r="B1082">
        <v>856796.1</v>
      </c>
      <c r="C1082">
        <v>0</v>
      </c>
      <c r="D1082">
        <v>86.05</v>
      </c>
      <c r="E1082">
        <v>3.6379999999999999</v>
      </c>
      <c r="F1082">
        <v>219.00752489999999</v>
      </c>
      <c r="G1082">
        <v>6.4249999999999998</v>
      </c>
      <c r="N1082" s="8"/>
    </row>
    <row r="1083" spans="1:14" x14ac:dyDescent="0.25">
      <c r="A1083" s="8">
        <v>40774</v>
      </c>
      <c r="B1083">
        <v>895066.5</v>
      </c>
      <c r="C1083">
        <v>0</v>
      </c>
      <c r="D1083">
        <v>82.92</v>
      </c>
      <c r="E1083">
        <v>3.5539999999999998</v>
      </c>
      <c r="F1083">
        <v>219.07019679999999</v>
      </c>
      <c r="G1083">
        <v>6.4249999999999998</v>
      </c>
      <c r="N1083" s="8"/>
    </row>
    <row r="1084" spans="1:14" x14ac:dyDescent="0.25">
      <c r="A1084" s="8">
        <v>40781</v>
      </c>
      <c r="B1084">
        <v>912542.82</v>
      </c>
      <c r="C1084">
        <v>0</v>
      </c>
      <c r="D1084">
        <v>84.69</v>
      </c>
      <c r="E1084">
        <v>3.5230000000000001</v>
      </c>
      <c r="F1084">
        <v>219.13360969999999</v>
      </c>
      <c r="G1084">
        <v>6.4249999999999998</v>
      </c>
      <c r="N1084" s="8"/>
    </row>
    <row r="1085" spans="1:14" x14ac:dyDescent="0.25">
      <c r="A1085" s="8">
        <v>40788</v>
      </c>
      <c r="B1085">
        <v>891387.14</v>
      </c>
      <c r="C1085">
        <v>0</v>
      </c>
      <c r="D1085">
        <v>84.77</v>
      </c>
      <c r="E1085">
        <v>3.5329999999999999</v>
      </c>
      <c r="F1085">
        <v>219.1970226</v>
      </c>
      <c r="G1085">
        <v>6.4249999999999998</v>
      </c>
      <c r="N1085" s="8"/>
    </row>
    <row r="1086" spans="1:14" x14ac:dyDescent="0.25">
      <c r="A1086" s="8">
        <v>40795</v>
      </c>
      <c r="B1086">
        <v>848358.09</v>
      </c>
      <c r="C1086">
        <v>1</v>
      </c>
      <c r="D1086">
        <v>69.010000000000005</v>
      </c>
      <c r="E1086">
        <v>3.5459999999999998</v>
      </c>
      <c r="F1086">
        <v>219.2604355</v>
      </c>
      <c r="G1086">
        <v>6.4249999999999998</v>
      </c>
      <c r="N1086" s="8"/>
    </row>
    <row r="1087" spans="1:14" x14ac:dyDescent="0.25">
      <c r="A1087" s="8">
        <v>40802</v>
      </c>
      <c r="B1087">
        <v>870971.82</v>
      </c>
      <c r="C1087">
        <v>0</v>
      </c>
      <c r="D1087">
        <v>69.09</v>
      </c>
      <c r="E1087">
        <v>3.5259999999999998</v>
      </c>
      <c r="F1087">
        <v>219.44424430000001</v>
      </c>
      <c r="G1087">
        <v>6.4249999999999998</v>
      </c>
      <c r="N1087" s="8"/>
    </row>
    <row r="1088" spans="1:14" x14ac:dyDescent="0.25">
      <c r="A1088" s="8">
        <v>40809</v>
      </c>
      <c r="B1088">
        <v>806444.29</v>
      </c>
      <c r="C1088">
        <v>0</v>
      </c>
      <c r="D1088">
        <v>68.72</v>
      </c>
      <c r="E1088">
        <v>3.4670000000000001</v>
      </c>
      <c r="F1088">
        <v>219.78858099999999</v>
      </c>
      <c r="G1088">
        <v>6.4249999999999998</v>
      </c>
      <c r="N1088" s="8"/>
    </row>
    <row r="1089" spans="1:14" x14ac:dyDescent="0.25">
      <c r="A1089" s="8">
        <v>40816</v>
      </c>
      <c r="B1089">
        <v>809049.37</v>
      </c>
      <c r="C1089">
        <v>0</v>
      </c>
      <c r="D1089">
        <v>72.2</v>
      </c>
      <c r="E1089">
        <v>3.355</v>
      </c>
      <c r="F1089">
        <v>220.13291760000001</v>
      </c>
      <c r="G1089">
        <v>6.4249999999999998</v>
      </c>
      <c r="N1089" s="8"/>
    </row>
    <row r="1090" spans="1:14" x14ac:dyDescent="0.25">
      <c r="A1090" s="8">
        <v>40823</v>
      </c>
      <c r="B1090">
        <v>929976.55</v>
      </c>
      <c r="C1090">
        <v>0</v>
      </c>
      <c r="D1090">
        <v>67.61</v>
      </c>
      <c r="E1090">
        <v>3.2850000000000001</v>
      </c>
      <c r="F1090">
        <v>220.4772543</v>
      </c>
      <c r="G1090">
        <v>6.1230000000000002</v>
      </c>
      <c r="N1090" s="8"/>
    </row>
    <row r="1091" spans="1:14" x14ac:dyDescent="0.25">
      <c r="A1091" s="8">
        <v>40830</v>
      </c>
      <c r="B1091">
        <v>863188.26</v>
      </c>
      <c r="C1091">
        <v>0</v>
      </c>
      <c r="D1091">
        <v>61.74</v>
      </c>
      <c r="E1091">
        <v>3.274</v>
      </c>
      <c r="F1091">
        <v>220.79609350000001</v>
      </c>
      <c r="G1091">
        <v>6.1230000000000002</v>
      </c>
      <c r="N1091" s="8"/>
    </row>
    <row r="1092" spans="1:14" x14ac:dyDescent="0.25">
      <c r="A1092" s="8">
        <v>40837</v>
      </c>
      <c r="B1092">
        <v>905984.49</v>
      </c>
      <c r="C1092">
        <v>0</v>
      </c>
      <c r="D1092">
        <v>59.97</v>
      </c>
      <c r="E1092">
        <v>3.3530000000000002</v>
      </c>
      <c r="F1092">
        <v>220.96194840000001</v>
      </c>
      <c r="G1092">
        <v>6.1230000000000002</v>
      </c>
      <c r="N1092" s="8"/>
    </row>
    <row r="1093" spans="1:14" x14ac:dyDescent="0.25">
      <c r="A1093" s="8">
        <v>40844</v>
      </c>
      <c r="B1093">
        <v>876712.31</v>
      </c>
      <c r="C1093">
        <v>0</v>
      </c>
      <c r="D1093">
        <v>56.86</v>
      </c>
      <c r="E1093">
        <v>3.3719999999999999</v>
      </c>
      <c r="F1093">
        <v>221.12780319999999</v>
      </c>
      <c r="G1093">
        <v>6.1230000000000002</v>
      </c>
      <c r="N1093" s="8"/>
    </row>
    <row r="1094" spans="1:14" x14ac:dyDescent="0.25">
      <c r="A1094" s="8">
        <v>40851</v>
      </c>
      <c r="B1094">
        <v>947815.05</v>
      </c>
      <c r="C1094">
        <v>0</v>
      </c>
      <c r="D1094">
        <v>49.68</v>
      </c>
      <c r="E1094">
        <v>3.3319999999999999</v>
      </c>
      <c r="F1094">
        <v>221.29365809999999</v>
      </c>
      <c r="G1094">
        <v>6.1230000000000002</v>
      </c>
      <c r="N1094" s="8"/>
    </row>
    <row r="1095" spans="1:14" x14ac:dyDescent="0.25">
      <c r="A1095" s="8">
        <v>40858</v>
      </c>
      <c r="B1095">
        <v>917088.48</v>
      </c>
      <c r="C1095">
        <v>0</v>
      </c>
      <c r="D1095">
        <v>50.56</v>
      </c>
      <c r="E1095">
        <v>3.2970000000000002</v>
      </c>
      <c r="F1095">
        <v>221.45951289999999</v>
      </c>
      <c r="G1095">
        <v>6.1230000000000002</v>
      </c>
      <c r="N1095" s="8"/>
    </row>
    <row r="1096" spans="1:14" x14ac:dyDescent="0.25">
      <c r="A1096" s="8">
        <v>40865</v>
      </c>
      <c r="B1096">
        <v>897032.19</v>
      </c>
      <c r="C1096">
        <v>0</v>
      </c>
      <c r="D1096">
        <v>51.72</v>
      </c>
      <c r="E1096">
        <v>3.3079999999999998</v>
      </c>
      <c r="F1096">
        <v>221.6911738</v>
      </c>
      <c r="G1096">
        <v>6.1230000000000002</v>
      </c>
      <c r="N1096" s="8"/>
    </row>
    <row r="1097" spans="1:14" x14ac:dyDescent="0.25">
      <c r="A1097" s="8">
        <v>40872</v>
      </c>
      <c r="B1097">
        <v>1235163.8600000001</v>
      </c>
      <c r="C1097">
        <v>1</v>
      </c>
      <c r="D1097">
        <v>49.61</v>
      </c>
      <c r="E1097">
        <v>3.2360000000000002</v>
      </c>
      <c r="F1097">
        <v>221.94915710000001</v>
      </c>
      <c r="G1097">
        <v>6.1230000000000002</v>
      </c>
      <c r="N1097" s="8"/>
    </row>
    <row r="1098" spans="1:14" x14ac:dyDescent="0.25">
      <c r="A1098" s="8">
        <v>40879</v>
      </c>
      <c r="B1098">
        <v>986601.46</v>
      </c>
      <c r="C1098">
        <v>0</v>
      </c>
      <c r="D1098">
        <v>40.82</v>
      </c>
      <c r="E1098">
        <v>3.1720000000000002</v>
      </c>
      <c r="F1098">
        <v>222.20714050000001</v>
      </c>
      <c r="G1098">
        <v>6.1230000000000002</v>
      </c>
      <c r="N1098" s="8"/>
    </row>
    <row r="1099" spans="1:14" x14ac:dyDescent="0.25">
      <c r="A1099" s="8">
        <v>40886</v>
      </c>
      <c r="B1099">
        <v>1051922.95</v>
      </c>
      <c r="C1099">
        <v>0</v>
      </c>
      <c r="D1099">
        <v>30.51</v>
      </c>
      <c r="E1099">
        <v>3.1579999999999999</v>
      </c>
      <c r="F1099">
        <v>222.46512379999999</v>
      </c>
      <c r="G1099">
        <v>6.1230000000000002</v>
      </c>
      <c r="N1099" s="8"/>
    </row>
    <row r="1100" spans="1:14" x14ac:dyDescent="0.25">
      <c r="A1100" s="8">
        <v>40893</v>
      </c>
      <c r="B1100">
        <v>1118163.94</v>
      </c>
      <c r="C1100">
        <v>0</v>
      </c>
      <c r="D1100">
        <v>39.79</v>
      </c>
      <c r="E1100">
        <v>3.1589999999999998</v>
      </c>
      <c r="F1100">
        <v>222.69109589999999</v>
      </c>
      <c r="G1100">
        <v>6.1230000000000002</v>
      </c>
      <c r="N1100" s="8"/>
    </row>
    <row r="1101" spans="1:14" x14ac:dyDescent="0.25">
      <c r="A1101" s="8">
        <v>40900</v>
      </c>
      <c r="B1101">
        <v>1462254.05</v>
      </c>
      <c r="C1101">
        <v>0</v>
      </c>
      <c r="D1101">
        <v>38.159999999999997</v>
      </c>
      <c r="E1101">
        <v>3.1120000000000001</v>
      </c>
      <c r="F1101">
        <v>222.8743862</v>
      </c>
      <c r="G1101">
        <v>6.1230000000000002</v>
      </c>
      <c r="N1101" s="8"/>
    </row>
    <row r="1102" spans="1:14" x14ac:dyDescent="0.25">
      <c r="A1102" s="8">
        <v>40907</v>
      </c>
      <c r="B1102">
        <v>858572.22</v>
      </c>
      <c r="C1102">
        <v>1</v>
      </c>
      <c r="D1102">
        <v>36.33</v>
      </c>
      <c r="E1102">
        <v>3.129</v>
      </c>
      <c r="F1102">
        <v>223.05767650000001</v>
      </c>
      <c r="G1102">
        <v>6.1230000000000002</v>
      </c>
      <c r="N1102" s="8"/>
    </row>
    <row r="1103" spans="1:14" x14ac:dyDescent="0.25">
      <c r="A1103" s="8">
        <v>40914</v>
      </c>
      <c r="B1103">
        <v>872113.23</v>
      </c>
      <c r="C1103">
        <v>0</v>
      </c>
      <c r="D1103">
        <v>43.47</v>
      </c>
      <c r="E1103">
        <v>3.157</v>
      </c>
      <c r="F1103">
        <v>223.2409668</v>
      </c>
      <c r="G1103">
        <v>5.8250000000000002</v>
      </c>
      <c r="N1103" s="8"/>
    </row>
    <row r="1104" spans="1:14" x14ac:dyDescent="0.25">
      <c r="A1104" s="8">
        <v>40921</v>
      </c>
      <c r="B1104">
        <v>817661.76</v>
      </c>
      <c r="C1104">
        <v>0</v>
      </c>
      <c r="D1104">
        <v>36.46</v>
      </c>
      <c r="E1104">
        <v>3.2610000000000001</v>
      </c>
      <c r="F1104">
        <v>223.42425710000001</v>
      </c>
      <c r="G1104">
        <v>5.8250000000000002</v>
      </c>
      <c r="N1104" s="8"/>
    </row>
    <row r="1105" spans="1:14" x14ac:dyDescent="0.25">
      <c r="A1105" s="8">
        <v>40928</v>
      </c>
      <c r="B1105">
        <v>813954.82</v>
      </c>
      <c r="C1105">
        <v>0</v>
      </c>
      <c r="D1105">
        <v>46.81</v>
      </c>
      <c r="E1105">
        <v>3.2679999999999998</v>
      </c>
      <c r="F1105">
        <v>223.51880550000001</v>
      </c>
      <c r="G1105">
        <v>5.8250000000000002</v>
      </c>
      <c r="N1105" s="8"/>
    </row>
    <row r="1106" spans="1:14" x14ac:dyDescent="0.25">
      <c r="A1106" s="8">
        <v>40935</v>
      </c>
      <c r="B1106">
        <v>778178.53</v>
      </c>
      <c r="C1106">
        <v>0</v>
      </c>
      <c r="D1106">
        <v>45.52</v>
      </c>
      <c r="E1106">
        <v>3.29</v>
      </c>
      <c r="F1106">
        <v>223.61335389999999</v>
      </c>
      <c r="G1106">
        <v>5.8250000000000002</v>
      </c>
      <c r="N1106" s="8"/>
    </row>
    <row r="1107" spans="1:14" x14ac:dyDescent="0.25">
      <c r="A1107" s="8">
        <v>40942</v>
      </c>
      <c r="B1107">
        <v>927610.69</v>
      </c>
      <c r="C1107">
        <v>0</v>
      </c>
      <c r="D1107">
        <v>45.56</v>
      </c>
      <c r="E1107">
        <v>3.36</v>
      </c>
      <c r="F1107">
        <v>223.7079023</v>
      </c>
      <c r="G1107">
        <v>5.8250000000000002</v>
      </c>
      <c r="N1107" s="8"/>
    </row>
    <row r="1108" spans="1:14" x14ac:dyDescent="0.25">
      <c r="A1108" s="8">
        <v>40949</v>
      </c>
      <c r="B1108">
        <v>1021400.42</v>
      </c>
      <c r="C1108">
        <v>1</v>
      </c>
      <c r="D1108">
        <v>35.71</v>
      </c>
      <c r="E1108">
        <v>3.4089999999999998</v>
      </c>
      <c r="F1108">
        <v>223.80245070000001</v>
      </c>
      <c r="G1108">
        <v>5.8250000000000002</v>
      </c>
      <c r="N1108" s="8"/>
    </row>
    <row r="1109" spans="1:14" x14ac:dyDescent="0.25">
      <c r="A1109" s="8">
        <v>40956</v>
      </c>
      <c r="B1109">
        <v>1096232.8899999999</v>
      </c>
      <c r="C1109">
        <v>0</v>
      </c>
      <c r="D1109">
        <v>37.51</v>
      </c>
      <c r="E1109">
        <v>3.51</v>
      </c>
      <c r="F1109">
        <v>223.96586210000001</v>
      </c>
      <c r="G1109">
        <v>5.8250000000000002</v>
      </c>
      <c r="N1109" s="8"/>
    </row>
    <row r="1110" spans="1:14" x14ac:dyDescent="0.25">
      <c r="A1110" s="8">
        <v>40963</v>
      </c>
      <c r="B1110">
        <v>928537.54</v>
      </c>
      <c r="C1110">
        <v>0</v>
      </c>
      <c r="D1110">
        <v>46.33</v>
      </c>
      <c r="E1110">
        <v>3.5550000000000002</v>
      </c>
      <c r="F1110">
        <v>224.1809207</v>
      </c>
      <c r="G1110">
        <v>5.8250000000000002</v>
      </c>
      <c r="N1110" s="8"/>
    </row>
    <row r="1111" spans="1:14" x14ac:dyDescent="0.25">
      <c r="A1111" s="8">
        <v>40970</v>
      </c>
      <c r="B1111">
        <v>952264.91</v>
      </c>
      <c r="C1111">
        <v>0</v>
      </c>
      <c r="D1111">
        <v>50.95</v>
      </c>
      <c r="E1111">
        <v>3.63</v>
      </c>
      <c r="F1111">
        <v>224.39597929999999</v>
      </c>
      <c r="G1111">
        <v>5.8250000000000002</v>
      </c>
      <c r="N1111" s="8"/>
    </row>
    <row r="1112" spans="1:14" x14ac:dyDescent="0.25">
      <c r="A1112" s="8">
        <v>40977</v>
      </c>
      <c r="B1112">
        <v>960115.56</v>
      </c>
      <c r="C1112">
        <v>0</v>
      </c>
      <c r="D1112">
        <v>49.59</v>
      </c>
      <c r="E1112">
        <v>3.669</v>
      </c>
      <c r="F1112">
        <v>224.61103790000001</v>
      </c>
      <c r="G1112">
        <v>5.8250000000000002</v>
      </c>
      <c r="N1112" s="8"/>
    </row>
    <row r="1113" spans="1:14" x14ac:dyDescent="0.25">
      <c r="A1113" s="8">
        <v>40984</v>
      </c>
      <c r="B1113">
        <v>921178.39</v>
      </c>
      <c r="C1113">
        <v>0</v>
      </c>
      <c r="D1113">
        <v>56.63</v>
      </c>
      <c r="E1113">
        <v>3.734</v>
      </c>
      <c r="F1113">
        <v>224.7657327</v>
      </c>
      <c r="G1113">
        <v>5.8250000000000002</v>
      </c>
      <c r="N1113" s="8"/>
    </row>
    <row r="1114" spans="1:14" x14ac:dyDescent="0.25">
      <c r="A1114" s="8">
        <v>40991</v>
      </c>
      <c r="B1114">
        <v>874223.25</v>
      </c>
      <c r="C1114">
        <v>0</v>
      </c>
      <c r="D1114">
        <v>52.9</v>
      </c>
      <c r="E1114">
        <v>3.7869999999999999</v>
      </c>
      <c r="F1114">
        <v>224.83994240000001</v>
      </c>
      <c r="G1114">
        <v>5.8250000000000002</v>
      </c>
      <c r="N1114" s="8"/>
    </row>
    <row r="1115" spans="1:14" x14ac:dyDescent="0.25">
      <c r="A1115" s="8">
        <v>40998</v>
      </c>
      <c r="B1115">
        <v>905935.29</v>
      </c>
      <c r="C1115">
        <v>0</v>
      </c>
      <c r="D1115">
        <v>66.69</v>
      </c>
      <c r="E1115">
        <v>3.8450000000000002</v>
      </c>
      <c r="F1115">
        <v>224.9141521</v>
      </c>
      <c r="G1115">
        <v>5.8250000000000002</v>
      </c>
      <c r="N1115" s="8"/>
    </row>
    <row r="1116" spans="1:14" x14ac:dyDescent="0.25">
      <c r="A1116" s="8">
        <v>41005</v>
      </c>
      <c r="B1116">
        <v>1046816.59</v>
      </c>
      <c r="C1116">
        <v>0</v>
      </c>
      <c r="D1116">
        <v>62.18</v>
      </c>
      <c r="E1116">
        <v>3.891</v>
      </c>
      <c r="F1116">
        <v>224.98836180000001</v>
      </c>
      <c r="G1116">
        <v>5.6790000000000003</v>
      </c>
      <c r="N1116" s="8"/>
    </row>
    <row r="1117" spans="1:14" x14ac:dyDescent="0.25">
      <c r="A1117" s="8">
        <v>41012</v>
      </c>
      <c r="B1117">
        <v>909989.45</v>
      </c>
      <c r="C1117">
        <v>0</v>
      </c>
      <c r="D1117">
        <v>65.19</v>
      </c>
      <c r="E1117">
        <v>3.891</v>
      </c>
      <c r="F1117">
        <v>225.0625714</v>
      </c>
      <c r="G1117">
        <v>5.6790000000000003</v>
      </c>
      <c r="N1117" s="8"/>
    </row>
    <row r="1118" spans="1:14" x14ac:dyDescent="0.25">
      <c r="A1118" s="8">
        <v>41019</v>
      </c>
      <c r="B1118">
        <v>872288.46</v>
      </c>
      <c r="C1118">
        <v>0</v>
      </c>
      <c r="D1118">
        <v>63.59</v>
      </c>
      <c r="E1118">
        <v>3.8769999999999998</v>
      </c>
      <c r="F1118">
        <v>225.11799139999999</v>
      </c>
      <c r="G1118">
        <v>5.6790000000000003</v>
      </c>
      <c r="N1118" s="8"/>
    </row>
    <row r="1119" spans="1:14" x14ac:dyDescent="0.25">
      <c r="A1119" s="8">
        <v>41026</v>
      </c>
      <c r="B1119">
        <v>879448.25</v>
      </c>
      <c r="C1119">
        <v>0</v>
      </c>
      <c r="D1119">
        <v>70.34</v>
      </c>
      <c r="E1119">
        <v>3.8140000000000001</v>
      </c>
      <c r="F1119">
        <v>225.17341139999999</v>
      </c>
      <c r="G1119">
        <v>5.6790000000000003</v>
      </c>
      <c r="N1119" s="8"/>
    </row>
    <row r="1120" spans="1:14" x14ac:dyDescent="0.25">
      <c r="A1120" s="8">
        <v>41033</v>
      </c>
      <c r="B1120">
        <v>937232.09</v>
      </c>
      <c r="C1120">
        <v>0</v>
      </c>
      <c r="D1120">
        <v>73.959999999999994</v>
      </c>
      <c r="E1120">
        <v>3.7490000000000001</v>
      </c>
      <c r="F1120">
        <v>225.22883139999999</v>
      </c>
      <c r="G1120">
        <v>5.6790000000000003</v>
      </c>
      <c r="N1120" s="8"/>
    </row>
    <row r="1121" spans="1:14" x14ac:dyDescent="0.25">
      <c r="A1121" s="8">
        <v>41040</v>
      </c>
      <c r="B1121">
        <v>920128.89</v>
      </c>
      <c r="C1121">
        <v>0</v>
      </c>
      <c r="D1121">
        <v>64.959999999999994</v>
      </c>
      <c r="E1121">
        <v>3.6880000000000002</v>
      </c>
      <c r="F1121">
        <v>225.28425139999999</v>
      </c>
      <c r="G1121">
        <v>5.6790000000000003</v>
      </c>
      <c r="N1121" s="8"/>
    </row>
    <row r="1122" spans="1:14" x14ac:dyDescent="0.25">
      <c r="A1122" s="8">
        <v>41047</v>
      </c>
      <c r="B1122">
        <v>913922.01</v>
      </c>
      <c r="C1122">
        <v>0</v>
      </c>
      <c r="D1122">
        <v>64.16</v>
      </c>
      <c r="E1122">
        <v>3.63</v>
      </c>
      <c r="F1122">
        <v>225.3002908</v>
      </c>
      <c r="G1122">
        <v>5.6790000000000003</v>
      </c>
      <c r="N1122" s="8"/>
    </row>
    <row r="1123" spans="1:14" x14ac:dyDescent="0.25">
      <c r="A1123" s="8">
        <v>41054</v>
      </c>
      <c r="B1123">
        <v>895157.44</v>
      </c>
      <c r="C1123">
        <v>0</v>
      </c>
      <c r="D1123">
        <v>76.11</v>
      </c>
      <c r="E1123">
        <v>3.5609999999999999</v>
      </c>
      <c r="F1123">
        <v>225.30057790000001</v>
      </c>
      <c r="G1123">
        <v>5.6790000000000003</v>
      </c>
      <c r="N1123" s="8"/>
    </row>
    <row r="1124" spans="1:14" x14ac:dyDescent="0.25">
      <c r="A1124" s="8">
        <v>41061</v>
      </c>
      <c r="B1124">
        <v>921161.2</v>
      </c>
      <c r="C1124">
        <v>0</v>
      </c>
      <c r="D1124">
        <v>78.31</v>
      </c>
      <c r="E1124">
        <v>3.5009999999999999</v>
      </c>
      <c r="F1124">
        <v>225.30086499999999</v>
      </c>
      <c r="G1124">
        <v>5.6790000000000003</v>
      </c>
      <c r="N1124" s="8"/>
    </row>
    <row r="1125" spans="1:14" x14ac:dyDescent="0.25">
      <c r="A1125" s="8">
        <v>41068</v>
      </c>
      <c r="B1125">
        <v>928820</v>
      </c>
      <c r="C1125">
        <v>0</v>
      </c>
      <c r="D1125">
        <v>74.28</v>
      </c>
      <c r="E1125">
        <v>3.452</v>
      </c>
      <c r="F1125">
        <v>225.3011521</v>
      </c>
      <c r="G1125">
        <v>5.6790000000000003</v>
      </c>
      <c r="N1125" s="8"/>
    </row>
    <row r="1126" spans="1:14" x14ac:dyDescent="0.25">
      <c r="A1126" s="8">
        <v>41075</v>
      </c>
      <c r="B1126">
        <v>916918.7</v>
      </c>
      <c r="C1126">
        <v>0</v>
      </c>
      <c r="D1126">
        <v>77.14</v>
      </c>
      <c r="E1126">
        <v>3.3929999999999998</v>
      </c>
      <c r="F1126">
        <v>225.3134743</v>
      </c>
      <c r="G1126">
        <v>5.6790000000000003</v>
      </c>
      <c r="N1126" s="8"/>
    </row>
    <row r="1127" spans="1:14" x14ac:dyDescent="0.25">
      <c r="A1127" s="8">
        <v>41082</v>
      </c>
      <c r="B1127">
        <v>899449.65</v>
      </c>
      <c r="C1127">
        <v>0</v>
      </c>
      <c r="D1127">
        <v>78.849999999999994</v>
      </c>
      <c r="E1127">
        <v>3.3460000000000001</v>
      </c>
      <c r="F1127">
        <v>225.35588430000001</v>
      </c>
      <c r="G1127">
        <v>5.6790000000000003</v>
      </c>
      <c r="N1127" s="8"/>
    </row>
    <row r="1128" spans="1:14" x14ac:dyDescent="0.25">
      <c r="A1128" s="8">
        <v>41089</v>
      </c>
      <c r="B1128">
        <v>878298.22</v>
      </c>
      <c r="C1128">
        <v>0</v>
      </c>
      <c r="D1128">
        <v>84.47</v>
      </c>
      <c r="E1128">
        <v>3.286</v>
      </c>
      <c r="F1128">
        <v>225.3982943</v>
      </c>
      <c r="G1128">
        <v>5.6790000000000003</v>
      </c>
      <c r="N1128" s="8"/>
    </row>
    <row r="1129" spans="1:14" x14ac:dyDescent="0.25">
      <c r="A1129" s="8">
        <v>41096</v>
      </c>
      <c r="B1129">
        <v>936205.5</v>
      </c>
      <c r="C1129">
        <v>0</v>
      </c>
      <c r="D1129">
        <v>81.239999999999995</v>
      </c>
      <c r="E1129">
        <v>3.2269999999999999</v>
      </c>
      <c r="F1129">
        <v>225.44070429999999</v>
      </c>
      <c r="G1129">
        <v>5.4009999999999998</v>
      </c>
      <c r="N1129" s="8"/>
    </row>
    <row r="1130" spans="1:14" x14ac:dyDescent="0.25">
      <c r="A1130" s="8">
        <v>41103</v>
      </c>
      <c r="B1130">
        <v>890488.01</v>
      </c>
      <c r="C1130">
        <v>0</v>
      </c>
      <c r="D1130">
        <v>78.459999999999994</v>
      </c>
      <c r="E1130">
        <v>3.2559999999999998</v>
      </c>
      <c r="F1130">
        <v>225.48311430000001</v>
      </c>
      <c r="G1130">
        <v>5.4009999999999998</v>
      </c>
      <c r="N1130" s="8"/>
    </row>
    <row r="1131" spans="1:14" x14ac:dyDescent="0.25">
      <c r="A1131" s="8">
        <v>41110</v>
      </c>
      <c r="B1131">
        <v>888834.07</v>
      </c>
      <c r="C1131">
        <v>0</v>
      </c>
      <c r="D1131">
        <v>79.94</v>
      </c>
      <c r="E1131">
        <v>3.3109999999999999</v>
      </c>
      <c r="F1131">
        <v>225.49300779999999</v>
      </c>
      <c r="G1131">
        <v>5.4009999999999998</v>
      </c>
      <c r="N1131" s="8"/>
    </row>
    <row r="1132" spans="1:14" x14ac:dyDescent="0.25">
      <c r="A1132" s="8">
        <v>41117</v>
      </c>
      <c r="B1132">
        <v>838227.52</v>
      </c>
      <c r="C1132">
        <v>0</v>
      </c>
      <c r="D1132">
        <v>81.709999999999994</v>
      </c>
      <c r="E1132">
        <v>3.407</v>
      </c>
      <c r="F1132">
        <v>225.50290140000001</v>
      </c>
      <c r="G1132">
        <v>5.4009999999999998</v>
      </c>
      <c r="N1132" s="8"/>
    </row>
    <row r="1133" spans="1:14" x14ac:dyDescent="0.25">
      <c r="A1133" s="8">
        <v>41124</v>
      </c>
      <c r="B1133">
        <v>897076.73</v>
      </c>
      <c r="C1133">
        <v>0</v>
      </c>
      <c r="D1133">
        <v>85.06</v>
      </c>
      <c r="E1133">
        <v>3.4169999999999998</v>
      </c>
      <c r="F1133">
        <v>225.51279489999999</v>
      </c>
      <c r="G1133">
        <v>5.4009999999999998</v>
      </c>
      <c r="N1133" s="8"/>
    </row>
    <row r="1134" spans="1:14" x14ac:dyDescent="0.25">
      <c r="A1134" s="8">
        <v>41131</v>
      </c>
      <c r="B1134">
        <v>930745.69</v>
      </c>
      <c r="C1134">
        <v>0</v>
      </c>
      <c r="D1134">
        <v>83.74</v>
      </c>
      <c r="E1134">
        <v>3.4940000000000002</v>
      </c>
      <c r="F1134">
        <v>225.52268849999999</v>
      </c>
      <c r="G1134">
        <v>5.4009999999999998</v>
      </c>
      <c r="N1134" s="8"/>
    </row>
    <row r="1135" spans="1:14" x14ac:dyDescent="0.25">
      <c r="A1135" s="8">
        <v>41138</v>
      </c>
      <c r="B1135">
        <v>896613.19</v>
      </c>
      <c r="C1135">
        <v>0</v>
      </c>
      <c r="D1135">
        <v>81.209999999999994</v>
      </c>
      <c r="E1135">
        <v>3.5710000000000002</v>
      </c>
      <c r="F1135">
        <v>225.6050797</v>
      </c>
      <c r="G1135">
        <v>5.4009999999999998</v>
      </c>
      <c r="N1135" s="8"/>
    </row>
    <row r="1136" spans="1:14" x14ac:dyDescent="0.25">
      <c r="A1136" s="8">
        <v>41145</v>
      </c>
      <c r="B1136">
        <v>936373.65</v>
      </c>
      <c r="C1136">
        <v>0</v>
      </c>
      <c r="D1136">
        <v>73.77</v>
      </c>
      <c r="E1136">
        <v>3.62</v>
      </c>
      <c r="F1136">
        <v>225.7418442</v>
      </c>
      <c r="G1136">
        <v>5.4009999999999998</v>
      </c>
      <c r="N1136" s="8"/>
    </row>
    <row r="1137" spans="1:14" x14ac:dyDescent="0.25">
      <c r="A1137" s="8">
        <v>41152</v>
      </c>
      <c r="B1137">
        <v>976137.73</v>
      </c>
      <c r="C1137">
        <v>0</v>
      </c>
      <c r="D1137">
        <v>75.33</v>
      </c>
      <c r="E1137">
        <v>3.6379999999999999</v>
      </c>
      <c r="F1137">
        <v>225.87860879999999</v>
      </c>
      <c r="G1137">
        <v>5.4009999999999998</v>
      </c>
      <c r="N1137" s="8"/>
    </row>
    <row r="1138" spans="1:14" x14ac:dyDescent="0.25">
      <c r="A1138" s="8">
        <v>41159</v>
      </c>
      <c r="B1138">
        <v>932160.37</v>
      </c>
      <c r="C1138">
        <v>1</v>
      </c>
      <c r="D1138">
        <v>80.87</v>
      </c>
      <c r="E1138">
        <v>3.73</v>
      </c>
      <c r="F1138">
        <v>226.01537329999999</v>
      </c>
      <c r="G1138">
        <v>5.4009999999999998</v>
      </c>
      <c r="N1138" s="8"/>
    </row>
    <row r="1139" spans="1:14" x14ac:dyDescent="0.25">
      <c r="A1139" s="8">
        <v>41166</v>
      </c>
      <c r="B1139">
        <v>883569.38</v>
      </c>
      <c r="C1139">
        <v>0</v>
      </c>
      <c r="D1139">
        <v>67.209999999999994</v>
      </c>
      <c r="E1139">
        <v>3.7170000000000001</v>
      </c>
      <c r="F1139">
        <v>226.16159809999999</v>
      </c>
      <c r="G1139">
        <v>5.4009999999999998</v>
      </c>
      <c r="N1139" s="8"/>
    </row>
    <row r="1140" spans="1:14" x14ac:dyDescent="0.25">
      <c r="A1140" s="8">
        <v>41173</v>
      </c>
      <c r="B1140">
        <v>857796.45</v>
      </c>
      <c r="C1140">
        <v>0</v>
      </c>
      <c r="D1140">
        <v>66.959999999999994</v>
      </c>
      <c r="E1140">
        <v>3.7210000000000001</v>
      </c>
      <c r="F1140">
        <v>226.36458479999999</v>
      </c>
      <c r="G1140">
        <v>5.4009999999999998</v>
      </c>
      <c r="N1140" s="8"/>
    </row>
    <row r="1141" spans="1:14" x14ac:dyDescent="0.25">
      <c r="A1141" s="8">
        <v>41180</v>
      </c>
      <c r="B1141">
        <v>884724.41</v>
      </c>
      <c r="C1141">
        <v>0</v>
      </c>
      <c r="D1141">
        <v>71.099999999999994</v>
      </c>
      <c r="E1141">
        <v>3.6659999999999999</v>
      </c>
      <c r="F1141">
        <v>226.56757139999999</v>
      </c>
      <c r="G1141">
        <v>5.4009999999999998</v>
      </c>
      <c r="N1141" s="8"/>
    </row>
    <row r="1142" spans="1:14" x14ac:dyDescent="0.25">
      <c r="A1142" s="8">
        <v>41187</v>
      </c>
      <c r="B1142">
        <v>976436.02</v>
      </c>
      <c r="C1142">
        <v>0</v>
      </c>
      <c r="D1142">
        <v>61.41</v>
      </c>
      <c r="E1142">
        <v>3.617</v>
      </c>
      <c r="F1142">
        <v>226.77055809999999</v>
      </c>
      <c r="G1142">
        <v>5.1239999999999997</v>
      </c>
      <c r="N1142" s="8"/>
    </row>
    <row r="1143" spans="1:14" x14ac:dyDescent="0.25">
      <c r="A1143" s="8">
        <v>41194</v>
      </c>
      <c r="B1143">
        <v>927511.99</v>
      </c>
      <c r="C1143">
        <v>0</v>
      </c>
      <c r="D1143">
        <v>55.03</v>
      </c>
      <c r="E1143">
        <v>3.601</v>
      </c>
      <c r="F1143">
        <v>226.97354480000001</v>
      </c>
      <c r="G1143">
        <v>5.1239999999999997</v>
      </c>
      <c r="N1143" s="8"/>
    </row>
    <row r="1144" spans="1:14" x14ac:dyDescent="0.25">
      <c r="A1144" s="8">
        <v>41201</v>
      </c>
      <c r="B1144">
        <v>900309.75</v>
      </c>
      <c r="C1144">
        <v>0</v>
      </c>
      <c r="D1144">
        <v>62.99</v>
      </c>
      <c r="E1144">
        <v>3.5939999999999999</v>
      </c>
      <c r="F1144">
        <v>227.01841659999999</v>
      </c>
      <c r="G1144">
        <v>5.1239999999999997</v>
      </c>
      <c r="N1144" s="8"/>
    </row>
    <row r="1145" spans="1:14" x14ac:dyDescent="0.25">
      <c r="A1145" s="8">
        <v>41208</v>
      </c>
      <c r="B1145">
        <v>891671.44</v>
      </c>
      <c r="C1145">
        <v>0</v>
      </c>
      <c r="D1145">
        <v>64.739999999999995</v>
      </c>
      <c r="E1145">
        <v>3.5059999999999998</v>
      </c>
      <c r="F1145">
        <v>227.0369359</v>
      </c>
      <c r="G1145">
        <v>5.1239999999999997</v>
      </c>
      <c r="N1145" s="8"/>
    </row>
    <row r="1146" spans="1:14" x14ac:dyDescent="0.25">
      <c r="A1146" s="8">
        <v>40214</v>
      </c>
      <c r="B1146">
        <v>549505.55000000005</v>
      </c>
      <c r="C1146">
        <v>0</v>
      </c>
      <c r="D1146">
        <v>38.01</v>
      </c>
      <c r="E1146">
        <v>2.5720000000000001</v>
      </c>
      <c r="F1146">
        <v>214.6554591</v>
      </c>
      <c r="G1146">
        <v>6.415</v>
      </c>
      <c r="N1146" s="8"/>
    </row>
    <row r="1147" spans="1:14" x14ac:dyDescent="0.25">
      <c r="A1147" s="8">
        <v>40221</v>
      </c>
      <c r="B1147">
        <v>552677.48</v>
      </c>
      <c r="C1147">
        <v>1</v>
      </c>
      <c r="D1147">
        <v>37.08</v>
      </c>
      <c r="E1147">
        <v>2.548</v>
      </c>
      <c r="F1147">
        <v>214.80565340000001</v>
      </c>
      <c r="G1147">
        <v>6.415</v>
      </c>
      <c r="N1147" s="8"/>
    </row>
    <row r="1148" spans="1:14" x14ac:dyDescent="0.25">
      <c r="A1148" s="8">
        <v>40228</v>
      </c>
      <c r="B1148">
        <v>511327.9</v>
      </c>
      <c r="C1148">
        <v>0</v>
      </c>
      <c r="D1148">
        <v>43.06</v>
      </c>
      <c r="E1148">
        <v>2.5139999999999998</v>
      </c>
      <c r="F1148">
        <v>214.8506185</v>
      </c>
      <c r="G1148">
        <v>6.415</v>
      </c>
      <c r="N1148" s="8"/>
    </row>
    <row r="1149" spans="1:14" x14ac:dyDescent="0.25">
      <c r="A1149" s="8">
        <v>40235</v>
      </c>
      <c r="B1149">
        <v>473773.27</v>
      </c>
      <c r="C1149">
        <v>0</v>
      </c>
      <c r="D1149">
        <v>43.83</v>
      </c>
      <c r="E1149">
        <v>2.5609999999999999</v>
      </c>
      <c r="F1149">
        <v>214.8780453</v>
      </c>
      <c r="G1149">
        <v>6.415</v>
      </c>
      <c r="N1149" s="8"/>
    </row>
    <row r="1150" spans="1:14" x14ac:dyDescent="0.25">
      <c r="A1150" s="8">
        <v>40242</v>
      </c>
      <c r="B1150">
        <v>507297.88</v>
      </c>
      <c r="C1150">
        <v>0</v>
      </c>
      <c r="D1150">
        <v>48.43</v>
      </c>
      <c r="E1150">
        <v>2.625</v>
      </c>
      <c r="F1150">
        <v>214.9054721</v>
      </c>
      <c r="G1150">
        <v>6.415</v>
      </c>
      <c r="N1150" s="8"/>
    </row>
    <row r="1151" spans="1:14" x14ac:dyDescent="0.25">
      <c r="A1151" s="8">
        <v>40249</v>
      </c>
      <c r="B1151">
        <v>494145.8</v>
      </c>
      <c r="C1151">
        <v>0</v>
      </c>
      <c r="D1151">
        <v>55.76</v>
      </c>
      <c r="E1151">
        <v>2.6669999999999998</v>
      </c>
      <c r="F1151">
        <v>214.93289899999999</v>
      </c>
      <c r="G1151">
        <v>6.415</v>
      </c>
      <c r="N1151" s="8"/>
    </row>
    <row r="1152" spans="1:14" x14ac:dyDescent="0.25">
      <c r="A1152" s="8">
        <v>40256</v>
      </c>
      <c r="B1152">
        <v>485744.61</v>
      </c>
      <c r="C1152">
        <v>0</v>
      </c>
      <c r="D1152">
        <v>53.15</v>
      </c>
      <c r="E1152">
        <v>2.72</v>
      </c>
      <c r="F1152">
        <v>214.7597274</v>
      </c>
      <c r="G1152">
        <v>6.415</v>
      </c>
      <c r="N1152" s="8"/>
    </row>
    <row r="1153" spans="1:14" x14ac:dyDescent="0.25">
      <c r="A1153" s="8">
        <v>40263</v>
      </c>
      <c r="B1153">
        <v>484946.56</v>
      </c>
      <c r="C1153">
        <v>0</v>
      </c>
      <c r="D1153">
        <v>51.8</v>
      </c>
      <c r="E1153">
        <v>2.7320000000000002</v>
      </c>
      <c r="F1153">
        <v>214.55312269999999</v>
      </c>
      <c r="G1153">
        <v>6.415</v>
      </c>
      <c r="N1153" s="8"/>
    </row>
    <row r="1154" spans="1:14" x14ac:dyDescent="0.25">
      <c r="A1154" s="8">
        <v>40270</v>
      </c>
      <c r="B1154">
        <v>545206.31999999995</v>
      </c>
      <c r="C1154">
        <v>0</v>
      </c>
      <c r="D1154">
        <v>65.209999999999994</v>
      </c>
      <c r="E1154">
        <v>2.7189999999999999</v>
      </c>
      <c r="F1154">
        <v>214.3465181</v>
      </c>
      <c r="G1154">
        <v>6.3840000000000003</v>
      </c>
      <c r="N1154" s="8"/>
    </row>
    <row r="1155" spans="1:14" x14ac:dyDescent="0.25">
      <c r="A1155" s="8">
        <v>40277</v>
      </c>
      <c r="B1155">
        <v>529384.31000000006</v>
      </c>
      <c r="C1155">
        <v>0</v>
      </c>
      <c r="D1155">
        <v>64.95</v>
      </c>
      <c r="E1155">
        <v>2.77</v>
      </c>
      <c r="F1155">
        <v>214.13991350000001</v>
      </c>
      <c r="G1155">
        <v>6.3840000000000003</v>
      </c>
      <c r="N1155" s="8"/>
    </row>
    <row r="1156" spans="1:14" x14ac:dyDescent="0.25">
      <c r="A1156" s="8">
        <v>40284</v>
      </c>
      <c r="B1156">
        <v>485764.32</v>
      </c>
      <c r="C1156">
        <v>0</v>
      </c>
      <c r="D1156">
        <v>66.09</v>
      </c>
      <c r="E1156">
        <v>2.8079999999999998</v>
      </c>
      <c r="F1156">
        <v>214.00018170000001</v>
      </c>
      <c r="G1156">
        <v>6.3840000000000003</v>
      </c>
      <c r="N1156" s="8"/>
    </row>
    <row r="1157" spans="1:14" x14ac:dyDescent="0.25">
      <c r="A1157" s="8">
        <v>40291</v>
      </c>
      <c r="B1157">
        <v>488683.57</v>
      </c>
      <c r="C1157">
        <v>0</v>
      </c>
      <c r="D1157">
        <v>61.26</v>
      </c>
      <c r="E1157">
        <v>2.7949999999999999</v>
      </c>
      <c r="F1157">
        <v>213.94961380000001</v>
      </c>
      <c r="G1157">
        <v>6.3840000000000003</v>
      </c>
      <c r="N1157" s="8"/>
    </row>
    <row r="1158" spans="1:14" x14ac:dyDescent="0.25">
      <c r="A1158" s="8">
        <v>40298</v>
      </c>
      <c r="B1158">
        <v>491723.42</v>
      </c>
      <c r="C1158">
        <v>0</v>
      </c>
      <c r="D1158">
        <v>66.069999999999993</v>
      </c>
      <c r="E1158">
        <v>2.78</v>
      </c>
      <c r="F1158">
        <v>213.8990459</v>
      </c>
      <c r="G1158">
        <v>6.3840000000000003</v>
      </c>
      <c r="N1158" s="8"/>
    </row>
    <row r="1159" spans="1:14" x14ac:dyDescent="0.25">
      <c r="A1159" s="8">
        <v>40305</v>
      </c>
      <c r="B1159">
        <v>526128.61</v>
      </c>
      <c r="C1159">
        <v>0</v>
      </c>
      <c r="D1159">
        <v>68.58</v>
      </c>
      <c r="E1159">
        <v>2.835</v>
      </c>
      <c r="F1159">
        <v>213.848478</v>
      </c>
      <c r="G1159">
        <v>6.3840000000000003</v>
      </c>
      <c r="N1159" s="8"/>
    </row>
    <row r="1160" spans="1:14" x14ac:dyDescent="0.25">
      <c r="A1160" s="8">
        <v>40312</v>
      </c>
      <c r="B1160">
        <v>492792.8</v>
      </c>
      <c r="C1160">
        <v>0</v>
      </c>
      <c r="D1160">
        <v>70.53</v>
      </c>
      <c r="E1160">
        <v>2.8540000000000001</v>
      </c>
      <c r="F1160">
        <v>213.8469819</v>
      </c>
      <c r="G1160">
        <v>6.3840000000000003</v>
      </c>
      <c r="N1160" s="8"/>
    </row>
    <row r="1161" spans="1:14" x14ac:dyDescent="0.25">
      <c r="A1161" s="8">
        <v>40319</v>
      </c>
      <c r="B1161">
        <v>506274.94</v>
      </c>
      <c r="C1161">
        <v>0</v>
      </c>
      <c r="D1161">
        <v>71.5</v>
      </c>
      <c r="E1161">
        <v>2.8260000000000001</v>
      </c>
      <c r="F1161">
        <v>214.13991619999999</v>
      </c>
      <c r="G1161">
        <v>6.3840000000000003</v>
      </c>
      <c r="N1161" s="8"/>
    </row>
    <row r="1162" spans="1:14" x14ac:dyDescent="0.25">
      <c r="A1162" s="8">
        <v>40326</v>
      </c>
      <c r="B1162">
        <v>558143.53</v>
      </c>
      <c r="C1162">
        <v>0</v>
      </c>
      <c r="D1162">
        <v>77.12</v>
      </c>
      <c r="E1162">
        <v>2.7589999999999999</v>
      </c>
      <c r="F1162">
        <v>214.4328505</v>
      </c>
      <c r="G1162">
        <v>6.3840000000000003</v>
      </c>
      <c r="N1162" s="8"/>
    </row>
    <row r="1163" spans="1:14" x14ac:dyDescent="0.25">
      <c r="A1163" s="8">
        <v>40333</v>
      </c>
      <c r="B1163">
        <v>586061.46</v>
      </c>
      <c r="C1163">
        <v>0</v>
      </c>
      <c r="D1163">
        <v>79.650000000000006</v>
      </c>
      <c r="E1163">
        <v>2.7050000000000001</v>
      </c>
      <c r="F1163">
        <v>214.72578480000001</v>
      </c>
      <c r="G1163">
        <v>6.3840000000000003</v>
      </c>
      <c r="N1163" s="8"/>
    </row>
    <row r="1164" spans="1:14" x14ac:dyDescent="0.25">
      <c r="A1164" s="8">
        <v>40340</v>
      </c>
      <c r="B1164">
        <v>522715.68</v>
      </c>
      <c r="C1164">
        <v>0</v>
      </c>
      <c r="D1164">
        <v>83.75</v>
      </c>
      <c r="E1164">
        <v>2.6680000000000001</v>
      </c>
      <c r="F1164">
        <v>215.0187191</v>
      </c>
      <c r="G1164">
        <v>6.3840000000000003</v>
      </c>
      <c r="N1164" s="8"/>
    </row>
    <row r="1165" spans="1:14" x14ac:dyDescent="0.25">
      <c r="A1165" s="8">
        <v>40347</v>
      </c>
      <c r="B1165">
        <v>513073.87</v>
      </c>
      <c r="C1165">
        <v>0</v>
      </c>
      <c r="D1165">
        <v>82.99</v>
      </c>
      <c r="E1165">
        <v>2.637</v>
      </c>
      <c r="F1165">
        <v>215.01664840000001</v>
      </c>
      <c r="G1165">
        <v>6.3840000000000003</v>
      </c>
      <c r="N1165" s="8"/>
    </row>
    <row r="1166" spans="1:14" x14ac:dyDescent="0.25">
      <c r="A1166" s="8">
        <v>40354</v>
      </c>
      <c r="B1166">
        <v>509263.28</v>
      </c>
      <c r="C1166">
        <v>0</v>
      </c>
      <c r="D1166">
        <v>85.02</v>
      </c>
      <c r="E1166">
        <v>2.653</v>
      </c>
      <c r="F1166">
        <v>214.89657560000001</v>
      </c>
      <c r="G1166">
        <v>6.3840000000000003</v>
      </c>
      <c r="N1166" s="8"/>
    </row>
    <row r="1167" spans="1:14" x14ac:dyDescent="0.25">
      <c r="A1167" s="8">
        <v>40361</v>
      </c>
      <c r="B1167">
        <v>528832.54</v>
      </c>
      <c r="C1167">
        <v>0</v>
      </c>
      <c r="D1167">
        <v>78.55</v>
      </c>
      <c r="E1167">
        <v>2.669</v>
      </c>
      <c r="F1167">
        <v>214.7765028</v>
      </c>
      <c r="G1167">
        <v>6.4420000000000002</v>
      </c>
      <c r="N1167" s="8"/>
    </row>
    <row r="1168" spans="1:14" x14ac:dyDescent="0.25">
      <c r="A1168" s="8">
        <v>40368</v>
      </c>
      <c r="B1168">
        <v>485389.15</v>
      </c>
      <c r="C1168">
        <v>0</v>
      </c>
      <c r="D1168">
        <v>78.510000000000005</v>
      </c>
      <c r="E1168">
        <v>2.6419999999999999</v>
      </c>
      <c r="F1168">
        <v>214.65643009999999</v>
      </c>
      <c r="G1168">
        <v>6.4420000000000002</v>
      </c>
      <c r="N1168" s="8"/>
    </row>
    <row r="1169" spans="1:14" x14ac:dyDescent="0.25">
      <c r="A1169" s="8">
        <v>40375</v>
      </c>
      <c r="B1169">
        <v>474030.51</v>
      </c>
      <c r="C1169">
        <v>0</v>
      </c>
      <c r="D1169">
        <v>82.93</v>
      </c>
      <c r="E1169">
        <v>2.6230000000000002</v>
      </c>
      <c r="F1169">
        <v>214.64744529999999</v>
      </c>
      <c r="G1169">
        <v>6.4420000000000002</v>
      </c>
      <c r="N1169" s="8"/>
    </row>
    <row r="1170" spans="1:14" x14ac:dyDescent="0.25">
      <c r="A1170" s="8">
        <v>40382</v>
      </c>
      <c r="B1170">
        <v>462676.5</v>
      </c>
      <c r="C1170">
        <v>0</v>
      </c>
      <c r="D1170">
        <v>84.49</v>
      </c>
      <c r="E1170">
        <v>2.6080000000000001</v>
      </c>
      <c r="F1170">
        <v>214.7865779</v>
      </c>
      <c r="G1170">
        <v>6.4420000000000002</v>
      </c>
      <c r="N1170" s="8"/>
    </row>
    <row r="1171" spans="1:14" x14ac:dyDescent="0.25">
      <c r="A1171" s="8">
        <v>40389</v>
      </c>
      <c r="B1171">
        <v>468675.19</v>
      </c>
      <c r="C1171">
        <v>0</v>
      </c>
      <c r="D1171">
        <v>79.83</v>
      </c>
      <c r="E1171">
        <v>2.64</v>
      </c>
      <c r="F1171">
        <v>214.92571050000001</v>
      </c>
      <c r="G1171">
        <v>6.4420000000000002</v>
      </c>
      <c r="N1171" s="8"/>
    </row>
    <row r="1172" spans="1:14" x14ac:dyDescent="0.25">
      <c r="A1172" s="8">
        <v>40396</v>
      </c>
      <c r="B1172">
        <v>522815.45</v>
      </c>
      <c r="C1172">
        <v>0</v>
      </c>
      <c r="D1172">
        <v>87.09</v>
      </c>
      <c r="E1172">
        <v>2.6269999999999998</v>
      </c>
      <c r="F1172">
        <v>215.064843</v>
      </c>
      <c r="G1172">
        <v>6.4420000000000002</v>
      </c>
      <c r="N1172" s="8"/>
    </row>
    <row r="1173" spans="1:14" x14ac:dyDescent="0.25">
      <c r="A1173" s="8">
        <v>40403</v>
      </c>
      <c r="B1173">
        <v>481897.98</v>
      </c>
      <c r="C1173">
        <v>0</v>
      </c>
      <c r="D1173">
        <v>86.85</v>
      </c>
      <c r="E1173">
        <v>2.6920000000000002</v>
      </c>
      <c r="F1173">
        <v>215.20397560000001</v>
      </c>
      <c r="G1173">
        <v>6.4420000000000002</v>
      </c>
      <c r="N1173" s="8"/>
    </row>
    <row r="1174" spans="1:14" x14ac:dyDescent="0.25">
      <c r="A1174" s="8">
        <v>40410</v>
      </c>
      <c r="B1174">
        <v>499325.38</v>
      </c>
      <c r="C1174">
        <v>0</v>
      </c>
      <c r="D1174">
        <v>86.3</v>
      </c>
      <c r="E1174">
        <v>2.6640000000000001</v>
      </c>
      <c r="F1174">
        <v>215.1619646</v>
      </c>
      <c r="G1174">
        <v>6.4420000000000002</v>
      </c>
      <c r="N1174" s="8"/>
    </row>
    <row r="1175" spans="1:14" x14ac:dyDescent="0.25">
      <c r="A1175" s="8">
        <v>40417</v>
      </c>
      <c r="B1175">
        <v>506789.66</v>
      </c>
      <c r="C1175">
        <v>0</v>
      </c>
      <c r="D1175">
        <v>84.01</v>
      </c>
      <c r="E1175">
        <v>2.6190000000000002</v>
      </c>
      <c r="F1175">
        <v>215.1199536</v>
      </c>
      <c r="G1175">
        <v>6.4420000000000002</v>
      </c>
      <c r="N1175" s="8"/>
    </row>
    <row r="1176" spans="1:14" x14ac:dyDescent="0.25">
      <c r="A1176" s="8">
        <v>40424</v>
      </c>
      <c r="B1176">
        <v>511049.06</v>
      </c>
      <c r="C1176">
        <v>0</v>
      </c>
      <c r="D1176">
        <v>82.47</v>
      </c>
      <c r="E1176">
        <v>2.577</v>
      </c>
      <c r="F1176">
        <v>215.0779426</v>
      </c>
      <c r="G1176">
        <v>6.4420000000000002</v>
      </c>
      <c r="N1176" s="8"/>
    </row>
    <row r="1177" spans="1:14" x14ac:dyDescent="0.25">
      <c r="A1177" s="8">
        <v>40431</v>
      </c>
      <c r="B1177">
        <v>484835.2</v>
      </c>
      <c r="C1177">
        <v>1</v>
      </c>
      <c r="D1177">
        <v>77.7</v>
      </c>
      <c r="E1177">
        <v>2.5649999999999999</v>
      </c>
      <c r="F1177">
        <v>215.0359315</v>
      </c>
      <c r="G1177">
        <v>6.4420000000000002</v>
      </c>
      <c r="N1177" s="8"/>
    </row>
    <row r="1178" spans="1:14" x14ac:dyDescent="0.25">
      <c r="A1178" s="8">
        <v>40438</v>
      </c>
      <c r="B1178">
        <v>463448.59</v>
      </c>
      <c r="C1178">
        <v>0</v>
      </c>
      <c r="D1178">
        <v>81.19</v>
      </c>
      <c r="E1178">
        <v>2.5819999999999999</v>
      </c>
      <c r="F1178">
        <v>215.06152850000001</v>
      </c>
      <c r="G1178">
        <v>6.4420000000000002</v>
      </c>
      <c r="N1178" s="8"/>
    </row>
    <row r="1179" spans="1:14" x14ac:dyDescent="0.25">
      <c r="A1179" s="8">
        <v>40445</v>
      </c>
      <c r="B1179">
        <v>452905.22</v>
      </c>
      <c r="C1179">
        <v>0</v>
      </c>
      <c r="D1179">
        <v>77.150000000000006</v>
      </c>
      <c r="E1179">
        <v>2.6240000000000001</v>
      </c>
      <c r="F1179">
        <v>215.13783129999999</v>
      </c>
      <c r="G1179">
        <v>6.4420000000000002</v>
      </c>
      <c r="N1179" s="8"/>
    </row>
    <row r="1180" spans="1:14" x14ac:dyDescent="0.25">
      <c r="A1180" s="8">
        <v>40452</v>
      </c>
      <c r="B1180">
        <v>495692.19</v>
      </c>
      <c r="C1180">
        <v>0</v>
      </c>
      <c r="D1180">
        <v>69.08</v>
      </c>
      <c r="E1180">
        <v>2.6030000000000002</v>
      </c>
      <c r="F1180">
        <v>215.2141341</v>
      </c>
      <c r="G1180">
        <v>6.56</v>
      </c>
      <c r="N1180" s="8"/>
    </row>
    <row r="1181" spans="1:14" x14ac:dyDescent="0.25">
      <c r="A1181" s="8">
        <v>40459</v>
      </c>
      <c r="B1181">
        <v>505069.21</v>
      </c>
      <c r="C1181">
        <v>0</v>
      </c>
      <c r="D1181">
        <v>65.349999999999994</v>
      </c>
      <c r="E1181">
        <v>2.633</v>
      </c>
      <c r="F1181">
        <v>215.290437</v>
      </c>
      <c r="G1181">
        <v>6.56</v>
      </c>
      <c r="N1181" s="8"/>
    </row>
    <row r="1182" spans="1:14" x14ac:dyDescent="0.25">
      <c r="A1182" s="8">
        <v>40466</v>
      </c>
      <c r="B1182">
        <v>454769.68</v>
      </c>
      <c r="C1182">
        <v>0</v>
      </c>
      <c r="D1182">
        <v>67.36</v>
      </c>
      <c r="E1182">
        <v>2.72</v>
      </c>
      <c r="F1182">
        <v>215.35899169999999</v>
      </c>
      <c r="G1182">
        <v>6.56</v>
      </c>
      <c r="N1182" s="8"/>
    </row>
    <row r="1183" spans="1:14" x14ac:dyDescent="0.25">
      <c r="A1183" s="8">
        <v>40473</v>
      </c>
      <c r="B1183">
        <v>466322.76</v>
      </c>
      <c r="C1183">
        <v>0</v>
      </c>
      <c r="D1183">
        <v>69.989999999999995</v>
      </c>
      <c r="E1183">
        <v>2.7250000000000001</v>
      </c>
      <c r="F1183">
        <v>215.40817620000001</v>
      </c>
      <c r="G1183">
        <v>6.56</v>
      </c>
      <c r="N1183" s="8"/>
    </row>
    <row r="1184" spans="1:14" x14ac:dyDescent="0.25">
      <c r="A1184" s="8">
        <v>40480</v>
      </c>
      <c r="B1184">
        <v>508801.61</v>
      </c>
      <c r="C1184">
        <v>0</v>
      </c>
      <c r="D1184">
        <v>64.430000000000007</v>
      </c>
      <c r="E1184">
        <v>2.7160000000000002</v>
      </c>
      <c r="F1184">
        <v>215.45736070000001</v>
      </c>
      <c r="G1184">
        <v>6.56</v>
      </c>
      <c r="N1184" s="8"/>
    </row>
    <row r="1185" spans="1:14" x14ac:dyDescent="0.25">
      <c r="A1185" s="8">
        <v>40487</v>
      </c>
      <c r="B1185">
        <v>517869.97</v>
      </c>
      <c r="C1185">
        <v>0</v>
      </c>
      <c r="D1185">
        <v>58.69</v>
      </c>
      <c r="E1185">
        <v>2.6890000000000001</v>
      </c>
      <c r="F1185">
        <v>215.50654520000001</v>
      </c>
      <c r="G1185">
        <v>6.56</v>
      </c>
      <c r="N1185" s="8"/>
    </row>
    <row r="1186" spans="1:14" x14ac:dyDescent="0.25">
      <c r="A1186" s="8">
        <v>40494</v>
      </c>
      <c r="B1186">
        <v>520846.68</v>
      </c>
      <c r="C1186">
        <v>0</v>
      </c>
      <c r="D1186">
        <v>61.59</v>
      </c>
      <c r="E1186">
        <v>2.7280000000000002</v>
      </c>
      <c r="F1186">
        <v>215.5557297</v>
      </c>
      <c r="G1186">
        <v>6.56</v>
      </c>
      <c r="N1186" s="8"/>
    </row>
    <row r="1187" spans="1:14" x14ac:dyDescent="0.25">
      <c r="A1187" s="8">
        <v>40501</v>
      </c>
      <c r="B1187">
        <v>519823.3</v>
      </c>
      <c r="C1187">
        <v>0</v>
      </c>
      <c r="D1187">
        <v>49.96</v>
      </c>
      <c r="E1187">
        <v>2.7709999999999999</v>
      </c>
      <c r="F1187">
        <v>215.43728540000001</v>
      </c>
      <c r="G1187">
        <v>6.56</v>
      </c>
      <c r="N1187" s="8"/>
    </row>
    <row r="1188" spans="1:14" x14ac:dyDescent="0.25">
      <c r="A1188" s="8">
        <v>40508</v>
      </c>
      <c r="B1188">
        <v>768070.53</v>
      </c>
      <c r="C1188">
        <v>1</v>
      </c>
      <c r="D1188">
        <v>60.18</v>
      </c>
      <c r="E1188">
        <v>2.7349999999999999</v>
      </c>
      <c r="F1188">
        <v>215.2909028</v>
      </c>
      <c r="G1188">
        <v>6.56</v>
      </c>
      <c r="N1188" s="8"/>
    </row>
    <row r="1189" spans="1:14" x14ac:dyDescent="0.25">
      <c r="A1189" s="8">
        <v>40515</v>
      </c>
      <c r="B1189">
        <v>578164.81999999995</v>
      </c>
      <c r="C1189">
        <v>0</v>
      </c>
      <c r="D1189">
        <v>49.89</v>
      </c>
      <c r="E1189">
        <v>2.7080000000000002</v>
      </c>
      <c r="F1189">
        <v>215.14452030000001</v>
      </c>
      <c r="G1189">
        <v>6.56</v>
      </c>
      <c r="N1189" s="8"/>
    </row>
    <row r="1190" spans="1:14" x14ac:dyDescent="0.25">
      <c r="A1190" s="8">
        <v>40522</v>
      </c>
      <c r="B1190">
        <v>618121.81999999995</v>
      </c>
      <c r="C1190">
        <v>0</v>
      </c>
      <c r="D1190">
        <v>46.1</v>
      </c>
      <c r="E1190">
        <v>2.843</v>
      </c>
      <c r="F1190">
        <v>214.99813779999999</v>
      </c>
      <c r="G1190">
        <v>6.56</v>
      </c>
      <c r="N1190" s="8"/>
    </row>
    <row r="1191" spans="1:14" x14ac:dyDescent="0.25">
      <c r="A1191" s="8">
        <v>40529</v>
      </c>
      <c r="B1191">
        <v>685243.2</v>
      </c>
      <c r="C1191">
        <v>0</v>
      </c>
      <c r="D1191">
        <v>49.7</v>
      </c>
      <c r="E1191">
        <v>2.8690000000000002</v>
      </c>
      <c r="F1191">
        <v>214.93349370000001</v>
      </c>
      <c r="G1191">
        <v>6.56</v>
      </c>
      <c r="N1191" s="8"/>
    </row>
    <row r="1192" spans="1:14" x14ac:dyDescent="0.25">
      <c r="A1192" s="8">
        <v>40536</v>
      </c>
      <c r="B1192">
        <v>873347.55</v>
      </c>
      <c r="C1192">
        <v>0</v>
      </c>
      <c r="D1192">
        <v>50.93</v>
      </c>
      <c r="E1192">
        <v>2.8860000000000001</v>
      </c>
      <c r="F1192">
        <v>214.93015339999999</v>
      </c>
      <c r="G1192">
        <v>6.56</v>
      </c>
      <c r="N1192" s="8"/>
    </row>
    <row r="1193" spans="1:14" x14ac:dyDescent="0.25">
      <c r="A1193" s="8">
        <v>40543</v>
      </c>
      <c r="B1193">
        <v>459770.85</v>
      </c>
      <c r="C1193">
        <v>1</v>
      </c>
      <c r="D1193">
        <v>45.92</v>
      </c>
      <c r="E1193">
        <v>2.9430000000000001</v>
      </c>
      <c r="F1193">
        <v>214.9268131</v>
      </c>
      <c r="G1193">
        <v>6.56</v>
      </c>
      <c r="N1193" s="8"/>
    </row>
    <row r="1194" spans="1:14" x14ac:dyDescent="0.25">
      <c r="A1194" s="8">
        <v>40550</v>
      </c>
      <c r="B1194">
        <v>490981.78</v>
      </c>
      <c r="C1194">
        <v>0</v>
      </c>
      <c r="D1194">
        <v>41.82</v>
      </c>
      <c r="E1194">
        <v>2.976</v>
      </c>
      <c r="F1194">
        <v>214.92347290000001</v>
      </c>
      <c r="G1194">
        <v>6.4160000000000004</v>
      </c>
      <c r="N1194" s="8"/>
    </row>
    <row r="1195" spans="1:14" x14ac:dyDescent="0.25">
      <c r="A1195" s="8">
        <v>40557</v>
      </c>
      <c r="B1195">
        <v>458086.69</v>
      </c>
      <c r="C1195">
        <v>0</v>
      </c>
      <c r="D1195">
        <v>36.43</v>
      </c>
      <c r="E1195">
        <v>2.9830000000000001</v>
      </c>
      <c r="F1195">
        <v>214.9749587</v>
      </c>
      <c r="G1195">
        <v>6.4160000000000004</v>
      </c>
      <c r="N1195" s="8"/>
    </row>
    <row r="1196" spans="1:14" x14ac:dyDescent="0.25">
      <c r="A1196" s="8">
        <v>40564</v>
      </c>
      <c r="B1196">
        <v>454021.69</v>
      </c>
      <c r="C1196">
        <v>0</v>
      </c>
      <c r="D1196">
        <v>44.72</v>
      </c>
      <c r="E1196">
        <v>3.016</v>
      </c>
      <c r="F1196">
        <v>215.35540130000001</v>
      </c>
      <c r="G1196">
        <v>6.4160000000000004</v>
      </c>
      <c r="N1196" s="8"/>
    </row>
    <row r="1197" spans="1:14" x14ac:dyDescent="0.25">
      <c r="A1197" s="8">
        <v>40571</v>
      </c>
      <c r="B1197">
        <v>463561.48</v>
      </c>
      <c r="C1197">
        <v>0</v>
      </c>
      <c r="D1197">
        <v>43.9</v>
      </c>
      <c r="E1197">
        <v>3.01</v>
      </c>
      <c r="F1197">
        <v>215.7358438</v>
      </c>
      <c r="G1197">
        <v>6.4160000000000004</v>
      </c>
      <c r="N1197" s="8"/>
    </row>
    <row r="1198" spans="1:14" x14ac:dyDescent="0.25">
      <c r="A1198" s="8">
        <v>40578</v>
      </c>
      <c r="B1198">
        <v>544612.28</v>
      </c>
      <c r="C1198">
        <v>0</v>
      </c>
      <c r="D1198">
        <v>31.82</v>
      </c>
      <c r="E1198">
        <v>2.9889999999999999</v>
      </c>
      <c r="F1198">
        <v>216.11628640000001</v>
      </c>
      <c r="G1198">
        <v>6.4160000000000004</v>
      </c>
      <c r="N1198" s="8"/>
    </row>
    <row r="1199" spans="1:14" x14ac:dyDescent="0.25">
      <c r="A1199" s="8">
        <v>40585</v>
      </c>
      <c r="B1199">
        <v>555279.02</v>
      </c>
      <c r="C1199">
        <v>1</v>
      </c>
      <c r="D1199">
        <v>34.130000000000003</v>
      </c>
      <c r="E1199">
        <v>3.0219999999999998</v>
      </c>
      <c r="F1199">
        <v>216.49672899999999</v>
      </c>
      <c r="G1199">
        <v>6.4160000000000004</v>
      </c>
      <c r="N1199" s="8"/>
    </row>
    <row r="1200" spans="1:14" x14ac:dyDescent="0.25">
      <c r="A1200" s="8">
        <v>40592</v>
      </c>
      <c r="B1200">
        <v>610985.56000000006</v>
      </c>
      <c r="C1200">
        <v>0</v>
      </c>
      <c r="D1200">
        <v>58.5</v>
      </c>
      <c r="E1200">
        <v>3.0449999999999999</v>
      </c>
      <c r="F1200">
        <v>216.81548559999999</v>
      </c>
      <c r="G1200">
        <v>6.4160000000000004</v>
      </c>
      <c r="N1200" s="8"/>
    </row>
    <row r="1201" spans="1:14" x14ac:dyDescent="0.25">
      <c r="A1201" s="8">
        <v>40599</v>
      </c>
      <c r="B1201">
        <v>513107.20000000001</v>
      </c>
      <c r="C1201">
        <v>0</v>
      </c>
      <c r="D1201">
        <v>59.01</v>
      </c>
      <c r="E1201">
        <v>3.0649999999999999</v>
      </c>
      <c r="F1201">
        <v>217.1095679</v>
      </c>
      <c r="G1201">
        <v>6.4160000000000004</v>
      </c>
      <c r="N1201" s="8"/>
    </row>
    <row r="1202" spans="1:14" x14ac:dyDescent="0.25">
      <c r="A1202" s="8">
        <v>40606</v>
      </c>
      <c r="B1202">
        <v>542016.18000000005</v>
      </c>
      <c r="C1202">
        <v>0</v>
      </c>
      <c r="D1202">
        <v>60.67</v>
      </c>
      <c r="E1202">
        <v>3.2879999999999998</v>
      </c>
      <c r="F1202">
        <v>217.40365030000001</v>
      </c>
      <c r="G1202">
        <v>6.4160000000000004</v>
      </c>
      <c r="N1202" s="8"/>
    </row>
    <row r="1203" spans="1:14" x14ac:dyDescent="0.25">
      <c r="A1203" s="8">
        <v>40613</v>
      </c>
      <c r="B1203">
        <v>517783.5</v>
      </c>
      <c r="C1203">
        <v>0</v>
      </c>
      <c r="D1203">
        <v>54.75</v>
      </c>
      <c r="E1203">
        <v>3.4590000000000001</v>
      </c>
      <c r="F1203">
        <v>217.69773259999999</v>
      </c>
      <c r="G1203">
        <v>6.4160000000000004</v>
      </c>
      <c r="N1203" s="8"/>
    </row>
    <row r="1204" spans="1:14" x14ac:dyDescent="0.25">
      <c r="A1204" s="8">
        <v>40620</v>
      </c>
      <c r="B1204">
        <v>515226.11</v>
      </c>
      <c r="C1204">
        <v>0</v>
      </c>
      <c r="D1204">
        <v>63.82</v>
      </c>
      <c r="E1204">
        <v>3.488</v>
      </c>
      <c r="F1204">
        <v>217.95633710000001</v>
      </c>
      <c r="G1204">
        <v>6.4160000000000004</v>
      </c>
      <c r="N1204" s="8"/>
    </row>
    <row r="1205" spans="1:14" x14ac:dyDescent="0.25">
      <c r="A1205" s="8">
        <v>40627</v>
      </c>
      <c r="B1205">
        <v>497488.4</v>
      </c>
      <c r="C1205">
        <v>0</v>
      </c>
      <c r="D1205">
        <v>68.790000000000006</v>
      </c>
      <c r="E1205">
        <v>3.4729999999999999</v>
      </c>
      <c r="F1205">
        <v>218.20075059999999</v>
      </c>
      <c r="G1205">
        <v>6.4160000000000004</v>
      </c>
      <c r="N1205" s="8"/>
    </row>
    <row r="1206" spans="1:14" x14ac:dyDescent="0.25">
      <c r="A1206" s="8">
        <v>40634</v>
      </c>
      <c r="B1206">
        <v>520962.14</v>
      </c>
      <c r="C1206">
        <v>0</v>
      </c>
      <c r="D1206">
        <v>56.12</v>
      </c>
      <c r="E1206">
        <v>3.524</v>
      </c>
      <c r="F1206">
        <v>218.44516400000001</v>
      </c>
      <c r="G1206">
        <v>6.38</v>
      </c>
      <c r="N1206" s="8"/>
    </row>
    <row r="1207" spans="1:14" x14ac:dyDescent="0.25">
      <c r="A1207" s="8">
        <v>40641</v>
      </c>
      <c r="B1207">
        <v>561625.92000000004</v>
      </c>
      <c r="C1207">
        <v>0</v>
      </c>
      <c r="D1207">
        <v>71.400000000000006</v>
      </c>
      <c r="E1207">
        <v>3.6219999999999999</v>
      </c>
      <c r="F1207">
        <v>218.68957750000001</v>
      </c>
      <c r="G1207">
        <v>6.38</v>
      </c>
      <c r="N1207" s="8"/>
    </row>
    <row r="1208" spans="1:14" x14ac:dyDescent="0.25">
      <c r="A1208" s="8">
        <v>40648</v>
      </c>
      <c r="B1208">
        <v>528420.28</v>
      </c>
      <c r="C1208">
        <v>0</v>
      </c>
      <c r="D1208">
        <v>71.900000000000006</v>
      </c>
      <c r="E1208">
        <v>3.7429999999999999</v>
      </c>
      <c r="F1208">
        <v>218.91349349999999</v>
      </c>
      <c r="G1208">
        <v>6.38</v>
      </c>
      <c r="N1208" s="8"/>
    </row>
    <row r="1209" spans="1:14" x14ac:dyDescent="0.25">
      <c r="A1209" s="8">
        <v>40655</v>
      </c>
      <c r="B1209">
        <v>549502.11</v>
      </c>
      <c r="C1209">
        <v>0</v>
      </c>
      <c r="D1209">
        <v>72.349999999999994</v>
      </c>
      <c r="E1209">
        <v>3.8069999999999999</v>
      </c>
      <c r="F1209">
        <v>219.0861659</v>
      </c>
      <c r="G1209">
        <v>6.38</v>
      </c>
      <c r="N1209" s="8"/>
    </row>
    <row r="1210" spans="1:14" x14ac:dyDescent="0.25">
      <c r="A1210" s="8">
        <v>40662</v>
      </c>
      <c r="B1210">
        <v>532226.19999999995</v>
      </c>
      <c r="C1210">
        <v>0</v>
      </c>
      <c r="D1210">
        <v>70.849999999999994</v>
      </c>
      <c r="E1210">
        <v>3.81</v>
      </c>
      <c r="F1210">
        <v>219.25883820000001</v>
      </c>
      <c r="G1210">
        <v>6.38</v>
      </c>
      <c r="N1210" s="8"/>
    </row>
    <row r="1211" spans="1:14" x14ac:dyDescent="0.25">
      <c r="A1211" s="8">
        <v>40669</v>
      </c>
      <c r="B1211">
        <v>545251.1</v>
      </c>
      <c r="C1211">
        <v>0</v>
      </c>
      <c r="D1211">
        <v>62.2</v>
      </c>
      <c r="E1211">
        <v>3.9060000000000001</v>
      </c>
      <c r="F1211">
        <v>219.4315106</v>
      </c>
      <c r="G1211">
        <v>6.38</v>
      </c>
      <c r="N1211" s="8"/>
    </row>
    <row r="1212" spans="1:14" x14ac:dyDescent="0.25">
      <c r="A1212" s="8">
        <v>40676</v>
      </c>
      <c r="B1212">
        <v>539126</v>
      </c>
      <c r="C1212">
        <v>0</v>
      </c>
      <c r="D1212">
        <v>77.66</v>
      </c>
      <c r="E1212">
        <v>3.899</v>
      </c>
      <c r="F1212">
        <v>219.60418290000001</v>
      </c>
      <c r="G1212">
        <v>6.38</v>
      </c>
      <c r="N1212" s="8"/>
    </row>
    <row r="1213" spans="1:14" x14ac:dyDescent="0.25">
      <c r="A1213" s="8">
        <v>40683</v>
      </c>
      <c r="B1213">
        <v>518266.9</v>
      </c>
      <c r="C1213">
        <v>0</v>
      </c>
      <c r="D1213">
        <v>70.489999999999995</v>
      </c>
      <c r="E1213">
        <v>3.907</v>
      </c>
      <c r="F1213">
        <v>219.3622809</v>
      </c>
      <c r="G1213">
        <v>6.38</v>
      </c>
      <c r="N1213" s="8"/>
    </row>
    <row r="1214" spans="1:14" x14ac:dyDescent="0.25">
      <c r="A1214" s="8">
        <v>40690</v>
      </c>
      <c r="B1214">
        <v>553834.04</v>
      </c>
      <c r="C1214">
        <v>0</v>
      </c>
      <c r="D1214">
        <v>80.42</v>
      </c>
      <c r="E1214">
        <v>3.786</v>
      </c>
      <c r="F1214">
        <v>219.1203788</v>
      </c>
      <c r="G1214">
        <v>6.38</v>
      </c>
      <c r="N1214" s="8"/>
    </row>
    <row r="1215" spans="1:14" x14ac:dyDescent="0.25">
      <c r="A1215" s="8">
        <v>40697</v>
      </c>
      <c r="B1215">
        <v>587004.29</v>
      </c>
      <c r="C1215">
        <v>0</v>
      </c>
      <c r="D1215">
        <v>85.8</v>
      </c>
      <c r="E1215">
        <v>3.6989999999999998</v>
      </c>
      <c r="F1215">
        <v>218.87847679999999</v>
      </c>
      <c r="G1215">
        <v>6.38</v>
      </c>
      <c r="N1215" s="8"/>
    </row>
    <row r="1216" spans="1:14" x14ac:dyDescent="0.25">
      <c r="A1216" s="8">
        <v>40704</v>
      </c>
      <c r="B1216">
        <v>550076.31999999995</v>
      </c>
      <c r="C1216">
        <v>0</v>
      </c>
      <c r="D1216">
        <v>85.81</v>
      </c>
      <c r="E1216">
        <v>3.6480000000000001</v>
      </c>
      <c r="F1216">
        <v>218.63657470000001</v>
      </c>
      <c r="G1216">
        <v>6.38</v>
      </c>
      <c r="N1216" s="8"/>
    </row>
    <row r="1217" spans="1:14" x14ac:dyDescent="0.25">
      <c r="A1217" s="8">
        <v>40711</v>
      </c>
      <c r="B1217">
        <v>558671.14</v>
      </c>
      <c r="C1217">
        <v>0</v>
      </c>
      <c r="D1217">
        <v>89.15</v>
      </c>
      <c r="E1217">
        <v>3.637</v>
      </c>
      <c r="F1217">
        <v>218.5877333</v>
      </c>
      <c r="G1217">
        <v>6.38</v>
      </c>
      <c r="N1217" s="8"/>
    </row>
    <row r="1218" spans="1:14" x14ac:dyDescent="0.25">
      <c r="A1218" s="8">
        <v>40718</v>
      </c>
      <c r="B1218">
        <v>538745.93000000005</v>
      </c>
      <c r="C1218">
        <v>0</v>
      </c>
      <c r="D1218">
        <v>86.74</v>
      </c>
      <c r="E1218">
        <v>3.5939999999999999</v>
      </c>
      <c r="F1218">
        <v>218.6836874</v>
      </c>
      <c r="G1218">
        <v>6.38</v>
      </c>
      <c r="N1218" s="8"/>
    </row>
    <row r="1219" spans="1:14" x14ac:dyDescent="0.25">
      <c r="A1219" s="8">
        <v>40725</v>
      </c>
      <c r="B1219">
        <v>537064.03</v>
      </c>
      <c r="C1219">
        <v>0</v>
      </c>
      <c r="D1219">
        <v>89.14</v>
      </c>
      <c r="E1219">
        <v>3.524</v>
      </c>
      <c r="F1219">
        <v>218.7796415</v>
      </c>
      <c r="G1219">
        <v>6.4039999999999999</v>
      </c>
      <c r="N1219" s="8"/>
    </row>
    <row r="1220" spans="1:14" x14ac:dyDescent="0.25">
      <c r="A1220" s="8">
        <v>40732</v>
      </c>
      <c r="B1220">
        <v>535983.13</v>
      </c>
      <c r="C1220">
        <v>0</v>
      </c>
      <c r="D1220">
        <v>89.04</v>
      </c>
      <c r="E1220">
        <v>3.48</v>
      </c>
      <c r="F1220">
        <v>218.8755955</v>
      </c>
      <c r="G1220">
        <v>6.4039999999999999</v>
      </c>
      <c r="N1220" s="8"/>
    </row>
    <row r="1221" spans="1:14" x14ac:dyDescent="0.25">
      <c r="A1221" s="8">
        <v>40739</v>
      </c>
      <c r="B1221">
        <v>512834.04</v>
      </c>
      <c r="C1221">
        <v>0</v>
      </c>
      <c r="D1221">
        <v>90.45</v>
      </c>
      <c r="E1221">
        <v>3.5750000000000002</v>
      </c>
      <c r="F1221">
        <v>218.96072419999999</v>
      </c>
      <c r="G1221">
        <v>6.4039999999999999</v>
      </c>
      <c r="N1221" s="8"/>
    </row>
    <row r="1222" spans="1:14" x14ac:dyDescent="0.25">
      <c r="A1222" s="8">
        <v>40746</v>
      </c>
      <c r="B1222">
        <v>491449.94</v>
      </c>
      <c r="C1222">
        <v>0</v>
      </c>
      <c r="D1222">
        <v>89.08</v>
      </c>
      <c r="E1222">
        <v>3.6509999999999998</v>
      </c>
      <c r="F1222">
        <v>219.0187895</v>
      </c>
      <c r="G1222">
        <v>6.4039999999999999</v>
      </c>
      <c r="N1222" s="8"/>
    </row>
    <row r="1223" spans="1:14" x14ac:dyDescent="0.25">
      <c r="A1223" s="8">
        <v>40753</v>
      </c>
      <c r="B1223">
        <v>471449.98</v>
      </c>
      <c r="C1223">
        <v>0</v>
      </c>
      <c r="D1223">
        <v>91.1</v>
      </c>
      <c r="E1223">
        <v>3.6819999999999999</v>
      </c>
      <c r="F1223">
        <v>219.07685480000001</v>
      </c>
      <c r="G1223">
        <v>6.4039999999999999</v>
      </c>
      <c r="N1223" s="8"/>
    </row>
    <row r="1224" spans="1:14" x14ac:dyDescent="0.25">
      <c r="A1224" s="8">
        <v>40760</v>
      </c>
      <c r="B1224">
        <v>554879.67000000004</v>
      </c>
      <c r="C1224">
        <v>0</v>
      </c>
      <c r="D1224">
        <v>91.52</v>
      </c>
      <c r="E1224">
        <v>3.6840000000000002</v>
      </c>
      <c r="F1224">
        <v>219.13492009999999</v>
      </c>
      <c r="G1224">
        <v>6.4039999999999999</v>
      </c>
      <c r="N1224" s="8"/>
    </row>
    <row r="1225" spans="1:14" x14ac:dyDescent="0.25">
      <c r="A1225" s="8">
        <v>40767</v>
      </c>
      <c r="B1225">
        <v>520284.79</v>
      </c>
      <c r="C1225">
        <v>0</v>
      </c>
      <c r="D1225">
        <v>91.63</v>
      </c>
      <c r="E1225">
        <v>3.6379999999999999</v>
      </c>
      <c r="F1225">
        <v>219.1929854</v>
      </c>
      <c r="G1225">
        <v>6.4039999999999999</v>
      </c>
      <c r="N1225" s="8"/>
    </row>
    <row r="1226" spans="1:14" x14ac:dyDescent="0.25">
      <c r="A1226" s="8">
        <v>40774</v>
      </c>
      <c r="B1226">
        <v>540819.43999999994</v>
      </c>
      <c r="C1226">
        <v>0</v>
      </c>
      <c r="D1226">
        <v>85.8</v>
      </c>
      <c r="E1226">
        <v>3.5539999999999998</v>
      </c>
      <c r="F1226">
        <v>219.25561089999999</v>
      </c>
      <c r="G1226">
        <v>6.4039999999999999</v>
      </c>
      <c r="N1226" s="8"/>
    </row>
    <row r="1227" spans="1:14" x14ac:dyDescent="0.25">
      <c r="A1227" s="8">
        <v>40781</v>
      </c>
      <c r="B1227">
        <v>542663.53</v>
      </c>
      <c r="C1227">
        <v>0</v>
      </c>
      <c r="D1227">
        <v>88.95</v>
      </c>
      <c r="E1227">
        <v>3.5230000000000001</v>
      </c>
      <c r="F1227">
        <v>219.3189965</v>
      </c>
      <c r="G1227">
        <v>6.4039999999999999</v>
      </c>
      <c r="N1227" s="8"/>
    </row>
    <row r="1228" spans="1:14" x14ac:dyDescent="0.25">
      <c r="A1228" s="8">
        <v>40788</v>
      </c>
      <c r="B1228">
        <v>544643.32999999996</v>
      </c>
      <c r="C1228">
        <v>0</v>
      </c>
      <c r="D1228">
        <v>89.33</v>
      </c>
      <c r="E1228">
        <v>3.5329999999999999</v>
      </c>
      <c r="F1228">
        <v>219.38238200000001</v>
      </c>
      <c r="G1228">
        <v>6.4039999999999999</v>
      </c>
      <c r="N1228" s="8"/>
    </row>
    <row r="1229" spans="1:14" x14ac:dyDescent="0.25">
      <c r="A1229" s="8">
        <v>40795</v>
      </c>
      <c r="B1229">
        <v>528784.86</v>
      </c>
      <c r="C1229">
        <v>1</v>
      </c>
      <c r="D1229">
        <v>75.650000000000006</v>
      </c>
      <c r="E1229">
        <v>3.5459999999999998</v>
      </c>
      <c r="F1229">
        <v>219.44576749999999</v>
      </c>
      <c r="G1229">
        <v>6.4039999999999999</v>
      </c>
      <c r="N1229" s="8"/>
    </row>
    <row r="1230" spans="1:14" x14ac:dyDescent="0.25">
      <c r="A1230" s="8">
        <v>40802</v>
      </c>
      <c r="B1230">
        <v>500274.03</v>
      </c>
      <c r="C1230">
        <v>0</v>
      </c>
      <c r="D1230">
        <v>77.95</v>
      </c>
      <c r="E1230">
        <v>3.5259999999999998</v>
      </c>
      <c r="F1230">
        <v>219.62978409999999</v>
      </c>
      <c r="G1230">
        <v>6.4039999999999999</v>
      </c>
      <c r="N1230" s="8"/>
    </row>
    <row r="1231" spans="1:14" x14ac:dyDescent="0.25">
      <c r="A1231" s="8">
        <v>40809</v>
      </c>
      <c r="B1231">
        <v>506743.78</v>
      </c>
      <c r="C1231">
        <v>0</v>
      </c>
      <c r="D1231">
        <v>74.42</v>
      </c>
      <c r="E1231">
        <v>3.4670000000000001</v>
      </c>
      <c r="F1231">
        <v>219.9746423</v>
      </c>
      <c r="G1231">
        <v>6.4039999999999999</v>
      </c>
      <c r="N1231" s="8"/>
    </row>
    <row r="1232" spans="1:14" x14ac:dyDescent="0.25">
      <c r="A1232" s="8">
        <v>40816</v>
      </c>
      <c r="B1232">
        <v>508567.03999999998</v>
      </c>
      <c r="C1232">
        <v>0</v>
      </c>
      <c r="D1232">
        <v>78.45</v>
      </c>
      <c r="E1232">
        <v>3.355</v>
      </c>
      <c r="F1232">
        <v>220.31950040000001</v>
      </c>
      <c r="G1232">
        <v>6.4039999999999999</v>
      </c>
      <c r="N1232" s="8"/>
    </row>
    <row r="1233" spans="1:14" x14ac:dyDescent="0.25">
      <c r="A1233" s="8">
        <v>40823</v>
      </c>
      <c r="B1233">
        <v>553836.98</v>
      </c>
      <c r="C1233">
        <v>0</v>
      </c>
      <c r="D1233">
        <v>72.62</v>
      </c>
      <c r="E1233">
        <v>3.2850000000000001</v>
      </c>
      <c r="F1233">
        <v>220.66435849999999</v>
      </c>
      <c r="G1233">
        <v>6.0540000000000003</v>
      </c>
      <c r="N1233" s="8"/>
    </row>
    <row r="1234" spans="1:14" x14ac:dyDescent="0.25">
      <c r="A1234" s="8">
        <v>40830</v>
      </c>
      <c r="B1234">
        <v>529515.66</v>
      </c>
      <c r="C1234">
        <v>0</v>
      </c>
      <c r="D1234">
        <v>67.27</v>
      </c>
      <c r="E1234">
        <v>3.274</v>
      </c>
      <c r="F1234">
        <v>220.98368489999999</v>
      </c>
      <c r="G1234">
        <v>6.0540000000000003</v>
      </c>
      <c r="N1234" s="8"/>
    </row>
    <row r="1235" spans="1:14" x14ac:dyDescent="0.25">
      <c r="A1235" s="8">
        <v>40837</v>
      </c>
      <c r="B1235">
        <v>557075.21</v>
      </c>
      <c r="C1235">
        <v>0</v>
      </c>
      <c r="D1235">
        <v>65.459999999999994</v>
      </c>
      <c r="E1235">
        <v>3.3530000000000002</v>
      </c>
      <c r="F1235">
        <v>221.1498206</v>
      </c>
      <c r="G1235">
        <v>6.0540000000000003</v>
      </c>
      <c r="N1235" s="8"/>
    </row>
    <row r="1236" spans="1:14" x14ac:dyDescent="0.25">
      <c r="A1236" s="8">
        <v>40844</v>
      </c>
      <c r="B1236">
        <v>548527.49</v>
      </c>
      <c r="C1236">
        <v>0</v>
      </c>
      <c r="D1236">
        <v>63.96</v>
      </c>
      <c r="E1236">
        <v>3.3719999999999999</v>
      </c>
      <c r="F1236">
        <v>221.31595630000001</v>
      </c>
      <c r="G1236">
        <v>6.0540000000000003</v>
      </c>
      <c r="N1236" s="8"/>
    </row>
    <row r="1237" spans="1:14" x14ac:dyDescent="0.25">
      <c r="A1237" s="8">
        <v>40851</v>
      </c>
      <c r="B1237">
        <v>597855.06999999995</v>
      </c>
      <c r="C1237">
        <v>0</v>
      </c>
      <c r="D1237">
        <v>54.46</v>
      </c>
      <c r="E1237">
        <v>3.3319999999999999</v>
      </c>
      <c r="F1237">
        <v>221.48209209999999</v>
      </c>
      <c r="G1237">
        <v>6.0540000000000003</v>
      </c>
      <c r="N1237" s="8"/>
    </row>
    <row r="1238" spans="1:14" x14ac:dyDescent="0.25">
      <c r="A1238" s="8">
        <v>40858</v>
      </c>
      <c r="B1238">
        <v>594574.12</v>
      </c>
      <c r="C1238">
        <v>0</v>
      </c>
      <c r="D1238">
        <v>58.28</v>
      </c>
      <c r="E1238">
        <v>3.2970000000000002</v>
      </c>
      <c r="F1238">
        <v>221.6482278</v>
      </c>
      <c r="G1238">
        <v>6.0540000000000003</v>
      </c>
      <c r="N1238" s="8"/>
    </row>
    <row r="1239" spans="1:14" x14ac:dyDescent="0.25">
      <c r="A1239" s="8">
        <v>40865</v>
      </c>
      <c r="B1239">
        <v>542414.27</v>
      </c>
      <c r="C1239">
        <v>0</v>
      </c>
      <c r="D1239">
        <v>58.8</v>
      </c>
      <c r="E1239">
        <v>3.3079999999999998</v>
      </c>
      <c r="F1239">
        <v>221.88039230000001</v>
      </c>
      <c r="G1239">
        <v>6.0540000000000003</v>
      </c>
      <c r="N1239" s="8"/>
    </row>
    <row r="1240" spans="1:14" x14ac:dyDescent="0.25">
      <c r="A1240" s="8">
        <v>40872</v>
      </c>
      <c r="B1240">
        <v>814753.5</v>
      </c>
      <c r="C1240">
        <v>1</v>
      </c>
      <c r="D1240">
        <v>54.32</v>
      </c>
      <c r="E1240">
        <v>3.2360000000000002</v>
      </c>
      <c r="F1240">
        <v>222.13896829999999</v>
      </c>
      <c r="G1240">
        <v>6.0540000000000003</v>
      </c>
      <c r="N1240" s="8"/>
    </row>
    <row r="1241" spans="1:14" x14ac:dyDescent="0.25">
      <c r="A1241" s="8">
        <v>40879</v>
      </c>
      <c r="B1241">
        <v>613115.21</v>
      </c>
      <c r="C1241">
        <v>0</v>
      </c>
      <c r="D1241">
        <v>46.84</v>
      </c>
      <c r="E1241">
        <v>3.1720000000000002</v>
      </c>
      <c r="F1241">
        <v>222.39754429999999</v>
      </c>
      <c r="G1241">
        <v>6.0540000000000003</v>
      </c>
      <c r="N1241" s="8"/>
    </row>
    <row r="1242" spans="1:14" x14ac:dyDescent="0.25">
      <c r="A1242" s="8">
        <v>40886</v>
      </c>
      <c r="B1242">
        <v>630327.28</v>
      </c>
      <c r="C1242">
        <v>0</v>
      </c>
      <c r="D1242">
        <v>37.65</v>
      </c>
      <c r="E1242">
        <v>3.1579999999999999</v>
      </c>
      <c r="F1242">
        <v>222.6561203</v>
      </c>
      <c r="G1242">
        <v>6.0540000000000003</v>
      </c>
      <c r="N1242" s="8"/>
    </row>
    <row r="1243" spans="1:14" x14ac:dyDescent="0.25">
      <c r="A1243" s="8">
        <v>40893</v>
      </c>
      <c r="B1243">
        <v>705557.97</v>
      </c>
      <c r="C1243">
        <v>0</v>
      </c>
      <c r="D1243">
        <v>47.31</v>
      </c>
      <c r="E1243">
        <v>3.1589999999999998</v>
      </c>
      <c r="F1243">
        <v>222.88254839999999</v>
      </c>
      <c r="G1243">
        <v>6.0540000000000003</v>
      </c>
      <c r="N1243" s="8"/>
    </row>
    <row r="1244" spans="1:14" x14ac:dyDescent="0.25">
      <c r="A1244" s="8">
        <v>40900</v>
      </c>
      <c r="B1244">
        <v>905324.68</v>
      </c>
      <c r="C1244">
        <v>0</v>
      </c>
      <c r="D1244">
        <v>44.43</v>
      </c>
      <c r="E1244">
        <v>3.1120000000000001</v>
      </c>
      <c r="F1244">
        <v>223.0661125</v>
      </c>
      <c r="G1244">
        <v>6.0540000000000003</v>
      </c>
      <c r="N1244" s="8"/>
    </row>
    <row r="1245" spans="1:14" x14ac:dyDescent="0.25">
      <c r="A1245" s="8">
        <v>40907</v>
      </c>
      <c r="B1245">
        <v>549788.36</v>
      </c>
      <c r="C1245">
        <v>1</v>
      </c>
      <c r="D1245">
        <v>43.41</v>
      </c>
      <c r="E1245">
        <v>3.129</v>
      </c>
      <c r="F1245">
        <v>223.24967659999999</v>
      </c>
      <c r="G1245">
        <v>6.0540000000000003</v>
      </c>
      <c r="N1245" s="8"/>
    </row>
    <row r="1246" spans="1:14" x14ac:dyDescent="0.25">
      <c r="A1246" s="8">
        <v>40914</v>
      </c>
      <c r="B1246">
        <v>519585.67</v>
      </c>
      <c r="C1246">
        <v>0</v>
      </c>
      <c r="D1246">
        <v>47.54</v>
      </c>
      <c r="E1246">
        <v>3.157</v>
      </c>
      <c r="F1246">
        <v>223.43324079999999</v>
      </c>
      <c r="G1246">
        <v>5.6669999999999998</v>
      </c>
      <c r="N1246" s="8"/>
    </row>
    <row r="1247" spans="1:14" x14ac:dyDescent="0.25">
      <c r="A1247" s="8">
        <v>40921</v>
      </c>
      <c r="B1247">
        <v>474964.6</v>
      </c>
      <c r="C1247">
        <v>0</v>
      </c>
      <c r="D1247">
        <v>42.44</v>
      </c>
      <c r="E1247">
        <v>3.2610000000000001</v>
      </c>
      <c r="F1247">
        <v>223.61680490000001</v>
      </c>
      <c r="G1247">
        <v>5.6669999999999998</v>
      </c>
      <c r="N1247" s="8"/>
    </row>
    <row r="1248" spans="1:14" x14ac:dyDescent="0.25">
      <c r="A1248" s="8">
        <v>40928</v>
      </c>
      <c r="B1248">
        <v>480130.04</v>
      </c>
      <c r="C1248">
        <v>0</v>
      </c>
      <c r="D1248">
        <v>51.56</v>
      </c>
      <c r="E1248">
        <v>3.2679999999999998</v>
      </c>
      <c r="F1248">
        <v>223.71142879999999</v>
      </c>
      <c r="G1248">
        <v>5.6669999999999998</v>
      </c>
      <c r="N1248" s="8"/>
    </row>
    <row r="1249" spans="1:14" x14ac:dyDescent="0.25">
      <c r="A1249" s="8">
        <v>40935</v>
      </c>
      <c r="B1249">
        <v>482451.21</v>
      </c>
      <c r="C1249">
        <v>0</v>
      </c>
      <c r="D1249">
        <v>49.38</v>
      </c>
      <c r="E1249">
        <v>3.29</v>
      </c>
      <c r="F1249">
        <v>223.80605270000001</v>
      </c>
      <c r="G1249">
        <v>5.6669999999999998</v>
      </c>
      <c r="N1249" s="8"/>
    </row>
    <row r="1250" spans="1:14" x14ac:dyDescent="0.25">
      <c r="A1250" s="8">
        <v>40942</v>
      </c>
      <c r="B1250">
        <v>549967.89</v>
      </c>
      <c r="C1250">
        <v>0</v>
      </c>
      <c r="D1250">
        <v>54.43</v>
      </c>
      <c r="E1250">
        <v>3.36</v>
      </c>
      <c r="F1250">
        <v>223.9006766</v>
      </c>
      <c r="G1250">
        <v>5.6669999999999998</v>
      </c>
      <c r="N1250" s="8"/>
    </row>
    <row r="1251" spans="1:14" x14ac:dyDescent="0.25">
      <c r="A1251" s="8">
        <v>40949</v>
      </c>
      <c r="B1251">
        <v>609736.12</v>
      </c>
      <c r="C1251">
        <v>1</v>
      </c>
      <c r="D1251">
        <v>44.03</v>
      </c>
      <c r="E1251">
        <v>3.4089999999999998</v>
      </c>
      <c r="F1251">
        <v>223.99530060000001</v>
      </c>
      <c r="G1251">
        <v>5.6669999999999998</v>
      </c>
      <c r="N1251" s="8"/>
    </row>
    <row r="1252" spans="1:14" x14ac:dyDescent="0.25">
      <c r="A1252" s="8">
        <v>40956</v>
      </c>
      <c r="B1252">
        <v>658965.05000000005</v>
      </c>
      <c r="C1252">
        <v>0</v>
      </c>
      <c r="D1252">
        <v>43.81</v>
      </c>
      <c r="E1252">
        <v>3.51</v>
      </c>
      <c r="F1252">
        <v>224.1588663</v>
      </c>
      <c r="G1252">
        <v>5.6669999999999998</v>
      </c>
      <c r="N1252" s="8"/>
    </row>
    <row r="1253" spans="1:14" x14ac:dyDescent="0.25">
      <c r="A1253" s="8">
        <v>40963</v>
      </c>
      <c r="B1253">
        <v>563578.79</v>
      </c>
      <c r="C1253">
        <v>0</v>
      </c>
      <c r="D1253">
        <v>53.67</v>
      </c>
      <c r="E1253">
        <v>3.5550000000000002</v>
      </c>
      <c r="F1253">
        <v>224.37413839999999</v>
      </c>
      <c r="G1253">
        <v>5.6669999999999998</v>
      </c>
      <c r="N1253" s="8"/>
    </row>
    <row r="1254" spans="1:14" x14ac:dyDescent="0.25">
      <c r="A1254" s="8">
        <v>40970</v>
      </c>
      <c r="B1254">
        <v>619498.28</v>
      </c>
      <c r="C1254">
        <v>0</v>
      </c>
      <c r="D1254">
        <v>57.2</v>
      </c>
      <c r="E1254">
        <v>3.63</v>
      </c>
      <c r="F1254">
        <v>224.58941039999999</v>
      </c>
      <c r="G1254">
        <v>5.6669999999999998</v>
      </c>
      <c r="N1254" s="8"/>
    </row>
    <row r="1255" spans="1:14" x14ac:dyDescent="0.25">
      <c r="A1255" s="8">
        <v>40977</v>
      </c>
      <c r="B1255">
        <v>574955.94999999995</v>
      </c>
      <c r="C1255">
        <v>0</v>
      </c>
      <c r="D1255">
        <v>54.03</v>
      </c>
      <c r="E1255">
        <v>3.669</v>
      </c>
      <c r="F1255">
        <v>224.80468250000001</v>
      </c>
      <c r="G1255">
        <v>5.6669999999999998</v>
      </c>
      <c r="N1255" s="8"/>
    </row>
    <row r="1256" spans="1:14" x14ac:dyDescent="0.25">
      <c r="A1256" s="8">
        <v>40984</v>
      </c>
      <c r="B1256">
        <v>550373.56999999995</v>
      </c>
      <c r="C1256">
        <v>0</v>
      </c>
      <c r="D1256">
        <v>59.94</v>
      </c>
      <c r="E1256">
        <v>3.734</v>
      </c>
      <c r="F1256">
        <v>224.9594902</v>
      </c>
      <c r="G1256">
        <v>5.6669999999999998</v>
      </c>
      <c r="N1256" s="8"/>
    </row>
    <row r="1257" spans="1:14" x14ac:dyDescent="0.25">
      <c r="A1257" s="8">
        <v>40991</v>
      </c>
      <c r="B1257">
        <v>550791.31999999995</v>
      </c>
      <c r="C1257">
        <v>0</v>
      </c>
      <c r="D1257">
        <v>58.79</v>
      </c>
      <c r="E1257">
        <v>3.7869999999999999</v>
      </c>
      <c r="F1257">
        <v>225.0336786</v>
      </c>
      <c r="G1257">
        <v>5.6669999999999998</v>
      </c>
      <c r="N1257" s="8"/>
    </row>
    <row r="1258" spans="1:14" x14ac:dyDescent="0.25">
      <c r="A1258" s="8">
        <v>40998</v>
      </c>
      <c r="B1258">
        <v>574985.37</v>
      </c>
      <c r="C1258">
        <v>0</v>
      </c>
      <c r="D1258">
        <v>67.87</v>
      </c>
      <c r="E1258">
        <v>3.8450000000000002</v>
      </c>
      <c r="F1258">
        <v>225.107867</v>
      </c>
      <c r="G1258">
        <v>5.6669999999999998</v>
      </c>
      <c r="N1258" s="8"/>
    </row>
    <row r="1259" spans="1:14" x14ac:dyDescent="0.25">
      <c r="A1259" s="8">
        <v>41005</v>
      </c>
      <c r="B1259">
        <v>677885.99</v>
      </c>
      <c r="C1259">
        <v>0</v>
      </c>
      <c r="D1259">
        <v>68.83</v>
      </c>
      <c r="E1259">
        <v>3.891</v>
      </c>
      <c r="F1259">
        <v>225.18205549999999</v>
      </c>
      <c r="G1259">
        <v>5.5389999999999997</v>
      </c>
      <c r="N1259" s="8"/>
    </row>
    <row r="1260" spans="1:14" x14ac:dyDescent="0.25">
      <c r="A1260" s="8">
        <v>41012</v>
      </c>
      <c r="B1260">
        <v>578539.86</v>
      </c>
      <c r="C1260">
        <v>0</v>
      </c>
      <c r="D1260">
        <v>69.19</v>
      </c>
      <c r="E1260">
        <v>3.891</v>
      </c>
      <c r="F1260">
        <v>225.25624389999999</v>
      </c>
      <c r="G1260">
        <v>5.5389999999999997</v>
      </c>
      <c r="N1260" s="8"/>
    </row>
    <row r="1261" spans="1:14" x14ac:dyDescent="0.25">
      <c r="A1261" s="8">
        <v>41019</v>
      </c>
      <c r="B1261">
        <v>542819.03</v>
      </c>
      <c r="C1261">
        <v>0</v>
      </c>
      <c r="D1261">
        <v>68.040000000000006</v>
      </c>
      <c r="E1261">
        <v>3.8769999999999998</v>
      </c>
      <c r="F1261">
        <v>225.3117488</v>
      </c>
      <c r="G1261">
        <v>5.5389999999999997</v>
      </c>
      <c r="N1261" s="8"/>
    </row>
    <row r="1262" spans="1:14" x14ac:dyDescent="0.25">
      <c r="A1262" s="8">
        <v>41026</v>
      </c>
      <c r="B1262">
        <v>550414.99</v>
      </c>
      <c r="C1262">
        <v>0</v>
      </c>
      <c r="D1262">
        <v>73.069999999999993</v>
      </c>
      <c r="E1262">
        <v>3.8140000000000001</v>
      </c>
      <c r="F1262">
        <v>225.36725369999999</v>
      </c>
      <c r="G1262">
        <v>5.5389999999999997</v>
      </c>
      <c r="N1262" s="8"/>
    </row>
    <row r="1263" spans="1:14" x14ac:dyDescent="0.25">
      <c r="A1263" s="8">
        <v>41033</v>
      </c>
      <c r="B1263">
        <v>586289.07999999996</v>
      </c>
      <c r="C1263">
        <v>0</v>
      </c>
      <c r="D1263">
        <v>78.98</v>
      </c>
      <c r="E1263">
        <v>3.7490000000000001</v>
      </c>
      <c r="F1263">
        <v>225.42275849999999</v>
      </c>
      <c r="G1263">
        <v>5.5389999999999997</v>
      </c>
      <c r="N1263" s="8"/>
    </row>
    <row r="1264" spans="1:14" x14ac:dyDescent="0.25">
      <c r="A1264" s="8">
        <v>41040</v>
      </c>
      <c r="B1264">
        <v>592572.30000000005</v>
      </c>
      <c r="C1264">
        <v>0</v>
      </c>
      <c r="D1264">
        <v>70.94</v>
      </c>
      <c r="E1264">
        <v>3.6880000000000002</v>
      </c>
      <c r="F1264">
        <v>225.4782634</v>
      </c>
      <c r="G1264">
        <v>5.5389999999999997</v>
      </c>
      <c r="N1264" s="8"/>
    </row>
    <row r="1265" spans="1:14" x14ac:dyDescent="0.25">
      <c r="A1265" s="8">
        <v>41047</v>
      </c>
      <c r="B1265">
        <v>571463.93000000005</v>
      </c>
      <c r="C1265">
        <v>0</v>
      </c>
      <c r="D1265">
        <v>69.52</v>
      </c>
      <c r="E1265">
        <v>3.63</v>
      </c>
      <c r="F1265">
        <v>225.49424980000001</v>
      </c>
      <c r="G1265">
        <v>5.5389999999999997</v>
      </c>
      <c r="N1265" s="8"/>
    </row>
    <row r="1266" spans="1:14" x14ac:dyDescent="0.25">
      <c r="A1266" s="8">
        <v>41054</v>
      </c>
      <c r="B1266">
        <v>547226</v>
      </c>
      <c r="C1266">
        <v>0</v>
      </c>
      <c r="D1266">
        <v>79.69</v>
      </c>
      <c r="E1266">
        <v>3.5609999999999999</v>
      </c>
      <c r="F1266">
        <v>225.49442880000001</v>
      </c>
      <c r="G1266">
        <v>5.5389999999999997</v>
      </c>
      <c r="N1266" s="8"/>
    </row>
    <row r="1267" spans="1:14" x14ac:dyDescent="0.25">
      <c r="A1267" s="8">
        <v>41061</v>
      </c>
      <c r="B1267">
        <v>583648.59</v>
      </c>
      <c r="C1267">
        <v>0</v>
      </c>
      <c r="D1267">
        <v>80.260000000000005</v>
      </c>
      <c r="E1267">
        <v>3.5009999999999999</v>
      </c>
      <c r="F1267">
        <v>225.49460780000001</v>
      </c>
      <c r="G1267">
        <v>5.5389999999999997</v>
      </c>
      <c r="N1267" s="8"/>
    </row>
    <row r="1268" spans="1:14" x14ac:dyDescent="0.25">
      <c r="A1268" s="8">
        <v>41068</v>
      </c>
      <c r="B1268">
        <v>582525.42000000004</v>
      </c>
      <c r="C1268">
        <v>0</v>
      </c>
      <c r="D1268">
        <v>78.91</v>
      </c>
      <c r="E1268">
        <v>3.452</v>
      </c>
      <c r="F1268">
        <v>225.49478680000001</v>
      </c>
      <c r="G1268">
        <v>5.5389999999999997</v>
      </c>
      <c r="N1268" s="8"/>
    </row>
    <row r="1269" spans="1:14" x14ac:dyDescent="0.25">
      <c r="A1269" s="8">
        <v>41075</v>
      </c>
      <c r="B1269">
        <v>564606.1</v>
      </c>
      <c r="C1269">
        <v>0</v>
      </c>
      <c r="D1269">
        <v>82.21</v>
      </c>
      <c r="E1269">
        <v>3.3929999999999998</v>
      </c>
      <c r="F1269">
        <v>225.50706339999999</v>
      </c>
      <c r="G1269">
        <v>5.5389999999999997</v>
      </c>
      <c r="N1269" s="8"/>
    </row>
    <row r="1270" spans="1:14" x14ac:dyDescent="0.25">
      <c r="A1270" s="8">
        <v>41082</v>
      </c>
      <c r="B1270">
        <v>562173.12</v>
      </c>
      <c r="C1270">
        <v>0</v>
      </c>
      <c r="D1270">
        <v>81.05</v>
      </c>
      <c r="E1270">
        <v>3.3460000000000001</v>
      </c>
      <c r="F1270">
        <v>225.5495841</v>
      </c>
      <c r="G1270">
        <v>5.5389999999999997</v>
      </c>
      <c r="N1270" s="8"/>
    </row>
    <row r="1271" spans="1:14" x14ac:dyDescent="0.25">
      <c r="A1271" s="8">
        <v>41089</v>
      </c>
      <c r="B1271">
        <v>544770.69999999995</v>
      </c>
      <c r="C1271">
        <v>0</v>
      </c>
      <c r="D1271">
        <v>87.18</v>
      </c>
      <c r="E1271">
        <v>3.286</v>
      </c>
      <c r="F1271">
        <v>225.59210490000001</v>
      </c>
      <c r="G1271">
        <v>5.5389999999999997</v>
      </c>
      <c r="N1271" s="8"/>
    </row>
    <row r="1272" spans="1:14" x14ac:dyDescent="0.25">
      <c r="A1272" s="8">
        <v>41096</v>
      </c>
      <c r="B1272">
        <v>578790.36</v>
      </c>
      <c r="C1272">
        <v>0</v>
      </c>
      <c r="D1272">
        <v>84.15</v>
      </c>
      <c r="E1272">
        <v>3.2269999999999999</v>
      </c>
      <c r="F1272">
        <v>225.63462559999999</v>
      </c>
      <c r="G1272">
        <v>5.2770000000000001</v>
      </c>
      <c r="N1272" s="8"/>
    </row>
    <row r="1273" spans="1:14" x14ac:dyDescent="0.25">
      <c r="A1273" s="8">
        <v>41103</v>
      </c>
      <c r="B1273">
        <v>536537.64</v>
      </c>
      <c r="C1273">
        <v>0</v>
      </c>
      <c r="D1273">
        <v>82.39</v>
      </c>
      <c r="E1273">
        <v>3.2559999999999998</v>
      </c>
      <c r="F1273">
        <v>225.6771463</v>
      </c>
      <c r="G1273">
        <v>5.2770000000000001</v>
      </c>
      <c r="N1273" s="8"/>
    </row>
    <row r="1274" spans="1:14" x14ac:dyDescent="0.25">
      <c r="A1274" s="8">
        <v>41110</v>
      </c>
      <c r="B1274">
        <v>513991.57</v>
      </c>
      <c r="C1274">
        <v>0</v>
      </c>
      <c r="D1274">
        <v>83.39</v>
      </c>
      <c r="E1274">
        <v>3.3109999999999999</v>
      </c>
      <c r="F1274">
        <v>225.68711210000001</v>
      </c>
      <c r="G1274">
        <v>5.2770000000000001</v>
      </c>
      <c r="N1274" s="8"/>
    </row>
    <row r="1275" spans="1:14" x14ac:dyDescent="0.25">
      <c r="A1275" s="8">
        <v>41117</v>
      </c>
      <c r="B1275">
        <v>495951</v>
      </c>
      <c r="C1275">
        <v>0</v>
      </c>
      <c r="D1275">
        <v>86.41</v>
      </c>
      <c r="E1275">
        <v>3.407</v>
      </c>
      <c r="F1275">
        <v>225.69707790000001</v>
      </c>
      <c r="G1275">
        <v>5.2770000000000001</v>
      </c>
      <c r="N1275" s="8"/>
    </row>
    <row r="1276" spans="1:14" x14ac:dyDescent="0.25">
      <c r="A1276" s="8">
        <v>41124</v>
      </c>
      <c r="B1276">
        <v>533887.54</v>
      </c>
      <c r="C1276">
        <v>0</v>
      </c>
      <c r="D1276">
        <v>90.23</v>
      </c>
      <c r="E1276">
        <v>3.4169999999999998</v>
      </c>
      <c r="F1276">
        <v>225.70704370000001</v>
      </c>
      <c r="G1276">
        <v>5.2770000000000001</v>
      </c>
      <c r="N1276" s="8"/>
    </row>
    <row r="1277" spans="1:14" x14ac:dyDescent="0.25">
      <c r="A1277" s="8">
        <v>41131</v>
      </c>
      <c r="B1277">
        <v>538713.47</v>
      </c>
      <c r="C1277">
        <v>0</v>
      </c>
      <c r="D1277">
        <v>88.66</v>
      </c>
      <c r="E1277">
        <v>3.4940000000000002</v>
      </c>
      <c r="F1277">
        <v>225.71700939999999</v>
      </c>
      <c r="G1277">
        <v>5.2770000000000001</v>
      </c>
      <c r="N1277" s="8"/>
    </row>
    <row r="1278" spans="1:14" x14ac:dyDescent="0.25">
      <c r="A1278" s="8">
        <v>41138</v>
      </c>
      <c r="B1278">
        <v>535153.47</v>
      </c>
      <c r="C1278">
        <v>0</v>
      </c>
      <c r="D1278">
        <v>86.37</v>
      </c>
      <c r="E1278">
        <v>3.5710000000000002</v>
      </c>
      <c r="F1278">
        <v>225.79953230000001</v>
      </c>
      <c r="G1278">
        <v>5.2770000000000001</v>
      </c>
      <c r="N1278" s="8"/>
    </row>
    <row r="1279" spans="1:14" x14ac:dyDescent="0.25">
      <c r="A1279" s="8">
        <v>41145</v>
      </c>
      <c r="B1279">
        <v>572887.78</v>
      </c>
      <c r="C1279">
        <v>0</v>
      </c>
      <c r="D1279">
        <v>77.900000000000006</v>
      </c>
      <c r="E1279">
        <v>3.62</v>
      </c>
      <c r="F1279">
        <v>225.93647290000001</v>
      </c>
      <c r="G1279">
        <v>5.2770000000000001</v>
      </c>
      <c r="N1279" s="8"/>
    </row>
    <row r="1280" spans="1:14" x14ac:dyDescent="0.25">
      <c r="A1280" s="8">
        <v>41152</v>
      </c>
      <c r="B1280">
        <v>576879.15</v>
      </c>
      <c r="C1280">
        <v>0</v>
      </c>
      <c r="D1280">
        <v>80.709999999999994</v>
      </c>
      <c r="E1280">
        <v>3.6379999999999999</v>
      </c>
      <c r="F1280">
        <v>226.07341349999999</v>
      </c>
      <c r="G1280">
        <v>5.2770000000000001</v>
      </c>
      <c r="N1280" s="8"/>
    </row>
    <row r="1281" spans="1:14" x14ac:dyDescent="0.25">
      <c r="A1281" s="8">
        <v>41159</v>
      </c>
      <c r="B1281">
        <v>565812.29</v>
      </c>
      <c r="C1281">
        <v>1</v>
      </c>
      <c r="D1281">
        <v>87.93</v>
      </c>
      <c r="E1281">
        <v>3.73</v>
      </c>
      <c r="F1281">
        <v>226.21035409999999</v>
      </c>
      <c r="G1281">
        <v>5.2770000000000001</v>
      </c>
      <c r="N1281" s="8"/>
    </row>
    <row r="1282" spans="1:14" x14ac:dyDescent="0.25">
      <c r="A1282" s="8">
        <v>41166</v>
      </c>
      <c r="B1282">
        <v>523427.35</v>
      </c>
      <c r="C1282">
        <v>0</v>
      </c>
      <c r="D1282">
        <v>73.55</v>
      </c>
      <c r="E1282">
        <v>3.7170000000000001</v>
      </c>
      <c r="F1282">
        <v>226.35675449999999</v>
      </c>
      <c r="G1282">
        <v>5.2770000000000001</v>
      </c>
      <c r="N1282" s="8"/>
    </row>
    <row r="1283" spans="1:14" x14ac:dyDescent="0.25">
      <c r="A1283" s="8">
        <v>41173</v>
      </c>
      <c r="B1283">
        <v>533756.88</v>
      </c>
      <c r="C1283">
        <v>0</v>
      </c>
      <c r="D1283">
        <v>69.92</v>
      </c>
      <c r="E1283">
        <v>3.7210000000000001</v>
      </c>
      <c r="F1283">
        <v>226.5599138</v>
      </c>
      <c r="G1283">
        <v>5.2770000000000001</v>
      </c>
      <c r="N1283" s="8"/>
    </row>
    <row r="1284" spans="1:14" x14ac:dyDescent="0.25">
      <c r="A1284" s="8">
        <v>41180</v>
      </c>
      <c r="B1284">
        <v>516361.06</v>
      </c>
      <c r="C1284">
        <v>0</v>
      </c>
      <c r="D1284">
        <v>76.8</v>
      </c>
      <c r="E1284">
        <v>3.6659999999999999</v>
      </c>
      <c r="F1284">
        <v>226.76307320000001</v>
      </c>
      <c r="G1284">
        <v>5.2770000000000001</v>
      </c>
      <c r="N1284" s="8"/>
    </row>
    <row r="1285" spans="1:14" x14ac:dyDescent="0.25">
      <c r="A1285" s="8">
        <v>41187</v>
      </c>
      <c r="B1285">
        <v>606755.30000000005</v>
      </c>
      <c r="C1285">
        <v>0</v>
      </c>
      <c r="D1285">
        <v>66.61</v>
      </c>
      <c r="E1285">
        <v>3.617</v>
      </c>
      <c r="F1285">
        <v>226.96623249999999</v>
      </c>
      <c r="G1285">
        <v>4.9539999999999997</v>
      </c>
      <c r="N1285" s="8"/>
    </row>
    <row r="1286" spans="1:14" x14ac:dyDescent="0.25">
      <c r="A1286" s="8">
        <v>41194</v>
      </c>
      <c r="B1286">
        <v>558464.80000000005</v>
      </c>
      <c r="C1286">
        <v>0</v>
      </c>
      <c r="D1286">
        <v>60.09</v>
      </c>
      <c r="E1286">
        <v>3.601</v>
      </c>
      <c r="F1286">
        <v>227.16939189999999</v>
      </c>
      <c r="G1286">
        <v>4.9539999999999997</v>
      </c>
      <c r="N1286" s="8"/>
    </row>
    <row r="1287" spans="1:14" x14ac:dyDescent="0.25">
      <c r="A1287" s="8">
        <v>41201</v>
      </c>
      <c r="B1287">
        <v>542009.46</v>
      </c>
      <c r="C1287">
        <v>0</v>
      </c>
      <c r="D1287">
        <v>68.010000000000005</v>
      </c>
      <c r="E1287">
        <v>3.5939999999999999</v>
      </c>
      <c r="F1287">
        <v>227.21428800000001</v>
      </c>
      <c r="G1287">
        <v>4.9539999999999997</v>
      </c>
      <c r="N1287" s="8"/>
    </row>
    <row r="1288" spans="1:14" x14ac:dyDescent="0.25">
      <c r="A1288" s="8">
        <v>41208</v>
      </c>
      <c r="B1288">
        <v>549731.49</v>
      </c>
      <c r="C1288">
        <v>0</v>
      </c>
      <c r="D1288">
        <v>69.52</v>
      </c>
      <c r="E1288">
        <v>3.5059999999999998</v>
      </c>
      <c r="F1288">
        <v>227.23280679999999</v>
      </c>
      <c r="G1288">
        <v>4.9539999999999997</v>
      </c>
      <c r="N1288" s="8"/>
    </row>
    <row r="1289" spans="1:14" x14ac:dyDescent="0.25">
      <c r="A1289" s="8">
        <v>40214</v>
      </c>
      <c r="B1289">
        <v>2193048.75</v>
      </c>
      <c r="C1289">
        <v>0</v>
      </c>
      <c r="D1289">
        <v>54.34</v>
      </c>
      <c r="E1289">
        <v>2.9620000000000002</v>
      </c>
      <c r="F1289">
        <v>126.4420645</v>
      </c>
      <c r="G1289">
        <v>9.7650000000000006</v>
      </c>
      <c r="N1289" s="8"/>
    </row>
    <row r="1290" spans="1:14" x14ac:dyDescent="0.25">
      <c r="A1290" s="8">
        <v>40221</v>
      </c>
      <c r="B1290">
        <v>2176028.52</v>
      </c>
      <c r="C1290">
        <v>1</v>
      </c>
      <c r="D1290">
        <v>49.96</v>
      </c>
      <c r="E1290">
        <v>2.8279999999999998</v>
      </c>
      <c r="F1290">
        <v>126.49625810000001</v>
      </c>
      <c r="G1290">
        <v>9.7650000000000006</v>
      </c>
      <c r="N1290" s="8"/>
    </row>
    <row r="1291" spans="1:14" x14ac:dyDescent="0.25">
      <c r="A1291" s="8">
        <v>40228</v>
      </c>
      <c r="B1291">
        <v>2113432.58</v>
      </c>
      <c r="C1291">
        <v>0</v>
      </c>
      <c r="D1291">
        <v>58.22</v>
      </c>
      <c r="E1291">
        <v>2.915</v>
      </c>
      <c r="F1291">
        <v>126.5262857</v>
      </c>
      <c r="G1291">
        <v>9.7650000000000006</v>
      </c>
      <c r="N1291" s="8"/>
    </row>
    <row r="1292" spans="1:14" x14ac:dyDescent="0.25">
      <c r="A1292" s="8">
        <v>40235</v>
      </c>
      <c r="B1292">
        <v>2006774.96</v>
      </c>
      <c r="C1292">
        <v>0</v>
      </c>
      <c r="D1292">
        <v>52.77</v>
      </c>
      <c r="E1292">
        <v>2.8250000000000002</v>
      </c>
      <c r="F1292">
        <v>126.5522857</v>
      </c>
      <c r="G1292">
        <v>9.7650000000000006</v>
      </c>
      <c r="N1292" s="8"/>
    </row>
    <row r="1293" spans="1:14" x14ac:dyDescent="0.25">
      <c r="A1293" s="8">
        <v>40242</v>
      </c>
      <c r="B1293">
        <v>1987090.09</v>
      </c>
      <c r="C1293">
        <v>0</v>
      </c>
      <c r="D1293">
        <v>55.92</v>
      </c>
      <c r="E1293">
        <v>2.8769999999999998</v>
      </c>
      <c r="F1293">
        <v>126.5782857</v>
      </c>
      <c r="G1293">
        <v>9.7650000000000006</v>
      </c>
      <c r="N1293" s="8"/>
    </row>
    <row r="1294" spans="1:14" x14ac:dyDescent="0.25">
      <c r="A1294" s="8">
        <v>40249</v>
      </c>
      <c r="B1294">
        <v>1941346.13</v>
      </c>
      <c r="C1294">
        <v>0</v>
      </c>
      <c r="D1294">
        <v>52.33</v>
      </c>
      <c r="E1294">
        <v>3.0339999999999998</v>
      </c>
      <c r="F1294">
        <v>126.60428570000001</v>
      </c>
      <c r="G1294">
        <v>9.7650000000000006</v>
      </c>
      <c r="N1294" s="8"/>
    </row>
    <row r="1295" spans="1:14" x14ac:dyDescent="0.25">
      <c r="A1295" s="8">
        <v>40256</v>
      </c>
      <c r="B1295">
        <v>1946875.06</v>
      </c>
      <c r="C1295">
        <v>0</v>
      </c>
      <c r="D1295">
        <v>61.46</v>
      </c>
      <c r="E1295">
        <v>3.0539999999999998</v>
      </c>
      <c r="F1295">
        <v>126.6066452</v>
      </c>
      <c r="G1295">
        <v>9.7650000000000006</v>
      </c>
      <c r="N1295" s="8"/>
    </row>
    <row r="1296" spans="1:14" x14ac:dyDescent="0.25">
      <c r="A1296" s="8">
        <v>40263</v>
      </c>
      <c r="B1296">
        <v>1893532.46</v>
      </c>
      <c r="C1296">
        <v>0</v>
      </c>
      <c r="D1296">
        <v>60.05</v>
      </c>
      <c r="E1296">
        <v>2.98</v>
      </c>
      <c r="F1296">
        <v>126.6050645</v>
      </c>
      <c r="G1296">
        <v>9.7650000000000006</v>
      </c>
      <c r="N1296" s="8"/>
    </row>
    <row r="1297" spans="1:14" x14ac:dyDescent="0.25">
      <c r="A1297" s="8">
        <v>40270</v>
      </c>
      <c r="B1297">
        <v>2138651.9700000002</v>
      </c>
      <c r="C1297">
        <v>0</v>
      </c>
      <c r="D1297">
        <v>63.66</v>
      </c>
      <c r="E1297">
        <v>3.0859999999999999</v>
      </c>
      <c r="F1297">
        <v>126.6034839</v>
      </c>
      <c r="G1297">
        <v>9.5239999999999991</v>
      </c>
      <c r="N1297" s="8"/>
    </row>
    <row r="1298" spans="1:14" x14ac:dyDescent="0.25">
      <c r="A1298" s="8">
        <v>40277</v>
      </c>
      <c r="B1298">
        <v>2041069.37</v>
      </c>
      <c r="C1298">
        <v>0</v>
      </c>
      <c r="D1298">
        <v>65.290000000000006</v>
      </c>
      <c r="E1298">
        <v>3.004</v>
      </c>
      <c r="F1298">
        <v>126.6019032</v>
      </c>
      <c r="G1298">
        <v>9.5239999999999991</v>
      </c>
      <c r="N1298" s="8"/>
    </row>
    <row r="1299" spans="1:14" x14ac:dyDescent="0.25">
      <c r="A1299" s="8">
        <v>40284</v>
      </c>
      <c r="B1299">
        <v>1826241.44</v>
      </c>
      <c r="C1299">
        <v>0</v>
      </c>
      <c r="D1299">
        <v>69.739999999999995</v>
      </c>
      <c r="E1299">
        <v>3.109</v>
      </c>
      <c r="F1299">
        <v>126.5621</v>
      </c>
      <c r="G1299">
        <v>9.5239999999999991</v>
      </c>
      <c r="N1299" s="8"/>
    </row>
    <row r="1300" spans="1:14" x14ac:dyDescent="0.25">
      <c r="A1300" s="8">
        <v>40291</v>
      </c>
      <c r="B1300">
        <v>1829521.83</v>
      </c>
      <c r="C1300">
        <v>0</v>
      </c>
      <c r="D1300">
        <v>66.42</v>
      </c>
      <c r="E1300">
        <v>3.05</v>
      </c>
      <c r="F1300">
        <v>126.4713333</v>
      </c>
      <c r="G1300">
        <v>9.5239999999999991</v>
      </c>
      <c r="N1300" s="8"/>
    </row>
    <row r="1301" spans="1:14" x14ac:dyDescent="0.25">
      <c r="A1301" s="8">
        <v>40298</v>
      </c>
      <c r="B1301">
        <v>1790694.59</v>
      </c>
      <c r="C1301">
        <v>0</v>
      </c>
      <c r="D1301">
        <v>69.760000000000005</v>
      </c>
      <c r="E1301">
        <v>3.105</v>
      </c>
      <c r="F1301">
        <v>126.3805667</v>
      </c>
      <c r="G1301">
        <v>9.5239999999999991</v>
      </c>
      <c r="N1301" s="8"/>
    </row>
    <row r="1302" spans="1:14" x14ac:dyDescent="0.25">
      <c r="A1302" s="8">
        <v>40305</v>
      </c>
      <c r="B1302">
        <v>1921432.16</v>
      </c>
      <c r="C1302">
        <v>0</v>
      </c>
      <c r="D1302">
        <v>71.06</v>
      </c>
      <c r="E1302">
        <v>3.1269999999999998</v>
      </c>
      <c r="F1302">
        <v>126.2898</v>
      </c>
      <c r="G1302">
        <v>9.5239999999999991</v>
      </c>
      <c r="N1302" s="8"/>
    </row>
    <row r="1303" spans="1:14" x14ac:dyDescent="0.25">
      <c r="A1303" s="8">
        <v>40312</v>
      </c>
      <c r="B1303">
        <v>1808056.41</v>
      </c>
      <c r="C1303">
        <v>0</v>
      </c>
      <c r="D1303">
        <v>73.88</v>
      </c>
      <c r="E1303">
        <v>3.145</v>
      </c>
      <c r="F1303">
        <v>126.2085484</v>
      </c>
      <c r="G1303">
        <v>9.5239999999999991</v>
      </c>
      <c r="N1303" s="8"/>
    </row>
    <row r="1304" spans="1:14" x14ac:dyDescent="0.25">
      <c r="A1304" s="8">
        <v>40319</v>
      </c>
      <c r="B1304">
        <v>1847613.58</v>
      </c>
      <c r="C1304">
        <v>0</v>
      </c>
      <c r="D1304">
        <v>78.319999999999993</v>
      </c>
      <c r="E1304">
        <v>3.12</v>
      </c>
      <c r="F1304">
        <v>126.1843871</v>
      </c>
      <c r="G1304">
        <v>9.5239999999999991</v>
      </c>
      <c r="N1304" s="8"/>
    </row>
    <row r="1305" spans="1:14" x14ac:dyDescent="0.25">
      <c r="A1305" s="8">
        <v>40326</v>
      </c>
      <c r="B1305">
        <v>1904618.17</v>
      </c>
      <c r="C1305">
        <v>0</v>
      </c>
      <c r="D1305">
        <v>76.67</v>
      </c>
      <c r="E1305">
        <v>3.0579999999999998</v>
      </c>
      <c r="F1305">
        <v>126.16022580000001</v>
      </c>
      <c r="G1305">
        <v>9.5239999999999991</v>
      </c>
      <c r="N1305" s="8"/>
    </row>
    <row r="1306" spans="1:14" x14ac:dyDescent="0.25">
      <c r="A1306" s="8">
        <v>40333</v>
      </c>
      <c r="B1306">
        <v>1931406.28</v>
      </c>
      <c r="C1306">
        <v>0</v>
      </c>
      <c r="D1306">
        <v>82.82</v>
      </c>
      <c r="E1306">
        <v>2.9409999999999998</v>
      </c>
      <c r="F1306">
        <v>126.1360645</v>
      </c>
      <c r="G1306">
        <v>9.5239999999999991</v>
      </c>
      <c r="N1306" s="8"/>
    </row>
    <row r="1307" spans="1:14" x14ac:dyDescent="0.25">
      <c r="A1307" s="8">
        <v>40340</v>
      </c>
      <c r="B1307">
        <v>1827521.71</v>
      </c>
      <c r="C1307">
        <v>0</v>
      </c>
      <c r="D1307">
        <v>89.67</v>
      </c>
      <c r="E1307">
        <v>3.0569999999999999</v>
      </c>
      <c r="F1307">
        <v>126.1119032</v>
      </c>
      <c r="G1307">
        <v>9.5239999999999991</v>
      </c>
      <c r="N1307" s="8"/>
    </row>
    <row r="1308" spans="1:14" x14ac:dyDescent="0.25">
      <c r="A1308" s="8">
        <v>40347</v>
      </c>
      <c r="B1308">
        <v>1837636.24</v>
      </c>
      <c r="C1308">
        <v>0</v>
      </c>
      <c r="D1308">
        <v>83.49</v>
      </c>
      <c r="E1308">
        <v>2.9350000000000001</v>
      </c>
      <c r="F1308">
        <v>126.114</v>
      </c>
      <c r="G1308">
        <v>9.5239999999999991</v>
      </c>
      <c r="N1308" s="8"/>
    </row>
    <row r="1309" spans="1:14" x14ac:dyDescent="0.25">
      <c r="A1309" s="8">
        <v>40354</v>
      </c>
      <c r="B1309">
        <v>1768172.31</v>
      </c>
      <c r="C1309">
        <v>0</v>
      </c>
      <c r="D1309">
        <v>90.32</v>
      </c>
      <c r="E1309">
        <v>3.0840000000000001</v>
      </c>
      <c r="F1309">
        <v>126.1266</v>
      </c>
      <c r="G1309">
        <v>9.5239999999999991</v>
      </c>
      <c r="N1309" s="8"/>
    </row>
    <row r="1310" spans="1:14" x14ac:dyDescent="0.25">
      <c r="A1310" s="8">
        <v>40361</v>
      </c>
      <c r="B1310">
        <v>1845893.87</v>
      </c>
      <c r="C1310">
        <v>0</v>
      </c>
      <c r="D1310">
        <v>92.89</v>
      </c>
      <c r="E1310">
        <v>2.9780000000000002</v>
      </c>
      <c r="F1310">
        <v>126.1392</v>
      </c>
      <c r="G1310">
        <v>9.1989999999999998</v>
      </c>
      <c r="N1310" s="8"/>
    </row>
    <row r="1311" spans="1:14" x14ac:dyDescent="0.25">
      <c r="A1311" s="8">
        <v>40368</v>
      </c>
      <c r="B1311">
        <v>1769793.37</v>
      </c>
      <c r="C1311">
        <v>0</v>
      </c>
      <c r="D1311">
        <v>91.03</v>
      </c>
      <c r="E1311">
        <v>3.1</v>
      </c>
      <c r="F1311">
        <v>126.15179999999999</v>
      </c>
      <c r="G1311">
        <v>9.1989999999999998</v>
      </c>
      <c r="N1311" s="8"/>
    </row>
    <row r="1312" spans="1:14" x14ac:dyDescent="0.25">
      <c r="A1312" s="8">
        <v>40375</v>
      </c>
      <c r="B1312">
        <v>1828052.47</v>
      </c>
      <c r="C1312">
        <v>0</v>
      </c>
      <c r="D1312">
        <v>91.8</v>
      </c>
      <c r="E1312">
        <v>2.9710000000000001</v>
      </c>
      <c r="F1312">
        <v>126.1498065</v>
      </c>
      <c r="G1312">
        <v>9.1989999999999998</v>
      </c>
      <c r="N1312" s="8"/>
    </row>
    <row r="1313" spans="1:14" x14ac:dyDescent="0.25">
      <c r="A1313" s="8">
        <v>40382</v>
      </c>
      <c r="B1313">
        <v>1831676.03</v>
      </c>
      <c r="C1313">
        <v>0</v>
      </c>
      <c r="D1313">
        <v>88.44</v>
      </c>
      <c r="E1313">
        <v>3.1120000000000001</v>
      </c>
      <c r="F1313">
        <v>126.1283548</v>
      </c>
      <c r="G1313">
        <v>9.1989999999999998</v>
      </c>
      <c r="N1313" s="8"/>
    </row>
    <row r="1314" spans="1:14" x14ac:dyDescent="0.25">
      <c r="A1314" s="8">
        <v>40389</v>
      </c>
      <c r="B1314">
        <v>1832664.03</v>
      </c>
      <c r="C1314">
        <v>0</v>
      </c>
      <c r="D1314">
        <v>85.03</v>
      </c>
      <c r="E1314">
        <v>3.0169999999999999</v>
      </c>
      <c r="F1314">
        <v>126.1069032</v>
      </c>
      <c r="G1314">
        <v>9.1989999999999998</v>
      </c>
      <c r="N1314" s="8"/>
    </row>
    <row r="1315" spans="1:14" x14ac:dyDescent="0.25">
      <c r="A1315" s="8">
        <v>40396</v>
      </c>
      <c r="B1315">
        <v>1949236.09</v>
      </c>
      <c r="C1315">
        <v>0</v>
      </c>
      <c r="D1315">
        <v>86.13</v>
      </c>
      <c r="E1315">
        <v>3.1230000000000002</v>
      </c>
      <c r="F1315">
        <v>126.0854516</v>
      </c>
      <c r="G1315">
        <v>9.1989999999999998</v>
      </c>
      <c r="N1315" s="8"/>
    </row>
    <row r="1316" spans="1:14" x14ac:dyDescent="0.25">
      <c r="A1316" s="8">
        <v>40403</v>
      </c>
      <c r="B1316">
        <v>1962996.7</v>
      </c>
      <c r="C1316">
        <v>0</v>
      </c>
      <c r="D1316">
        <v>88.37</v>
      </c>
      <c r="E1316">
        <v>3.0489999999999999</v>
      </c>
      <c r="F1316">
        <v>126.06399999999999</v>
      </c>
      <c r="G1316">
        <v>9.1989999999999998</v>
      </c>
      <c r="N1316" s="8"/>
    </row>
    <row r="1317" spans="1:14" x14ac:dyDescent="0.25">
      <c r="A1317" s="8">
        <v>40410</v>
      </c>
      <c r="B1317">
        <v>1983190.56</v>
      </c>
      <c r="C1317">
        <v>0</v>
      </c>
      <c r="D1317">
        <v>89.88</v>
      </c>
      <c r="E1317">
        <v>3.0409999999999999</v>
      </c>
      <c r="F1317">
        <v>126.0766452</v>
      </c>
      <c r="G1317">
        <v>9.1989999999999998</v>
      </c>
      <c r="N1317" s="8"/>
    </row>
    <row r="1318" spans="1:14" x14ac:dyDescent="0.25">
      <c r="A1318" s="8">
        <v>40417</v>
      </c>
      <c r="B1318">
        <v>1727565.42</v>
      </c>
      <c r="C1318">
        <v>0</v>
      </c>
      <c r="D1318">
        <v>84.99</v>
      </c>
      <c r="E1318">
        <v>3.0219999999999998</v>
      </c>
      <c r="F1318">
        <v>126.0892903</v>
      </c>
      <c r="G1318">
        <v>9.1989999999999998</v>
      </c>
      <c r="N1318" s="8"/>
    </row>
    <row r="1319" spans="1:14" x14ac:dyDescent="0.25">
      <c r="A1319" s="8">
        <v>40424</v>
      </c>
      <c r="B1319">
        <v>1766331.45</v>
      </c>
      <c r="C1319">
        <v>0</v>
      </c>
      <c r="D1319">
        <v>83.8</v>
      </c>
      <c r="E1319">
        <v>3.0870000000000002</v>
      </c>
      <c r="F1319">
        <v>126.1019355</v>
      </c>
      <c r="G1319">
        <v>9.1989999999999998</v>
      </c>
      <c r="N1319" s="8"/>
    </row>
    <row r="1320" spans="1:14" x14ac:dyDescent="0.25">
      <c r="A1320" s="8">
        <v>40431</v>
      </c>
      <c r="B1320">
        <v>1720530.23</v>
      </c>
      <c r="C1320">
        <v>1</v>
      </c>
      <c r="D1320">
        <v>84.04</v>
      </c>
      <c r="E1320">
        <v>2.9609999999999999</v>
      </c>
      <c r="F1320">
        <v>126.1145806</v>
      </c>
      <c r="G1320">
        <v>9.1989999999999998</v>
      </c>
      <c r="N1320" s="8"/>
    </row>
    <row r="1321" spans="1:14" x14ac:dyDescent="0.25">
      <c r="A1321" s="8">
        <v>40438</v>
      </c>
      <c r="B1321">
        <v>1716755.78</v>
      </c>
      <c r="C1321">
        <v>0</v>
      </c>
      <c r="D1321">
        <v>85.52</v>
      </c>
      <c r="E1321">
        <v>3.028</v>
      </c>
      <c r="F1321">
        <v>126.1454667</v>
      </c>
      <c r="G1321">
        <v>9.1989999999999998</v>
      </c>
      <c r="N1321" s="8"/>
    </row>
    <row r="1322" spans="1:14" x14ac:dyDescent="0.25">
      <c r="A1322" s="8">
        <v>40445</v>
      </c>
      <c r="B1322">
        <v>1655036.75</v>
      </c>
      <c r="C1322">
        <v>0</v>
      </c>
      <c r="D1322">
        <v>85.75</v>
      </c>
      <c r="E1322">
        <v>2.9390000000000001</v>
      </c>
      <c r="F1322">
        <v>126.1900333</v>
      </c>
      <c r="G1322">
        <v>9.1989999999999998</v>
      </c>
      <c r="N1322" s="8"/>
    </row>
    <row r="1323" spans="1:14" x14ac:dyDescent="0.25">
      <c r="A1323" s="8">
        <v>40452</v>
      </c>
      <c r="B1323">
        <v>1645892.97</v>
      </c>
      <c r="C1323">
        <v>0</v>
      </c>
      <c r="D1323">
        <v>86.01</v>
      </c>
      <c r="E1323">
        <v>3.0009999999999999</v>
      </c>
      <c r="F1323">
        <v>126.2346</v>
      </c>
      <c r="G1323">
        <v>9.0030000000000001</v>
      </c>
      <c r="N1323" s="8"/>
    </row>
    <row r="1324" spans="1:14" x14ac:dyDescent="0.25">
      <c r="A1324" s="8">
        <v>40459</v>
      </c>
      <c r="B1324">
        <v>1772192.42</v>
      </c>
      <c r="C1324">
        <v>0</v>
      </c>
      <c r="D1324">
        <v>77.040000000000006</v>
      </c>
      <c r="E1324">
        <v>2.9239999999999999</v>
      </c>
      <c r="F1324">
        <v>126.2791667</v>
      </c>
      <c r="G1324">
        <v>9.0030000000000001</v>
      </c>
      <c r="N1324" s="8"/>
    </row>
    <row r="1325" spans="1:14" x14ac:dyDescent="0.25">
      <c r="A1325" s="8">
        <v>40466</v>
      </c>
      <c r="B1325">
        <v>1703850.25</v>
      </c>
      <c r="C1325">
        <v>0</v>
      </c>
      <c r="D1325">
        <v>75.48</v>
      </c>
      <c r="E1325">
        <v>3.08</v>
      </c>
      <c r="F1325">
        <v>126.32667739999999</v>
      </c>
      <c r="G1325">
        <v>9.0030000000000001</v>
      </c>
      <c r="N1325" s="8"/>
    </row>
    <row r="1326" spans="1:14" x14ac:dyDescent="0.25">
      <c r="A1326" s="8">
        <v>40473</v>
      </c>
      <c r="B1326">
        <v>1740234.06</v>
      </c>
      <c r="C1326">
        <v>0</v>
      </c>
      <c r="D1326">
        <v>68.12</v>
      </c>
      <c r="E1326">
        <v>3.0139999999999998</v>
      </c>
      <c r="F1326">
        <v>126.3815484</v>
      </c>
      <c r="G1326">
        <v>9.0030000000000001</v>
      </c>
      <c r="N1326" s="8"/>
    </row>
    <row r="1327" spans="1:14" x14ac:dyDescent="0.25">
      <c r="A1327" s="8">
        <v>40480</v>
      </c>
      <c r="B1327">
        <v>1741308.56</v>
      </c>
      <c r="C1327">
        <v>0</v>
      </c>
      <c r="D1327">
        <v>68.760000000000005</v>
      </c>
      <c r="E1327">
        <v>3.13</v>
      </c>
      <c r="F1327">
        <v>126.43641940000001</v>
      </c>
      <c r="G1327">
        <v>9.0030000000000001</v>
      </c>
      <c r="N1327" s="8"/>
    </row>
    <row r="1328" spans="1:14" x14ac:dyDescent="0.25">
      <c r="A1328" s="8">
        <v>40487</v>
      </c>
      <c r="B1328">
        <v>1832211.96</v>
      </c>
      <c r="C1328">
        <v>0</v>
      </c>
      <c r="D1328">
        <v>71.040000000000006</v>
      </c>
      <c r="E1328">
        <v>3.0089999999999999</v>
      </c>
      <c r="F1328">
        <v>126.4912903</v>
      </c>
      <c r="G1328">
        <v>9.0030000000000001</v>
      </c>
      <c r="N1328" s="8"/>
    </row>
    <row r="1329" spans="1:14" x14ac:dyDescent="0.25">
      <c r="A1329" s="8">
        <v>40494</v>
      </c>
      <c r="B1329">
        <v>1895901.59</v>
      </c>
      <c r="C1329">
        <v>0</v>
      </c>
      <c r="D1329">
        <v>61.24</v>
      </c>
      <c r="E1329">
        <v>3.13</v>
      </c>
      <c r="F1329">
        <v>126.54616129999999</v>
      </c>
      <c r="G1329">
        <v>9.0030000000000001</v>
      </c>
      <c r="N1329" s="8"/>
    </row>
    <row r="1330" spans="1:14" x14ac:dyDescent="0.25">
      <c r="A1330" s="8">
        <v>40501</v>
      </c>
      <c r="B1330">
        <v>1949177.13</v>
      </c>
      <c r="C1330">
        <v>0</v>
      </c>
      <c r="D1330">
        <v>58.83</v>
      </c>
      <c r="E1330">
        <v>3.0470000000000002</v>
      </c>
      <c r="F1330">
        <v>126.60720000000001</v>
      </c>
      <c r="G1330">
        <v>9.0030000000000001</v>
      </c>
      <c r="N1330" s="8"/>
    </row>
    <row r="1331" spans="1:14" x14ac:dyDescent="0.25">
      <c r="A1331" s="8">
        <v>40508</v>
      </c>
      <c r="B1331">
        <v>2939946.38</v>
      </c>
      <c r="C1331">
        <v>1</v>
      </c>
      <c r="D1331">
        <v>55.33</v>
      </c>
      <c r="E1331">
        <v>3.1619999999999999</v>
      </c>
      <c r="F1331">
        <v>126.66926669999999</v>
      </c>
      <c r="G1331">
        <v>9.0030000000000001</v>
      </c>
      <c r="N1331" s="8"/>
    </row>
    <row r="1332" spans="1:14" x14ac:dyDescent="0.25">
      <c r="A1332" s="8">
        <v>40515</v>
      </c>
      <c r="B1332">
        <v>2251206.64</v>
      </c>
      <c r="C1332">
        <v>0</v>
      </c>
      <c r="D1332">
        <v>51.17</v>
      </c>
      <c r="E1332">
        <v>3.0409999999999999</v>
      </c>
      <c r="F1332">
        <v>126.7313333</v>
      </c>
      <c r="G1332">
        <v>9.0030000000000001</v>
      </c>
      <c r="N1332" s="8"/>
    </row>
    <row r="1333" spans="1:14" x14ac:dyDescent="0.25">
      <c r="A1333" s="8">
        <v>40522</v>
      </c>
      <c r="B1333">
        <v>2411790.21</v>
      </c>
      <c r="C1333">
        <v>0</v>
      </c>
      <c r="D1333">
        <v>60.51</v>
      </c>
      <c r="E1333">
        <v>3.0910000000000002</v>
      </c>
      <c r="F1333">
        <v>126.79340000000001</v>
      </c>
      <c r="G1333">
        <v>9.0030000000000001</v>
      </c>
      <c r="N1333" s="8"/>
    </row>
    <row r="1334" spans="1:14" x14ac:dyDescent="0.25">
      <c r="A1334" s="8">
        <v>40529</v>
      </c>
      <c r="B1334">
        <v>2811646.85</v>
      </c>
      <c r="C1334">
        <v>0</v>
      </c>
      <c r="D1334">
        <v>59.15</v>
      </c>
      <c r="E1334">
        <v>3.125</v>
      </c>
      <c r="F1334">
        <v>126.8794839</v>
      </c>
      <c r="G1334">
        <v>9.0030000000000001</v>
      </c>
      <c r="N1334" s="8"/>
    </row>
    <row r="1335" spans="1:14" x14ac:dyDescent="0.25">
      <c r="A1335" s="8">
        <v>40536</v>
      </c>
      <c r="B1335">
        <v>3749057.69</v>
      </c>
      <c r="C1335">
        <v>0</v>
      </c>
      <c r="D1335">
        <v>57.06</v>
      </c>
      <c r="E1335">
        <v>3.2360000000000002</v>
      </c>
      <c r="F1335">
        <v>126.9835806</v>
      </c>
      <c r="G1335">
        <v>9.0030000000000001</v>
      </c>
      <c r="N1335" s="8"/>
    </row>
    <row r="1336" spans="1:14" x14ac:dyDescent="0.25">
      <c r="A1336" s="8">
        <v>40543</v>
      </c>
      <c r="B1336">
        <v>1707298.14</v>
      </c>
      <c r="C1336">
        <v>1</v>
      </c>
      <c r="D1336">
        <v>49.67</v>
      </c>
      <c r="E1336">
        <v>3.1480000000000001</v>
      </c>
      <c r="F1336">
        <v>127.0876774</v>
      </c>
      <c r="G1336">
        <v>9.0030000000000001</v>
      </c>
      <c r="N1336" s="8"/>
    </row>
    <row r="1337" spans="1:14" x14ac:dyDescent="0.25">
      <c r="A1337" s="8">
        <v>40550</v>
      </c>
      <c r="B1337">
        <v>1714309.9</v>
      </c>
      <c r="C1337">
        <v>0</v>
      </c>
      <c r="D1337">
        <v>43.43</v>
      </c>
      <c r="E1337">
        <v>3.2869999999999999</v>
      </c>
      <c r="F1337">
        <v>127.1917742</v>
      </c>
      <c r="G1337">
        <v>8.7439999999999998</v>
      </c>
      <c r="N1337" s="8"/>
    </row>
    <row r="1338" spans="1:14" x14ac:dyDescent="0.25">
      <c r="A1338" s="8">
        <v>40557</v>
      </c>
      <c r="B1338">
        <v>1710803.59</v>
      </c>
      <c r="C1338">
        <v>0</v>
      </c>
      <c r="D1338">
        <v>49.98</v>
      </c>
      <c r="E1338">
        <v>3.3119999999999998</v>
      </c>
      <c r="F1338">
        <v>127.30093549999999</v>
      </c>
      <c r="G1338">
        <v>8.7439999999999998</v>
      </c>
      <c r="N1338" s="8"/>
    </row>
    <row r="1339" spans="1:14" x14ac:dyDescent="0.25">
      <c r="A1339" s="8">
        <v>40564</v>
      </c>
      <c r="B1339">
        <v>1677556.18</v>
      </c>
      <c r="C1339">
        <v>0</v>
      </c>
      <c r="D1339">
        <v>56.75</v>
      </c>
      <c r="E1339">
        <v>3.3359999999999999</v>
      </c>
      <c r="F1339">
        <v>127.4404839</v>
      </c>
      <c r="G1339">
        <v>8.7439999999999998</v>
      </c>
      <c r="N1339" s="8"/>
    </row>
    <row r="1340" spans="1:14" x14ac:dyDescent="0.25">
      <c r="A1340" s="8">
        <v>40571</v>
      </c>
      <c r="B1340">
        <v>1715769.05</v>
      </c>
      <c r="C1340">
        <v>0</v>
      </c>
      <c r="D1340">
        <v>53.03</v>
      </c>
      <c r="E1340">
        <v>3.2309999999999999</v>
      </c>
      <c r="F1340">
        <v>127.5800323</v>
      </c>
      <c r="G1340">
        <v>8.7439999999999998</v>
      </c>
      <c r="N1340" s="8"/>
    </row>
    <row r="1341" spans="1:14" x14ac:dyDescent="0.25">
      <c r="A1341" s="8">
        <v>40578</v>
      </c>
      <c r="B1341">
        <v>1968045.91</v>
      </c>
      <c r="C1341">
        <v>0</v>
      </c>
      <c r="D1341">
        <v>44.88</v>
      </c>
      <c r="E1341">
        <v>3.3479999999999999</v>
      </c>
      <c r="F1341">
        <v>127.7195806</v>
      </c>
      <c r="G1341">
        <v>8.7439999999999998</v>
      </c>
      <c r="N1341" s="8"/>
    </row>
    <row r="1342" spans="1:14" x14ac:dyDescent="0.25">
      <c r="A1342" s="8">
        <v>40585</v>
      </c>
      <c r="B1342">
        <v>2115408.31</v>
      </c>
      <c r="C1342">
        <v>1</v>
      </c>
      <c r="D1342">
        <v>51.51</v>
      </c>
      <c r="E1342">
        <v>3.3809999999999998</v>
      </c>
      <c r="F1342">
        <v>127.859129</v>
      </c>
      <c r="G1342">
        <v>8.7439999999999998</v>
      </c>
      <c r="N1342" s="8"/>
    </row>
    <row r="1343" spans="1:14" x14ac:dyDescent="0.25">
      <c r="A1343" s="8">
        <v>40592</v>
      </c>
      <c r="B1343">
        <v>2106934.5499999998</v>
      </c>
      <c r="C1343">
        <v>0</v>
      </c>
      <c r="D1343">
        <v>61.77</v>
      </c>
      <c r="E1343">
        <v>3.43</v>
      </c>
      <c r="F1343">
        <v>127.99525</v>
      </c>
      <c r="G1343">
        <v>8.7439999999999998</v>
      </c>
      <c r="N1343" s="8"/>
    </row>
    <row r="1344" spans="1:14" x14ac:dyDescent="0.25">
      <c r="A1344" s="8">
        <v>40599</v>
      </c>
      <c r="B1344">
        <v>1967996.71</v>
      </c>
      <c r="C1344">
        <v>0</v>
      </c>
      <c r="D1344">
        <v>53.59</v>
      </c>
      <c r="E1344">
        <v>3.3980000000000001</v>
      </c>
      <c r="F1344">
        <v>128.13</v>
      </c>
      <c r="G1344">
        <v>8.7439999999999998</v>
      </c>
      <c r="N1344" s="8"/>
    </row>
    <row r="1345" spans="1:14" x14ac:dyDescent="0.25">
      <c r="A1345" s="8">
        <v>40606</v>
      </c>
      <c r="B1345">
        <v>1958003.19</v>
      </c>
      <c r="C1345">
        <v>0</v>
      </c>
      <c r="D1345">
        <v>56.96</v>
      </c>
      <c r="E1345">
        <v>3.6739999999999999</v>
      </c>
      <c r="F1345">
        <v>128.26474999999999</v>
      </c>
      <c r="G1345">
        <v>8.7439999999999998</v>
      </c>
      <c r="N1345" s="8"/>
    </row>
    <row r="1346" spans="1:14" x14ac:dyDescent="0.25">
      <c r="A1346" s="8">
        <v>40613</v>
      </c>
      <c r="B1346">
        <v>1933469.15</v>
      </c>
      <c r="C1346">
        <v>0</v>
      </c>
      <c r="D1346">
        <v>64.22</v>
      </c>
      <c r="E1346">
        <v>3.63</v>
      </c>
      <c r="F1346">
        <v>128.39949999999999</v>
      </c>
      <c r="G1346">
        <v>8.7439999999999998</v>
      </c>
      <c r="N1346" s="8"/>
    </row>
    <row r="1347" spans="1:14" x14ac:dyDescent="0.25">
      <c r="A1347" s="8">
        <v>40620</v>
      </c>
      <c r="B1347">
        <v>1884734.31</v>
      </c>
      <c r="C1347">
        <v>0</v>
      </c>
      <c r="D1347">
        <v>70.12</v>
      </c>
      <c r="E1347">
        <v>3.8919999999999999</v>
      </c>
      <c r="F1347">
        <v>128.5121935</v>
      </c>
      <c r="G1347">
        <v>8.7439999999999998</v>
      </c>
      <c r="N1347" s="8"/>
    </row>
    <row r="1348" spans="1:14" x14ac:dyDescent="0.25">
      <c r="A1348" s="8">
        <v>40627</v>
      </c>
      <c r="B1348">
        <v>1815798.85</v>
      </c>
      <c r="C1348">
        <v>0</v>
      </c>
      <c r="D1348">
        <v>62.53</v>
      </c>
      <c r="E1348">
        <v>3.7160000000000002</v>
      </c>
      <c r="F1348">
        <v>128.61606449999999</v>
      </c>
      <c r="G1348">
        <v>8.7439999999999998</v>
      </c>
      <c r="N1348" s="8"/>
    </row>
    <row r="1349" spans="1:14" x14ac:dyDescent="0.25">
      <c r="A1349" s="8">
        <v>40634</v>
      </c>
      <c r="B1349">
        <v>1827733.18</v>
      </c>
      <c r="C1349">
        <v>0</v>
      </c>
      <c r="D1349">
        <v>67.64</v>
      </c>
      <c r="E1349">
        <v>3.7719999999999998</v>
      </c>
      <c r="F1349">
        <v>128.71993549999999</v>
      </c>
      <c r="G1349">
        <v>8.4939999999999998</v>
      </c>
      <c r="N1349" s="8"/>
    </row>
    <row r="1350" spans="1:14" x14ac:dyDescent="0.25">
      <c r="A1350" s="8">
        <v>40641</v>
      </c>
      <c r="B1350">
        <v>1870720.73</v>
      </c>
      <c r="C1350">
        <v>0</v>
      </c>
      <c r="D1350">
        <v>73.03</v>
      </c>
      <c r="E1350">
        <v>3.8180000000000001</v>
      </c>
      <c r="F1350">
        <v>128.82380649999999</v>
      </c>
      <c r="G1350">
        <v>8.4939999999999998</v>
      </c>
      <c r="N1350" s="8"/>
    </row>
    <row r="1351" spans="1:14" x14ac:dyDescent="0.25">
      <c r="A1351" s="8">
        <v>40648</v>
      </c>
      <c r="B1351">
        <v>1781767.22</v>
      </c>
      <c r="C1351">
        <v>0</v>
      </c>
      <c r="D1351">
        <v>61.05</v>
      </c>
      <c r="E1351">
        <v>4.0890000000000004</v>
      </c>
      <c r="F1351">
        <v>128.9107333</v>
      </c>
      <c r="G1351">
        <v>8.4939999999999998</v>
      </c>
      <c r="N1351" s="8"/>
    </row>
    <row r="1352" spans="1:14" x14ac:dyDescent="0.25">
      <c r="A1352" s="8">
        <v>40655</v>
      </c>
      <c r="B1352">
        <v>2004831.14</v>
      </c>
      <c r="C1352">
        <v>0</v>
      </c>
      <c r="D1352">
        <v>75.930000000000007</v>
      </c>
      <c r="E1352">
        <v>3.9169999999999998</v>
      </c>
      <c r="F1352">
        <v>128.95529999999999</v>
      </c>
      <c r="G1352">
        <v>8.4939999999999998</v>
      </c>
      <c r="N1352" s="8"/>
    </row>
    <row r="1353" spans="1:14" x14ac:dyDescent="0.25">
      <c r="A1353" s="8">
        <v>40662</v>
      </c>
      <c r="B1353">
        <v>1873646.34</v>
      </c>
      <c r="C1353">
        <v>0</v>
      </c>
      <c r="D1353">
        <v>73.38</v>
      </c>
      <c r="E1353">
        <v>4.1509999999999998</v>
      </c>
      <c r="F1353">
        <v>128.99986670000001</v>
      </c>
      <c r="G1353">
        <v>8.4939999999999998</v>
      </c>
      <c r="N1353" s="8"/>
    </row>
    <row r="1354" spans="1:14" x14ac:dyDescent="0.25">
      <c r="A1354" s="8">
        <v>40669</v>
      </c>
      <c r="B1354">
        <v>1841369.99</v>
      </c>
      <c r="C1354">
        <v>0</v>
      </c>
      <c r="D1354">
        <v>73.56</v>
      </c>
      <c r="E1354">
        <v>4.1929999999999996</v>
      </c>
      <c r="F1354">
        <v>129.04443330000001</v>
      </c>
      <c r="G1354">
        <v>8.4939999999999998</v>
      </c>
      <c r="N1354" s="8"/>
    </row>
    <row r="1355" spans="1:14" x14ac:dyDescent="0.25">
      <c r="A1355" s="8">
        <v>40676</v>
      </c>
      <c r="B1355">
        <v>1712995.44</v>
      </c>
      <c r="C1355">
        <v>0</v>
      </c>
      <c r="D1355">
        <v>74.040000000000006</v>
      </c>
      <c r="E1355">
        <v>4.202</v>
      </c>
      <c r="F1355">
        <v>129.089</v>
      </c>
      <c r="G1355">
        <v>8.4939999999999998</v>
      </c>
      <c r="N1355" s="8"/>
    </row>
    <row r="1356" spans="1:14" x14ac:dyDescent="0.25">
      <c r="A1356" s="8">
        <v>40683</v>
      </c>
      <c r="B1356">
        <v>1720908.01</v>
      </c>
      <c r="C1356">
        <v>0</v>
      </c>
      <c r="D1356">
        <v>72.62</v>
      </c>
      <c r="E1356">
        <v>3.99</v>
      </c>
      <c r="F1356">
        <v>129.07567739999999</v>
      </c>
      <c r="G1356">
        <v>8.4939999999999998</v>
      </c>
      <c r="N1356" s="8"/>
    </row>
    <row r="1357" spans="1:14" x14ac:dyDescent="0.25">
      <c r="A1357" s="8">
        <v>40690</v>
      </c>
      <c r="B1357">
        <v>1743000.38</v>
      </c>
      <c r="C1357">
        <v>0</v>
      </c>
      <c r="D1357">
        <v>78.62</v>
      </c>
      <c r="E1357">
        <v>3.9329999999999998</v>
      </c>
      <c r="F1357">
        <v>129.06235480000001</v>
      </c>
      <c r="G1357">
        <v>8.4939999999999998</v>
      </c>
      <c r="N1357" s="8"/>
    </row>
    <row r="1358" spans="1:14" x14ac:dyDescent="0.25">
      <c r="A1358" s="8">
        <v>40697</v>
      </c>
      <c r="B1358">
        <v>1792210.89</v>
      </c>
      <c r="C1358">
        <v>0</v>
      </c>
      <c r="D1358">
        <v>81.87</v>
      </c>
      <c r="E1358">
        <v>3.8929999999999998</v>
      </c>
      <c r="F1358">
        <v>129.04903229999999</v>
      </c>
      <c r="G1358">
        <v>8.4939999999999998</v>
      </c>
      <c r="N1358" s="8"/>
    </row>
    <row r="1359" spans="1:14" x14ac:dyDescent="0.25">
      <c r="A1359" s="8">
        <v>40704</v>
      </c>
      <c r="B1359">
        <v>1740063.1</v>
      </c>
      <c r="C1359">
        <v>0</v>
      </c>
      <c r="D1359">
        <v>84.57</v>
      </c>
      <c r="E1359">
        <v>3.9809999999999999</v>
      </c>
      <c r="F1359">
        <v>129.03570970000001</v>
      </c>
      <c r="G1359">
        <v>8.4939999999999998</v>
      </c>
      <c r="N1359" s="8"/>
    </row>
    <row r="1360" spans="1:14" x14ac:dyDescent="0.25">
      <c r="A1360" s="8">
        <v>40711</v>
      </c>
      <c r="B1360">
        <v>1817934.76</v>
      </c>
      <c r="C1360">
        <v>0</v>
      </c>
      <c r="D1360">
        <v>87.96</v>
      </c>
      <c r="E1360">
        <v>3.9350000000000001</v>
      </c>
      <c r="F1360">
        <v>129.04320000000001</v>
      </c>
      <c r="G1360">
        <v>8.4939999999999998</v>
      </c>
      <c r="N1360" s="8"/>
    </row>
    <row r="1361" spans="1:14" x14ac:dyDescent="0.25">
      <c r="A1361" s="8">
        <v>40718</v>
      </c>
      <c r="B1361">
        <v>1711813.13</v>
      </c>
      <c r="C1361">
        <v>0</v>
      </c>
      <c r="D1361">
        <v>90.69</v>
      </c>
      <c r="E1361">
        <v>3.8069999999999999</v>
      </c>
      <c r="F1361">
        <v>129.06630000000001</v>
      </c>
      <c r="G1361">
        <v>8.4939999999999998</v>
      </c>
      <c r="N1361" s="8"/>
    </row>
    <row r="1362" spans="1:14" x14ac:dyDescent="0.25">
      <c r="A1362" s="8">
        <v>40725</v>
      </c>
      <c r="B1362">
        <v>1751369.75</v>
      </c>
      <c r="C1362">
        <v>0</v>
      </c>
      <c r="D1362">
        <v>95.36</v>
      </c>
      <c r="E1362">
        <v>3.8420000000000001</v>
      </c>
      <c r="F1362">
        <v>129.08940000000001</v>
      </c>
      <c r="G1362">
        <v>8.2569999999999997</v>
      </c>
      <c r="N1362" s="8"/>
    </row>
    <row r="1363" spans="1:14" x14ac:dyDescent="0.25">
      <c r="A1363" s="8">
        <v>40732</v>
      </c>
      <c r="B1363">
        <v>1699708.38</v>
      </c>
      <c r="C1363">
        <v>0</v>
      </c>
      <c r="D1363">
        <v>88.57</v>
      </c>
      <c r="E1363">
        <v>3.7930000000000001</v>
      </c>
      <c r="F1363">
        <v>129.11250000000001</v>
      </c>
      <c r="G1363">
        <v>8.2569999999999997</v>
      </c>
      <c r="N1363" s="8"/>
    </row>
    <row r="1364" spans="1:14" x14ac:dyDescent="0.25">
      <c r="A1364" s="8">
        <v>40739</v>
      </c>
      <c r="B1364">
        <v>1775068.4</v>
      </c>
      <c r="C1364">
        <v>0</v>
      </c>
      <c r="D1364">
        <v>86.01</v>
      </c>
      <c r="E1364">
        <v>3.7789999999999999</v>
      </c>
      <c r="F1364">
        <v>129.13383870000001</v>
      </c>
      <c r="G1364">
        <v>8.2569999999999997</v>
      </c>
      <c r="N1364" s="8"/>
    </row>
    <row r="1365" spans="1:14" x14ac:dyDescent="0.25">
      <c r="A1365" s="8">
        <v>40746</v>
      </c>
      <c r="B1365">
        <v>1774342.61</v>
      </c>
      <c r="C1365">
        <v>0</v>
      </c>
      <c r="D1365">
        <v>88.59</v>
      </c>
      <c r="E1365">
        <v>3.6970000000000001</v>
      </c>
      <c r="F1365">
        <v>129.1507742</v>
      </c>
      <c r="G1365">
        <v>8.2569999999999997</v>
      </c>
      <c r="N1365" s="8"/>
    </row>
    <row r="1366" spans="1:14" x14ac:dyDescent="0.25">
      <c r="A1366" s="8">
        <v>40753</v>
      </c>
      <c r="B1366">
        <v>1745841.33</v>
      </c>
      <c r="C1366">
        <v>0</v>
      </c>
      <c r="D1366">
        <v>86.75</v>
      </c>
      <c r="E1366">
        <v>3.694</v>
      </c>
      <c r="F1366">
        <v>129.16770969999999</v>
      </c>
      <c r="G1366">
        <v>8.2569999999999997</v>
      </c>
      <c r="N1366" s="8"/>
    </row>
    <row r="1367" spans="1:14" x14ac:dyDescent="0.25">
      <c r="A1367" s="8">
        <v>40760</v>
      </c>
      <c r="B1367">
        <v>1886299.98</v>
      </c>
      <c r="C1367">
        <v>0</v>
      </c>
      <c r="D1367">
        <v>89.8</v>
      </c>
      <c r="E1367">
        <v>3.8029999999999999</v>
      </c>
      <c r="F1367">
        <v>129.18464520000001</v>
      </c>
      <c r="G1367">
        <v>8.2569999999999997</v>
      </c>
      <c r="N1367" s="8"/>
    </row>
    <row r="1368" spans="1:14" x14ac:dyDescent="0.25">
      <c r="A1368" s="8">
        <v>40767</v>
      </c>
      <c r="B1368">
        <v>1917397.63</v>
      </c>
      <c r="C1368">
        <v>0</v>
      </c>
      <c r="D1368">
        <v>85.61</v>
      </c>
      <c r="E1368">
        <v>3.794</v>
      </c>
      <c r="F1368">
        <v>129.2015806</v>
      </c>
      <c r="G1368">
        <v>8.2569999999999997</v>
      </c>
      <c r="N1368" s="8"/>
    </row>
    <row r="1369" spans="1:14" x14ac:dyDescent="0.25">
      <c r="A1369" s="8">
        <v>40774</v>
      </c>
      <c r="B1369">
        <v>1954849.68</v>
      </c>
      <c r="C1369">
        <v>0</v>
      </c>
      <c r="D1369">
        <v>87.4</v>
      </c>
      <c r="E1369">
        <v>3.7429999999999999</v>
      </c>
      <c r="F1369">
        <v>129.24058059999999</v>
      </c>
      <c r="G1369">
        <v>8.2569999999999997</v>
      </c>
      <c r="N1369" s="8"/>
    </row>
    <row r="1370" spans="1:14" x14ac:dyDescent="0.25">
      <c r="A1370" s="8">
        <v>40781</v>
      </c>
      <c r="B1370">
        <v>1728399.07</v>
      </c>
      <c r="C1370">
        <v>0</v>
      </c>
      <c r="D1370">
        <v>91.59</v>
      </c>
      <c r="E1370">
        <v>3.6629999999999998</v>
      </c>
      <c r="F1370">
        <v>129.28325810000001</v>
      </c>
      <c r="G1370">
        <v>8.2569999999999997</v>
      </c>
      <c r="N1370" s="8"/>
    </row>
    <row r="1371" spans="1:14" x14ac:dyDescent="0.25">
      <c r="A1371" s="8">
        <v>40788</v>
      </c>
      <c r="B1371">
        <v>1758587.35</v>
      </c>
      <c r="C1371">
        <v>0</v>
      </c>
      <c r="D1371">
        <v>91.61</v>
      </c>
      <c r="E1371">
        <v>3.798</v>
      </c>
      <c r="F1371">
        <v>129.32593550000001</v>
      </c>
      <c r="G1371">
        <v>8.2569999999999997</v>
      </c>
      <c r="N1371" s="8"/>
    </row>
    <row r="1372" spans="1:14" x14ac:dyDescent="0.25">
      <c r="A1372" s="8">
        <v>40795</v>
      </c>
      <c r="B1372">
        <v>1670579.82</v>
      </c>
      <c r="C1372">
        <v>1</v>
      </c>
      <c r="D1372">
        <v>89.06</v>
      </c>
      <c r="E1372">
        <v>3.7709999999999999</v>
      </c>
      <c r="F1372">
        <v>129.36861289999999</v>
      </c>
      <c r="G1372">
        <v>8.2569999999999997</v>
      </c>
      <c r="N1372" s="8"/>
    </row>
    <row r="1373" spans="1:14" x14ac:dyDescent="0.25">
      <c r="A1373" s="8">
        <v>40802</v>
      </c>
      <c r="B1373">
        <v>1650894.3</v>
      </c>
      <c r="C1373">
        <v>0</v>
      </c>
      <c r="D1373">
        <v>77.489999999999995</v>
      </c>
      <c r="E1373">
        <v>3.7839999999999998</v>
      </c>
      <c r="F1373">
        <v>129.4306</v>
      </c>
      <c r="G1373">
        <v>8.2569999999999997</v>
      </c>
      <c r="N1373" s="8"/>
    </row>
    <row r="1374" spans="1:14" x14ac:dyDescent="0.25">
      <c r="A1374" s="8">
        <v>40809</v>
      </c>
      <c r="B1374">
        <v>1685910.53</v>
      </c>
      <c r="C1374">
        <v>0</v>
      </c>
      <c r="D1374">
        <v>82.51</v>
      </c>
      <c r="E1374">
        <v>3.7890000000000001</v>
      </c>
      <c r="F1374">
        <v>129.51833329999999</v>
      </c>
      <c r="G1374">
        <v>8.2569999999999997</v>
      </c>
      <c r="N1374" s="8"/>
    </row>
    <row r="1375" spans="1:14" x14ac:dyDescent="0.25">
      <c r="A1375" s="8">
        <v>40816</v>
      </c>
      <c r="B1375">
        <v>1627707.31</v>
      </c>
      <c r="C1375">
        <v>0</v>
      </c>
      <c r="D1375">
        <v>82.27</v>
      </c>
      <c r="E1375">
        <v>3.8769999999999998</v>
      </c>
      <c r="F1375">
        <v>129.60606670000001</v>
      </c>
      <c r="G1375">
        <v>8.2569999999999997</v>
      </c>
      <c r="N1375" s="8"/>
    </row>
    <row r="1376" spans="1:14" x14ac:dyDescent="0.25">
      <c r="A1376" s="8">
        <v>40823</v>
      </c>
      <c r="B1376">
        <v>1788227.6</v>
      </c>
      <c r="C1376">
        <v>0</v>
      </c>
      <c r="D1376">
        <v>75.010000000000005</v>
      </c>
      <c r="E1376">
        <v>3.827</v>
      </c>
      <c r="F1376">
        <v>129.69380000000001</v>
      </c>
      <c r="G1376">
        <v>7.8739999999999997</v>
      </c>
      <c r="N1376" s="8"/>
    </row>
    <row r="1377" spans="1:14" x14ac:dyDescent="0.25">
      <c r="A1377" s="8">
        <v>40830</v>
      </c>
      <c r="B1377">
        <v>1704753.02</v>
      </c>
      <c r="C1377">
        <v>0</v>
      </c>
      <c r="D1377">
        <v>70.27</v>
      </c>
      <c r="E1377">
        <v>3.698</v>
      </c>
      <c r="F1377">
        <v>129.77064519999999</v>
      </c>
      <c r="G1377">
        <v>7.8739999999999997</v>
      </c>
      <c r="N1377" s="8"/>
    </row>
    <row r="1378" spans="1:14" x14ac:dyDescent="0.25">
      <c r="A1378" s="8">
        <v>40837</v>
      </c>
      <c r="B1378">
        <v>1745928.56</v>
      </c>
      <c r="C1378">
        <v>0</v>
      </c>
      <c r="D1378">
        <v>77.91</v>
      </c>
      <c r="E1378">
        <v>3.8420000000000001</v>
      </c>
      <c r="F1378">
        <v>129.78216130000001</v>
      </c>
      <c r="G1378">
        <v>7.8739999999999997</v>
      </c>
      <c r="N1378" s="8"/>
    </row>
    <row r="1379" spans="1:14" x14ac:dyDescent="0.25">
      <c r="A1379" s="8">
        <v>40844</v>
      </c>
      <c r="B1379">
        <v>1771792.97</v>
      </c>
      <c r="C1379">
        <v>0</v>
      </c>
      <c r="D1379">
        <v>72.790000000000006</v>
      </c>
      <c r="E1379">
        <v>3.843</v>
      </c>
      <c r="F1379">
        <v>129.79367740000001</v>
      </c>
      <c r="G1379">
        <v>7.8739999999999997</v>
      </c>
      <c r="N1379" s="8"/>
    </row>
    <row r="1380" spans="1:14" x14ac:dyDescent="0.25">
      <c r="A1380" s="8">
        <v>40851</v>
      </c>
      <c r="B1380">
        <v>1904438.59</v>
      </c>
      <c r="C1380">
        <v>0</v>
      </c>
      <c r="D1380">
        <v>68.569999999999993</v>
      </c>
      <c r="E1380">
        <v>3.8279999999999998</v>
      </c>
      <c r="F1380">
        <v>129.8051935</v>
      </c>
      <c r="G1380">
        <v>7.8739999999999997</v>
      </c>
      <c r="N1380" s="8"/>
    </row>
    <row r="1381" spans="1:14" x14ac:dyDescent="0.25">
      <c r="A1381" s="8">
        <v>40858</v>
      </c>
      <c r="B1381">
        <v>2076570.84</v>
      </c>
      <c r="C1381">
        <v>0</v>
      </c>
      <c r="D1381">
        <v>55.28</v>
      </c>
      <c r="E1381">
        <v>3.677</v>
      </c>
      <c r="F1381">
        <v>129.81670969999999</v>
      </c>
      <c r="G1381">
        <v>7.8739999999999997</v>
      </c>
      <c r="N1381" s="8"/>
    </row>
    <row r="1382" spans="1:14" x14ac:dyDescent="0.25">
      <c r="A1382" s="8">
        <v>40865</v>
      </c>
      <c r="B1382">
        <v>1869087.85</v>
      </c>
      <c r="C1382">
        <v>0</v>
      </c>
      <c r="D1382">
        <v>58.97</v>
      </c>
      <c r="E1382">
        <v>3.669</v>
      </c>
      <c r="F1382">
        <v>129.8268333</v>
      </c>
      <c r="G1382">
        <v>7.8739999999999997</v>
      </c>
      <c r="N1382" s="8"/>
    </row>
    <row r="1383" spans="1:14" x14ac:dyDescent="0.25">
      <c r="A1383" s="8">
        <v>40872</v>
      </c>
      <c r="B1383">
        <v>2950198.64</v>
      </c>
      <c r="C1383">
        <v>1</v>
      </c>
      <c r="D1383">
        <v>60.68</v>
      </c>
      <c r="E1383">
        <v>3.76</v>
      </c>
      <c r="F1383">
        <v>129.8364</v>
      </c>
      <c r="G1383">
        <v>7.8739999999999997</v>
      </c>
      <c r="N1383" s="8"/>
    </row>
    <row r="1384" spans="1:14" x14ac:dyDescent="0.25">
      <c r="A1384" s="8">
        <v>40879</v>
      </c>
      <c r="B1384">
        <v>2068097.18</v>
      </c>
      <c r="C1384">
        <v>0</v>
      </c>
      <c r="D1384">
        <v>57.29</v>
      </c>
      <c r="E1384">
        <v>3.7010000000000001</v>
      </c>
      <c r="F1384">
        <v>129.84596669999999</v>
      </c>
      <c r="G1384">
        <v>7.8739999999999997</v>
      </c>
      <c r="N1384" s="8"/>
    </row>
    <row r="1385" spans="1:14" x14ac:dyDescent="0.25">
      <c r="A1385" s="8">
        <v>40886</v>
      </c>
      <c r="B1385">
        <v>2429310.9</v>
      </c>
      <c r="C1385">
        <v>0</v>
      </c>
      <c r="D1385">
        <v>42.58</v>
      </c>
      <c r="E1385">
        <v>3.6440000000000001</v>
      </c>
      <c r="F1385">
        <v>129.85553329999999</v>
      </c>
      <c r="G1385">
        <v>7.8739999999999997</v>
      </c>
      <c r="N1385" s="8"/>
    </row>
    <row r="1386" spans="1:14" x14ac:dyDescent="0.25">
      <c r="A1386" s="8">
        <v>40893</v>
      </c>
      <c r="B1386">
        <v>2555031.1800000002</v>
      </c>
      <c r="C1386">
        <v>0</v>
      </c>
      <c r="D1386">
        <v>50.53</v>
      </c>
      <c r="E1386">
        <v>3.4889999999999999</v>
      </c>
      <c r="F1386">
        <v>129.8980645</v>
      </c>
      <c r="G1386">
        <v>7.8739999999999997</v>
      </c>
      <c r="N1386" s="8"/>
    </row>
    <row r="1387" spans="1:14" x14ac:dyDescent="0.25">
      <c r="A1387" s="8">
        <v>40900</v>
      </c>
      <c r="B1387">
        <v>3487986.89</v>
      </c>
      <c r="C1387">
        <v>0</v>
      </c>
      <c r="D1387">
        <v>48.36</v>
      </c>
      <c r="E1387">
        <v>3.5409999999999999</v>
      </c>
      <c r="F1387">
        <v>129.98454839999999</v>
      </c>
      <c r="G1387">
        <v>7.8739999999999997</v>
      </c>
      <c r="N1387" s="8"/>
    </row>
    <row r="1388" spans="1:14" x14ac:dyDescent="0.25">
      <c r="A1388" s="8">
        <v>40907</v>
      </c>
      <c r="B1388">
        <v>1930690.37</v>
      </c>
      <c r="C1388">
        <v>1</v>
      </c>
      <c r="D1388">
        <v>48.92</v>
      </c>
      <c r="E1388">
        <v>3.4279999999999999</v>
      </c>
      <c r="F1388">
        <v>130.07103230000001</v>
      </c>
      <c r="G1388">
        <v>7.8739999999999997</v>
      </c>
      <c r="N1388" s="8"/>
    </row>
    <row r="1389" spans="1:14" x14ac:dyDescent="0.25">
      <c r="A1389" s="8">
        <v>40914</v>
      </c>
      <c r="B1389">
        <v>1683401.78</v>
      </c>
      <c r="C1389">
        <v>0</v>
      </c>
      <c r="D1389">
        <v>59.85</v>
      </c>
      <c r="E1389">
        <v>3.4430000000000001</v>
      </c>
      <c r="F1389">
        <v>130.15751610000001</v>
      </c>
      <c r="G1389">
        <v>7.5449999999999999</v>
      </c>
      <c r="N1389" s="8"/>
    </row>
    <row r="1390" spans="1:14" x14ac:dyDescent="0.25">
      <c r="A1390" s="8">
        <v>40921</v>
      </c>
      <c r="B1390">
        <v>1711562.73</v>
      </c>
      <c r="C1390">
        <v>0</v>
      </c>
      <c r="D1390">
        <v>51</v>
      </c>
      <c r="E1390">
        <v>3.4769999999999999</v>
      </c>
      <c r="F1390">
        <v>130.244</v>
      </c>
      <c r="G1390">
        <v>7.5449999999999999</v>
      </c>
      <c r="N1390" s="8"/>
    </row>
    <row r="1391" spans="1:14" x14ac:dyDescent="0.25">
      <c r="A1391" s="8">
        <v>40928</v>
      </c>
      <c r="B1391">
        <v>1675562.94</v>
      </c>
      <c r="C1391">
        <v>0</v>
      </c>
      <c r="D1391">
        <v>54.51</v>
      </c>
      <c r="E1391">
        <v>3.66</v>
      </c>
      <c r="F1391">
        <v>130.27922580000001</v>
      </c>
      <c r="G1391">
        <v>7.5449999999999999</v>
      </c>
      <c r="N1391" s="8"/>
    </row>
    <row r="1392" spans="1:14" x14ac:dyDescent="0.25">
      <c r="A1392" s="8">
        <v>40935</v>
      </c>
      <c r="B1392">
        <v>1632406</v>
      </c>
      <c r="C1392">
        <v>0</v>
      </c>
      <c r="D1392">
        <v>53.59</v>
      </c>
      <c r="E1392">
        <v>3.6749999999999998</v>
      </c>
      <c r="F1392">
        <v>130.31445160000001</v>
      </c>
      <c r="G1392">
        <v>7.5449999999999999</v>
      </c>
      <c r="N1392" s="8"/>
    </row>
    <row r="1393" spans="1:14" x14ac:dyDescent="0.25">
      <c r="A1393" s="8">
        <v>40942</v>
      </c>
      <c r="B1393">
        <v>1867403.01</v>
      </c>
      <c r="C1393">
        <v>0</v>
      </c>
      <c r="D1393">
        <v>56.85</v>
      </c>
      <c r="E1393">
        <v>3.5430000000000001</v>
      </c>
      <c r="F1393">
        <v>130.34967739999999</v>
      </c>
      <c r="G1393">
        <v>7.5449999999999999</v>
      </c>
      <c r="N1393" s="8"/>
    </row>
    <row r="1394" spans="1:14" x14ac:dyDescent="0.25">
      <c r="A1394" s="8">
        <v>40949</v>
      </c>
      <c r="B1394">
        <v>2218595.7999999998</v>
      </c>
      <c r="C1394">
        <v>1</v>
      </c>
      <c r="D1394">
        <v>55.73</v>
      </c>
      <c r="E1394">
        <v>3.722</v>
      </c>
      <c r="F1394">
        <v>130.3849032</v>
      </c>
      <c r="G1394">
        <v>7.5449999999999999</v>
      </c>
      <c r="N1394" s="8"/>
    </row>
    <row r="1395" spans="1:14" x14ac:dyDescent="0.25">
      <c r="A1395" s="8">
        <v>40956</v>
      </c>
      <c r="B1395">
        <v>2168709.7599999998</v>
      </c>
      <c r="C1395">
        <v>0</v>
      </c>
      <c r="D1395">
        <v>54.12</v>
      </c>
      <c r="E1395">
        <v>3.7810000000000001</v>
      </c>
      <c r="F1395">
        <v>130.45462069999999</v>
      </c>
      <c r="G1395">
        <v>7.5449999999999999</v>
      </c>
      <c r="N1395" s="8"/>
    </row>
    <row r="1396" spans="1:14" x14ac:dyDescent="0.25">
      <c r="A1396" s="8">
        <v>40963</v>
      </c>
      <c r="B1396">
        <v>2039415.74</v>
      </c>
      <c r="C1396">
        <v>0</v>
      </c>
      <c r="D1396">
        <v>56.02</v>
      </c>
      <c r="E1396">
        <v>3.95</v>
      </c>
      <c r="F1396">
        <v>130.55020690000001</v>
      </c>
      <c r="G1396">
        <v>7.5449999999999999</v>
      </c>
      <c r="N1396" s="8"/>
    </row>
    <row r="1397" spans="1:14" x14ac:dyDescent="0.25">
      <c r="A1397" s="8">
        <v>40970</v>
      </c>
      <c r="B1397">
        <v>1990371.02</v>
      </c>
      <c r="C1397">
        <v>0</v>
      </c>
      <c r="D1397">
        <v>57.62</v>
      </c>
      <c r="E1397">
        <v>3.8820000000000001</v>
      </c>
      <c r="F1397">
        <v>130.64579309999999</v>
      </c>
      <c r="G1397">
        <v>7.5449999999999999</v>
      </c>
      <c r="N1397" s="8"/>
    </row>
    <row r="1398" spans="1:14" x14ac:dyDescent="0.25">
      <c r="A1398" s="8">
        <v>40977</v>
      </c>
      <c r="B1398">
        <v>1917483.1</v>
      </c>
      <c r="C1398">
        <v>0</v>
      </c>
      <c r="D1398">
        <v>57.65</v>
      </c>
      <c r="E1398">
        <v>3.9630000000000001</v>
      </c>
      <c r="F1398">
        <v>130.74137930000001</v>
      </c>
      <c r="G1398">
        <v>7.5449999999999999</v>
      </c>
      <c r="N1398" s="8"/>
    </row>
    <row r="1399" spans="1:14" x14ac:dyDescent="0.25">
      <c r="A1399" s="8">
        <v>40984</v>
      </c>
      <c r="B1399">
        <v>1930814.66</v>
      </c>
      <c r="C1399">
        <v>0</v>
      </c>
      <c r="D1399">
        <v>62.11</v>
      </c>
      <c r="E1399">
        <v>4.2729999999999997</v>
      </c>
      <c r="F1399">
        <v>130.82619349999999</v>
      </c>
      <c r="G1399">
        <v>7.5449999999999999</v>
      </c>
      <c r="N1399" s="8"/>
    </row>
    <row r="1400" spans="1:14" x14ac:dyDescent="0.25">
      <c r="A1400" s="8">
        <v>40991</v>
      </c>
      <c r="B1400">
        <v>1837457.69</v>
      </c>
      <c r="C1400">
        <v>0</v>
      </c>
      <c r="D1400">
        <v>56.54</v>
      </c>
      <c r="E1400">
        <v>4.2880000000000003</v>
      </c>
      <c r="F1400">
        <v>130.89664519999999</v>
      </c>
      <c r="G1400">
        <v>7.5449999999999999</v>
      </c>
      <c r="N1400" s="8"/>
    </row>
    <row r="1401" spans="1:14" x14ac:dyDescent="0.25">
      <c r="A1401" s="8">
        <v>40998</v>
      </c>
      <c r="B1401">
        <v>1815760.42</v>
      </c>
      <c r="C1401">
        <v>0</v>
      </c>
      <c r="D1401">
        <v>67.92</v>
      </c>
      <c r="E1401">
        <v>4.2939999999999996</v>
      </c>
      <c r="F1401">
        <v>130.96709680000001</v>
      </c>
      <c r="G1401">
        <v>7.5449999999999999</v>
      </c>
      <c r="N1401" s="8"/>
    </row>
    <row r="1402" spans="1:14" x14ac:dyDescent="0.25">
      <c r="A1402" s="8">
        <v>41005</v>
      </c>
      <c r="B1402">
        <v>2163384.17</v>
      </c>
      <c r="C1402">
        <v>0</v>
      </c>
      <c r="D1402">
        <v>65.989999999999995</v>
      </c>
      <c r="E1402">
        <v>4.282</v>
      </c>
      <c r="F1402">
        <v>131.03754839999999</v>
      </c>
      <c r="G1402">
        <v>7.3819999999999997</v>
      </c>
      <c r="N1402" s="8"/>
    </row>
    <row r="1403" spans="1:14" x14ac:dyDescent="0.25">
      <c r="A1403" s="8">
        <v>41012</v>
      </c>
      <c r="B1403">
        <v>1974687.51</v>
      </c>
      <c r="C1403">
        <v>0</v>
      </c>
      <c r="D1403">
        <v>70.28</v>
      </c>
      <c r="E1403">
        <v>4.2539999999999996</v>
      </c>
      <c r="F1403">
        <v>131.108</v>
      </c>
      <c r="G1403">
        <v>7.3819999999999997</v>
      </c>
      <c r="N1403" s="8"/>
    </row>
    <row r="1404" spans="1:14" x14ac:dyDescent="0.25">
      <c r="A1404" s="8">
        <v>41019</v>
      </c>
      <c r="B1404">
        <v>1777166.53</v>
      </c>
      <c r="C1404">
        <v>0</v>
      </c>
      <c r="D1404">
        <v>67.75</v>
      </c>
      <c r="E1404">
        <v>4.1109999999999998</v>
      </c>
      <c r="F1404">
        <v>131.11733330000001</v>
      </c>
      <c r="G1404">
        <v>7.3819999999999997</v>
      </c>
      <c r="N1404" s="8"/>
    </row>
    <row r="1405" spans="1:14" x14ac:dyDescent="0.25">
      <c r="A1405" s="8">
        <v>41026</v>
      </c>
      <c r="B1405">
        <v>1712987.56</v>
      </c>
      <c r="C1405">
        <v>0</v>
      </c>
      <c r="D1405">
        <v>80.11</v>
      </c>
      <c r="E1405">
        <v>4.0880000000000001</v>
      </c>
      <c r="F1405">
        <v>131.12666669999999</v>
      </c>
      <c r="G1405">
        <v>7.3819999999999997</v>
      </c>
      <c r="N1405" s="8"/>
    </row>
    <row r="1406" spans="1:14" x14ac:dyDescent="0.25">
      <c r="A1406" s="8">
        <v>41033</v>
      </c>
      <c r="B1406">
        <v>1821364.42</v>
      </c>
      <c r="C1406">
        <v>0</v>
      </c>
      <c r="D1406">
        <v>77.02</v>
      </c>
      <c r="E1406">
        <v>4.0579999999999998</v>
      </c>
      <c r="F1406">
        <v>131.136</v>
      </c>
      <c r="G1406">
        <v>7.3819999999999997</v>
      </c>
      <c r="N1406" s="8"/>
    </row>
    <row r="1407" spans="1:14" x14ac:dyDescent="0.25">
      <c r="A1407" s="8">
        <v>41040</v>
      </c>
      <c r="B1407">
        <v>1792345.3</v>
      </c>
      <c r="C1407">
        <v>0</v>
      </c>
      <c r="D1407">
        <v>76.03</v>
      </c>
      <c r="E1407">
        <v>4.1859999999999999</v>
      </c>
      <c r="F1407">
        <v>131.1453333</v>
      </c>
      <c r="G1407">
        <v>7.3819999999999997</v>
      </c>
      <c r="N1407" s="8"/>
    </row>
    <row r="1408" spans="1:14" x14ac:dyDescent="0.25">
      <c r="A1408" s="8">
        <v>41047</v>
      </c>
      <c r="B1408">
        <v>1795152.73</v>
      </c>
      <c r="C1408">
        <v>0</v>
      </c>
      <c r="D1408">
        <v>85.19</v>
      </c>
      <c r="E1408">
        <v>4.3079999999999998</v>
      </c>
      <c r="F1408">
        <v>131.09832259999999</v>
      </c>
      <c r="G1408">
        <v>7.3819999999999997</v>
      </c>
      <c r="N1408" s="8"/>
    </row>
    <row r="1409" spans="1:14" x14ac:dyDescent="0.25">
      <c r="A1409" s="8">
        <v>41054</v>
      </c>
      <c r="B1409">
        <v>1830939.1</v>
      </c>
      <c r="C1409">
        <v>0</v>
      </c>
      <c r="D1409">
        <v>86.03</v>
      </c>
      <c r="E1409">
        <v>4.1269999999999998</v>
      </c>
      <c r="F1409">
        <v>131.02877419999999</v>
      </c>
      <c r="G1409">
        <v>7.3819999999999997</v>
      </c>
      <c r="N1409" s="8"/>
    </row>
    <row r="1410" spans="1:14" x14ac:dyDescent="0.25">
      <c r="A1410" s="8">
        <v>41061</v>
      </c>
      <c r="B1410">
        <v>1767471.48</v>
      </c>
      <c r="C1410">
        <v>0</v>
      </c>
      <c r="D1410">
        <v>80.06</v>
      </c>
      <c r="E1410">
        <v>4.2770000000000001</v>
      </c>
      <c r="F1410">
        <v>130.95922580000001</v>
      </c>
      <c r="G1410">
        <v>7.3819999999999997</v>
      </c>
      <c r="N1410" s="8"/>
    </row>
    <row r="1411" spans="1:14" x14ac:dyDescent="0.25">
      <c r="A1411" s="8">
        <v>41068</v>
      </c>
      <c r="B1411">
        <v>1840491.41</v>
      </c>
      <c r="C1411">
        <v>0</v>
      </c>
      <c r="D1411">
        <v>86.87</v>
      </c>
      <c r="E1411">
        <v>4.1029999999999998</v>
      </c>
      <c r="F1411">
        <v>130.88967740000001</v>
      </c>
      <c r="G1411">
        <v>7.3819999999999997</v>
      </c>
      <c r="N1411" s="8"/>
    </row>
    <row r="1412" spans="1:14" x14ac:dyDescent="0.25">
      <c r="A1412" s="8">
        <v>41075</v>
      </c>
      <c r="B1412">
        <v>1811562.88</v>
      </c>
      <c r="C1412">
        <v>0</v>
      </c>
      <c r="D1412">
        <v>88.58</v>
      </c>
      <c r="E1412">
        <v>4.1440000000000001</v>
      </c>
      <c r="F1412">
        <v>130.82953330000001</v>
      </c>
      <c r="G1412">
        <v>7.3819999999999997</v>
      </c>
      <c r="N1412" s="8"/>
    </row>
    <row r="1413" spans="1:14" x14ac:dyDescent="0.25">
      <c r="A1413" s="8">
        <v>41082</v>
      </c>
      <c r="B1413">
        <v>1755334.18</v>
      </c>
      <c r="C1413">
        <v>0</v>
      </c>
      <c r="D1413">
        <v>89.92</v>
      </c>
      <c r="E1413">
        <v>4.0140000000000002</v>
      </c>
      <c r="F1413">
        <v>130.7929</v>
      </c>
      <c r="G1413">
        <v>7.3819999999999997</v>
      </c>
      <c r="N1413" s="8"/>
    </row>
    <row r="1414" spans="1:14" x14ac:dyDescent="0.25">
      <c r="A1414" s="8">
        <v>41089</v>
      </c>
      <c r="B1414">
        <v>1707481.9</v>
      </c>
      <c r="C1414">
        <v>0</v>
      </c>
      <c r="D1414">
        <v>91.36</v>
      </c>
      <c r="E1414">
        <v>3.875</v>
      </c>
      <c r="F1414">
        <v>130.7562667</v>
      </c>
      <c r="G1414">
        <v>7.3819999999999997</v>
      </c>
      <c r="N1414" s="8"/>
    </row>
    <row r="1415" spans="1:14" x14ac:dyDescent="0.25">
      <c r="A1415" s="8">
        <v>41096</v>
      </c>
      <c r="B1415">
        <v>1805999.79</v>
      </c>
      <c r="C1415">
        <v>0</v>
      </c>
      <c r="D1415">
        <v>86.87</v>
      </c>
      <c r="E1415">
        <v>3.6659999999999999</v>
      </c>
      <c r="F1415">
        <v>130.7196333</v>
      </c>
      <c r="G1415">
        <v>7.17</v>
      </c>
      <c r="N1415" s="8"/>
    </row>
    <row r="1416" spans="1:14" x14ac:dyDescent="0.25">
      <c r="A1416" s="8">
        <v>41103</v>
      </c>
      <c r="B1416">
        <v>1765571.91</v>
      </c>
      <c r="C1416">
        <v>0</v>
      </c>
      <c r="D1416">
        <v>89.8</v>
      </c>
      <c r="E1416">
        <v>3.7229999999999999</v>
      </c>
      <c r="F1416">
        <v>130.68299999999999</v>
      </c>
      <c r="G1416">
        <v>7.17</v>
      </c>
      <c r="N1416" s="8"/>
    </row>
    <row r="1417" spans="1:14" x14ac:dyDescent="0.25">
      <c r="A1417" s="8">
        <v>41110</v>
      </c>
      <c r="B1417">
        <v>1869967.03</v>
      </c>
      <c r="C1417">
        <v>0</v>
      </c>
      <c r="D1417">
        <v>84.45</v>
      </c>
      <c r="E1417">
        <v>3.589</v>
      </c>
      <c r="F1417">
        <v>130.70129030000001</v>
      </c>
      <c r="G1417">
        <v>7.17</v>
      </c>
      <c r="N1417" s="8"/>
    </row>
    <row r="1418" spans="1:14" x14ac:dyDescent="0.25">
      <c r="A1418" s="8">
        <v>41117</v>
      </c>
      <c r="B1418">
        <v>1817603.66</v>
      </c>
      <c r="C1418">
        <v>0</v>
      </c>
      <c r="D1418">
        <v>83.98</v>
      </c>
      <c r="E1418">
        <v>3.7690000000000001</v>
      </c>
      <c r="F1418">
        <v>130.7195806</v>
      </c>
      <c r="G1418">
        <v>7.17</v>
      </c>
      <c r="N1418" s="8"/>
    </row>
    <row r="1419" spans="1:14" x14ac:dyDescent="0.25">
      <c r="A1419" s="8">
        <v>41124</v>
      </c>
      <c r="B1419">
        <v>1939440.09</v>
      </c>
      <c r="C1419">
        <v>0</v>
      </c>
      <c r="D1419">
        <v>84.76</v>
      </c>
      <c r="E1419">
        <v>3.5950000000000002</v>
      </c>
      <c r="F1419">
        <v>130.73787100000001</v>
      </c>
      <c r="G1419">
        <v>7.17</v>
      </c>
      <c r="N1419" s="8"/>
    </row>
    <row r="1420" spans="1:14" x14ac:dyDescent="0.25">
      <c r="A1420" s="8">
        <v>41131</v>
      </c>
      <c r="B1420">
        <v>1880436.94</v>
      </c>
      <c r="C1420">
        <v>0</v>
      </c>
      <c r="D1420">
        <v>90.78</v>
      </c>
      <c r="E1420">
        <v>3.8109999999999999</v>
      </c>
      <c r="F1420">
        <v>130.7561613</v>
      </c>
      <c r="G1420">
        <v>7.17</v>
      </c>
      <c r="N1420" s="8"/>
    </row>
    <row r="1421" spans="1:14" x14ac:dyDescent="0.25">
      <c r="A1421" s="8">
        <v>41138</v>
      </c>
      <c r="B1421">
        <v>1827797.4</v>
      </c>
      <c r="C1421">
        <v>0</v>
      </c>
      <c r="D1421">
        <v>88.83</v>
      </c>
      <c r="E1421">
        <v>4.0019999999999998</v>
      </c>
      <c r="F1421">
        <v>130.79096770000001</v>
      </c>
      <c r="G1421">
        <v>7.17</v>
      </c>
      <c r="N1421" s="8"/>
    </row>
    <row r="1422" spans="1:14" x14ac:dyDescent="0.25">
      <c r="A1422" s="8">
        <v>41145</v>
      </c>
      <c r="B1422">
        <v>1764984.15</v>
      </c>
      <c r="C1422">
        <v>0</v>
      </c>
      <c r="D1422">
        <v>82.5</v>
      </c>
      <c r="E1422">
        <v>4.0549999999999997</v>
      </c>
      <c r="F1422">
        <v>130.8381613</v>
      </c>
      <c r="G1422">
        <v>7.17</v>
      </c>
      <c r="N1422" s="8"/>
    </row>
    <row r="1423" spans="1:14" x14ac:dyDescent="0.25">
      <c r="A1423" s="8">
        <v>41152</v>
      </c>
      <c r="B1423">
        <v>1650285.54</v>
      </c>
      <c r="C1423">
        <v>0</v>
      </c>
      <c r="D1423">
        <v>86.97</v>
      </c>
      <c r="E1423">
        <v>3.8860000000000001</v>
      </c>
      <c r="F1423">
        <v>130.88535479999999</v>
      </c>
      <c r="G1423">
        <v>7.17</v>
      </c>
      <c r="N1423" s="8"/>
    </row>
    <row r="1424" spans="1:14" x14ac:dyDescent="0.25">
      <c r="A1424" s="8">
        <v>41159</v>
      </c>
      <c r="B1424">
        <v>1708283.28</v>
      </c>
      <c r="C1424">
        <v>1</v>
      </c>
      <c r="D1424">
        <v>83.07</v>
      </c>
      <c r="E1424">
        <v>4.1239999999999997</v>
      </c>
      <c r="F1424">
        <v>130.9325484</v>
      </c>
      <c r="G1424">
        <v>7.17</v>
      </c>
      <c r="N1424" s="8"/>
    </row>
    <row r="1425" spans="1:14" x14ac:dyDescent="0.25">
      <c r="A1425" s="8">
        <v>41166</v>
      </c>
      <c r="B1425">
        <v>1640168.99</v>
      </c>
      <c r="C1425">
        <v>0</v>
      </c>
      <c r="D1425">
        <v>78.47</v>
      </c>
      <c r="E1425">
        <v>3.9660000000000002</v>
      </c>
      <c r="F1425">
        <v>130.97766669999999</v>
      </c>
      <c r="G1425">
        <v>7.17</v>
      </c>
      <c r="N1425" s="8"/>
    </row>
    <row r="1426" spans="1:14" x14ac:dyDescent="0.25">
      <c r="A1426" s="8">
        <v>41173</v>
      </c>
      <c r="B1426">
        <v>1671857.57</v>
      </c>
      <c r="C1426">
        <v>0</v>
      </c>
      <c r="D1426">
        <v>81.93</v>
      </c>
      <c r="E1426">
        <v>4.125</v>
      </c>
      <c r="F1426">
        <v>131.01033330000001</v>
      </c>
      <c r="G1426">
        <v>7.17</v>
      </c>
      <c r="N1426" s="8"/>
    </row>
    <row r="1427" spans="1:14" x14ac:dyDescent="0.25">
      <c r="A1427" s="8">
        <v>41180</v>
      </c>
      <c r="B1427">
        <v>1694862.41</v>
      </c>
      <c r="C1427">
        <v>0</v>
      </c>
      <c r="D1427">
        <v>82.52</v>
      </c>
      <c r="E1427">
        <v>3.9660000000000002</v>
      </c>
      <c r="F1427">
        <v>131.04300000000001</v>
      </c>
      <c r="G1427">
        <v>7.17</v>
      </c>
      <c r="N1427" s="8"/>
    </row>
    <row r="1428" spans="1:14" x14ac:dyDescent="0.25">
      <c r="A1428" s="8">
        <v>41187</v>
      </c>
      <c r="B1428">
        <v>1758971.38</v>
      </c>
      <c r="C1428">
        <v>0</v>
      </c>
      <c r="D1428">
        <v>80.88</v>
      </c>
      <c r="E1428">
        <v>4.1319999999999997</v>
      </c>
      <c r="F1428">
        <v>131.0756667</v>
      </c>
      <c r="G1428">
        <v>6.9429999999999996</v>
      </c>
      <c r="N1428" s="8"/>
    </row>
    <row r="1429" spans="1:14" x14ac:dyDescent="0.25">
      <c r="A1429" s="8">
        <v>41194</v>
      </c>
      <c r="B1429">
        <v>1713889.11</v>
      </c>
      <c r="C1429">
        <v>0</v>
      </c>
      <c r="D1429">
        <v>76.03</v>
      </c>
      <c r="E1429">
        <v>4.468</v>
      </c>
      <c r="F1429">
        <v>131.1083333</v>
      </c>
      <c r="G1429">
        <v>6.9429999999999996</v>
      </c>
      <c r="N1429" s="8"/>
    </row>
    <row r="1430" spans="1:14" x14ac:dyDescent="0.25">
      <c r="A1430" s="8">
        <v>41201</v>
      </c>
      <c r="B1430">
        <v>1734834.82</v>
      </c>
      <c r="C1430">
        <v>0</v>
      </c>
      <c r="D1430">
        <v>72.709999999999994</v>
      </c>
      <c r="E1430">
        <v>4.4489999999999998</v>
      </c>
      <c r="F1430">
        <v>131.14996769999999</v>
      </c>
      <c r="G1430">
        <v>6.9429999999999996</v>
      </c>
      <c r="N1430" s="8"/>
    </row>
    <row r="1431" spans="1:14" x14ac:dyDescent="0.25">
      <c r="A1431" s="8">
        <v>41208</v>
      </c>
      <c r="B1431">
        <v>1744349.05</v>
      </c>
      <c r="C1431">
        <v>0</v>
      </c>
      <c r="D1431">
        <v>70.5</v>
      </c>
      <c r="E1431">
        <v>4.3010000000000002</v>
      </c>
      <c r="F1431">
        <v>131.19309680000001</v>
      </c>
      <c r="G1431">
        <v>6.9429999999999996</v>
      </c>
      <c r="N1431" s="8"/>
    </row>
    <row r="1432" spans="1:14" x14ac:dyDescent="0.25">
      <c r="A1432" s="8">
        <v>40214</v>
      </c>
      <c r="B1432">
        <v>1528008.64</v>
      </c>
      <c r="C1432">
        <v>0</v>
      </c>
      <c r="D1432">
        <v>46.04</v>
      </c>
      <c r="E1432">
        <v>2.5720000000000001</v>
      </c>
      <c r="F1432">
        <v>214.42488119999999</v>
      </c>
      <c r="G1432">
        <v>7.3680000000000003</v>
      </c>
      <c r="N1432" s="8"/>
    </row>
    <row r="1433" spans="1:14" x14ac:dyDescent="0.25">
      <c r="A1433" s="8">
        <v>40221</v>
      </c>
      <c r="B1433">
        <v>1574684.08</v>
      </c>
      <c r="C1433">
        <v>1</v>
      </c>
      <c r="D1433">
        <v>48.01</v>
      </c>
      <c r="E1433">
        <v>2.548</v>
      </c>
      <c r="F1433">
        <v>214.5747916</v>
      </c>
      <c r="G1433">
        <v>7.3680000000000003</v>
      </c>
      <c r="N1433" s="8"/>
    </row>
    <row r="1434" spans="1:14" x14ac:dyDescent="0.25">
      <c r="A1434" s="8">
        <v>40228</v>
      </c>
      <c r="B1434">
        <v>1503298.7</v>
      </c>
      <c r="C1434">
        <v>0</v>
      </c>
      <c r="D1434">
        <v>48.3</v>
      </c>
      <c r="E1434">
        <v>2.5139999999999998</v>
      </c>
      <c r="F1434">
        <v>214.61988679999999</v>
      </c>
      <c r="G1434">
        <v>7.3680000000000003</v>
      </c>
      <c r="N1434" s="8"/>
    </row>
    <row r="1435" spans="1:14" x14ac:dyDescent="0.25">
      <c r="A1435" s="8">
        <v>40235</v>
      </c>
      <c r="B1435">
        <v>1336404.6499999999</v>
      </c>
      <c r="C1435">
        <v>0</v>
      </c>
      <c r="D1435">
        <v>52.79</v>
      </c>
      <c r="E1435">
        <v>2.5609999999999999</v>
      </c>
      <c r="F1435">
        <v>214.64751269999999</v>
      </c>
      <c r="G1435">
        <v>7.3680000000000003</v>
      </c>
      <c r="N1435" s="8"/>
    </row>
    <row r="1436" spans="1:14" x14ac:dyDescent="0.25">
      <c r="A1436" s="8">
        <v>40242</v>
      </c>
      <c r="B1436">
        <v>1426622.65</v>
      </c>
      <c r="C1436">
        <v>0</v>
      </c>
      <c r="D1436">
        <v>53.96</v>
      </c>
      <c r="E1436">
        <v>2.625</v>
      </c>
      <c r="F1436">
        <v>214.6751386</v>
      </c>
      <c r="G1436">
        <v>7.3680000000000003</v>
      </c>
      <c r="N1436" s="8"/>
    </row>
    <row r="1437" spans="1:14" x14ac:dyDescent="0.25">
      <c r="A1437" s="8">
        <v>40249</v>
      </c>
      <c r="B1437">
        <v>1331883.1599999999</v>
      </c>
      <c r="C1437">
        <v>0</v>
      </c>
      <c r="D1437">
        <v>64.099999999999994</v>
      </c>
      <c r="E1437">
        <v>2.6669999999999998</v>
      </c>
      <c r="F1437">
        <v>214.70276459999999</v>
      </c>
      <c r="G1437">
        <v>7.3680000000000003</v>
      </c>
      <c r="N1437" s="8"/>
    </row>
    <row r="1438" spans="1:14" x14ac:dyDescent="0.25">
      <c r="A1438" s="8">
        <v>40256</v>
      </c>
      <c r="B1438">
        <v>1364207</v>
      </c>
      <c r="C1438">
        <v>0</v>
      </c>
      <c r="D1438">
        <v>61.51</v>
      </c>
      <c r="E1438">
        <v>2.72</v>
      </c>
      <c r="F1438">
        <v>214.53012190000001</v>
      </c>
      <c r="G1438">
        <v>7.3680000000000003</v>
      </c>
      <c r="N1438" s="8"/>
    </row>
    <row r="1439" spans="1:14" x14ac:dyDescent="0.25">
      <c r="A1439" s="8">
        <v>40263</v>
      </c>
      <c r="B1439">
        <v>1245624.27</v>
      </c>
      <c r="C1439">
        <v>0</v>
      </c>
      <c r="D1439">
        <v>58.09</v>
      </c>
      <c r="E1439">
        <v>2.7320000000000002</v>
      </c>
      <c r="F1439">
        <v>214.32410110000001</v>
      </c>
      <c r="G1439">
        <v>7.3680000000000003</v>
      </c>
      <c r="N1439" s="8"/>
    </row>
    <row r="1440" spans="1:14" x14ac:dyDescent="0.25">
      <c r="A1440" s="8">
        <v>40270</v>
      </c>
      <c r="B1440">
        <v>1446210.26</v>
      </c>
      <c r="C1440">
        <v>0</v>
      </c>
      <c r="D1440">
        <v>66.16</v>
      </c>
      <c r="E1440">
        <v>2.7189999999999999</v>
      </c>
      <c r="F1440">
        <v>214.1180803</v>
      </c>
      <c r="G1440">
        <v>7.343</v>
      </c>
      <c r="N1440" s="8"/>
    </row>
    <row r="1441" spans="1:14" x14ac:dyDescent="0.25">
      <c r="A1441" s="8">
        <v>40277</v>
      </c>
      <c r="B1441">
        <v>1470308.32</v>
      </c>
      <c r="C1441">
        <v>0</v>
      </c>
      <c r="D1441">
        <v>69.569999999999993</v>
      </c>
      <c r="E1441">
        <v>2.77</v>
      </c>
      <c r="F1441">
        <v>213.9120595</v>
      </c>
      <c r="G1441">
        <v>7.343</v>
      </c>
      <c r="N1441" s="8"/>
    </row>
    <row r="1442" spans="1:14" x14ac:dyDescent="0.25">
      <c r="A1442" s="8">
        <v>40284</v>
      </c>
      <c r="B1442">
        <v>1323243.3500000001</v>
      </c>
      <c r="C1442">
        <v>0</v>
      </c>
      <c r="D1442">
        <v>67.81</v>
      </c>
      <c r="E1442">
        <v>2.8079999999999998</v>
      </c>
      <c r="F1442">
        <v>213.77268889999999</v>
      </c>
      <c r="G1442">
        <v>7.343</v>
      </c>
      <c r="N1442" s="8"/>
    </row>
    <row r="1443" spans="1:14" x14ac:dyDescent="0.25">
      <c r="A1443" s="8">
        <v>40291</v>
      </c>
      <c r="B1443">
        <v>1283766.55</v>
      </c>
      <c r="C1443">
        <v>0</v>
      </c>
      <c r="D1443">
        <v>68.37</v>
      </c>
      <c r="E1443">
        <v>2.7949999999999999</v>
      </c>
      <c r="F1443">
        <v>213.72218520000001</v>
      </c>
      <c r="G1443">
        <v>7.343</v>
      </c>
      <c r="N1443" s="8"/>
    </row>
    <row r="1444" spans="1:14" x14ac:dyDescent="0.25">
      <c r="A1444" s="8">
        <v>40298</v>
      </c>
      <c r="B1444">
        <v>1239766.8899999999</v>
      </c>
      <c r="C1444">
        <v>0</v>
      </c>
      <c r="D1444">
        <v>71.13</v>
      </c>
      <c r="E1444">
        <v>2.78</v>
      </c>
      <c r="F1444">
        <v>213.67168150000001</v>
      </c>
      <c r="G1444">
        <v>7.343</v>
      </c>
      <c r="N1444" s="8"/>
    </row>
    <row r="1445" spans="1:14" x14ac:dyDescent="0.25">
      <c r="A1445" s="8">
        <v>40305</v>
      </c>
      <c r="B1445">
        <v>1312329.78</v>
      </c>
      <c r="C1445">
        <v>0</v>
      </c>
      <c r="D1445">
        <v>75.569999999999993</v>
      </c>
      <c r="E1445">
        <v>2.835</v>
      </c>
      <c r="F1445">
        <v>213.6211778</v>
      </c>
      <c r="G1445">
        <v>7.343</v>
      </c>
      <c r="N1445" s="8"/>
    </row>
    <row r="1446" spans="1:14" x14ac:dyDescent="0.25">
      <c r="A1446" s="8">
        <v>40312</v>
      </c>
      <c r="B1446">
        <v>1266796.1299999999</v>
      </c>
      <c r="C1446">
        <v>0</v>
      </c>
      <c r="D1446">
        <v>77.64</v>
      </c>
      <c r="E1446">
        <v>2.8540000000000001</v>
      </c>
      <c r="F1446">
        <v>213.61961389999999</v>
      </c>
      <c r="G1446">
        <v>7.343</v>
      </c>
      <c r="N1446" s="8"/>
    </row>
    <row r="1447" spans="1:14" x14ac:dyDescent="0.25">
      <c r="A1447" s="8">
        <v>40319</v>
      </c>
      <c r="B1447">
        <v>1271646.6200000001</v>
      </c>
      <c r="C1447">
        <v>0</v>
      </c>
      <c r="D1447">
        <v>76.97</v>
      </c>
      <c r="E1447">
        <v>2.8260000000000001</v>
      </c>
      <c r="F1447">
        <v>213.91168859999999</v>
      </c>
      <c r="G1447">
        <v>7.343</v>
      </c>
      <c r="N1447" s="8"/>
    </row>
    <row r="1448" spans="1:14" x14ac:dyDescent="0.25">
      <c r="A1448" s="8">
        <v>40326</v>
      </c>
      <c r="B1448">
        <v>1264272.52</v>
      </c>
      <c r="C1448">
        <v>0</v>
      </c>
      <c r="D1448">
        <v>79.69</v>
      </c>
      <c r="E1448">
        <v>2.7589999999999999</v>
      </c>
      <c r="F1448">
        <v>214.20376340000001</v>
      </c>
      <c r="G1448">
        <v>7.343</v>
      </c>
      <c r="N1448" s="8"/>
    </row>
    <row r="1449" spans="1:14" x14ac:dyDescent="0.25">
      <c r="A1449" s="8">
        <v>40333</v>
      </c>
      <c r="B1449">
        <v>1396322.19</v>
      </c>
      <c r="C1449">
        <v>0</v>
      </c>
      <c r="D1449">
        <v>79.66</v>
      </c>
      <c r="E1449">
        <v>2.7050000000000001</v>
      </c>
      <c r="F1449">
        <v>214.49583820000001</v>
      </c>
      <c r="G1449">
        <v>7.343</v>
      </c>
      <c r="N1449" s="8"/>
    </row>
    <row r="1450" spans="1:14" x14ac:dyDescent="0.25">
      <c r="A1450" s="8">
        <v>40340</v>
      </c>
      <c r="B1450">
        <v>1339570.8500000001</v>
      </c>
      <c r="C1450">
        <v>0</v>
      </c>
      <c r="D1450">
        <v>82.81</v>
      </c>
      <c r="E1450">
        <v>2.6680000000000001</v>
      </c>
      <c r="F1450">
        <v>214.787913</v>
      </c>
      <c r="G1450">
        <v>7.343</v>
      </c>
      <c r="N1450" s="8"/>
    </row>
    <row r="1451" spans="1:14" x14ac:dyDescent="0.25">
      <c r="A1451" s="8">
        <v>40347</v>
      </c>
      <c r="B1451">
        <v>1336522.92</v>
      </c>
      <c r="C1451">
        <v>0</v>
      </c>
      <c r="D1451">
        <v>84.13</v>
      </c>
      <c r="E1451">
        <v>2.637</v>
      </c>
      <c r="F1451">
        <v>214.78582589999999</v>
      </c>
      <c r="G1451">
        <v>7.343</v>
      </c>
      <c r="N1451" s="8"/>
    </row>
    <row r="1452" spans="1:14" x14ac:dyDescent="0.25">
      <c r="A1452" s="8">
        <v>40354</v>
      </c>
      <c r="B1452">
        <v>1262025.08</v>
      </c>
      <c r="C1452">
        <v>0</v>
      </c>
      <c r="D1452">
        <v>84.5</v>
      </c>
      <c r="E1452">
        <v>2.653</v>
      </c>
      <c r="F1452">
        <v>214.6660741</v>
      </c>
      <c r="G1452">
        <v>7.343</v>
      </c>
      <c r="N1452" s="8"/>
    </row>
    <row r="1453" spans="1:14" x14ac:dyDescent="0.25">
      <c r="A1453" s="8">
        <v>40361</v>
      </c>
      <c r="B1453">
        <v>1302600.1399999999</v>
      </c>
      <c r="C1453">
        <v>0</v>
      </c>
      <c r="D1453">
        <v>83.09</v>
      </c>
      <c r="E1453">
        <v>2.669</v>
      </c>
      <c r="F1453">
        <v>214.54632219999999</v>
      </c>
      <c r="G1453">
        <v>7.3460000000000001</v>
      </c>
      <c r="N1453" s="8"/>
    </row>
    <row r="1454" spans="1:14" x14ac:dyDescent="0.25">
      <c r="A1454" s="8">
        <v>40368</v>
      </c>
      <c r="B1454">
        <v>1280156.47</v>
      </c>
      <c r="C1454">
        <v>0</v>
      </c>
      <c r="D1454">
        <v>83.01</v>
      </c>
      <c r="E1454">
        <v>2.6419999999999999</v>
      </c>
      <c r="F1454">
        <v>214.4265704</v>
      </c>
      <c r="G1454">
        <v>7.3460000000000001</v>
      </c>
      <c r="N1454" s="8"/>
    </row>
    <row r="1455" spans="1:14" x14ac:dyDescent="0.25">
      <c r="A1455" s="8">
        <v>40375</v>
      </c>
      <c r="B1455">
        <v>1290609.54</v>
      </c>
      <c r="C1455">
        <v>0</v>
      </c>
      <c r="D1455">
        <v>84.9</v>
      </c>
      <c r="E1455">
        <v>2.6230000000000002</v>
      </c>
      <c r="F1455">
        <v>214.41764760000001</v>
      </c>
      <c r="G1455">
        <v>7.3460000000000001</v>
      </c>
      <c r="N1455" s="8"/>
    </row>
    <row r="1456" spans="1:14" x14ac:dyDescent="0.25">
      <c r="A1456" s="8">
        <v>40382</v>
      </c>
      <c r="B1456">
        <v>1244390.03</v>
      </c>
      <c r="C1456">
        <v>0</v>
      </c>
      <c r="D1456">
        <v>84.57</v>
      </c>
      <c r="E1456">
        <v>2.6080000000000001</v>
      </c>
      <c r="F1456">
        <v>214.55649679999999</v>
      </c>
      <c r="G1456">
        <v>7.3460000000000001</v>
      </c>
      <c r="N1456" s="8"/>
    </row>
    <row r="1457" spans="1:14" x14ac:dyDescent="0.25">
      <c r="A1457" s="8">
        <v>40389</v>
      </c>
      <c r="B1457">
        <v>1250178.8899999999</v>
      </c>
      <c r="C1457">
        <v>0</v>
      </c>
      <c r="D1457">
        <v>83.26</v>
      </c>
      <c r="E1457">
        <v>2.64</v>
      </c>
      <c r="F1457">
        <v>214.695346</v>
      </c>
      <c r="G1457">
        <v>7.3460000000000001</v>
      </c>
      <c r="N1457" s="8"/>
    </row>
    <row r="1458" spans="1:14" x14ac:dyDescent="0.25">
      <c r="A1458" s="8">
        <v>40396</v>
      </c>
      <c r="B1458">
        <v>1369634.92</v>
      </c>
      <c r="C1458">
        <v>0</v>
      </c>
      <c r="D1458">
        <v>86.54</v>
      </c>
      <c r="E1458">
        <v>2.6269999999999998</v>
      </c>
      <c r="F1458">
        <v>214.83419520000001</v>
      </c>
      <c r="G1458">
        <v>7.3460000000000001</v>
      </c>
      <c r="N1458" s="8"/>
    </row>
    <row r="1459" spans="1:14" x14ac:dyDescent="0.25">
      <c r="A1459" s="8">
        <v>40403</v>
      </c>
      <c r="B1459">
        <v>1384339.1</v>
      </c>
      <c r="C1459">
        <v>0</v>
      </c>
      <c r="D1459">
        <v>87.73</v>
      </c>
      <c r="E1459">
        <v>2.6920000000000002</v>
      </c>
      <c r="F1459">
        <v>214.97304439999999</v>
      </c>
      <c r="G1459">
        <v>7.3460000000000001</v>
      </c>
      <c r="N1459" s="8"/>
    </row>
    <row r="1460" spans="1:14" x14ac:dyDescent="0.25">
      <c r="A1460" s="8">
        <v>40410</v>
      </c>
      <c r="B1460">
        <v>1430192.37</v>
      </c>
      <c r="C1460">
        <v>0</v>
      </c>
      <c r="D1460">
        <v>88.93</v>
      </c>
      <c r="E1460">
        <v>2.6640000000000001</v>
      </c>
      <c r="F1460">
        <v>214.9314191</v>
      </c>
      <c r="G1460">
        <v>7.3460000000000001</v>
      </c>
      <c r="N1460" s="8"/>
    </row>
    <row r="1461" spans="1:14" x14ac:dyDescent="0.25">
      <c r="A1461" s="8">
        <v>40417</v>
      </c>
      <c r="B1461">
        <v>1311263.07</v>
      </c>
      <c r="C1461">
        <v>0</v>
      </c>
      <c r="D1461">
        <v>87.7</v>
      </c>
      <c r="E1461">
        <v>2.6190000000000002</v>
      </c>
      <c r="F1461">
        <v>214.88979380000001</v>
      </c>
      <c r="G1461">
        <v>7.3460000000000001</v>
      </c>
      <c r="N1461" s="8"/>
    </row>
    <row r="1462" spans="1:14" x14ac:dyDescent="0.25">
      <c r="A1462" s="8">
        <v>40424</v>
      </c>
      <c r="B1462">
        <v>1303914.27</v>
      </c>
      <c r="C1462">
        <v>0</v>
      </c>
      <c r="D1462">
        <v>84.94</v>
      </c>
      <c r="E1462">
        <v>2.577</v>
      </c>
      <c r="F1462">
        <v>214.84816850000001</v>
      </c>
      <c r="G1462">
        <v>7.3460000000000001</v>
      </c>
      <c r="N1462" s="8"/>
    </row>
    <row r="1463" spans="1:14" x14ac:dyDescent="0.25">
      <c r="A1463" s="8">
        <v>40431</v>
      </c>
      <c r="B1463">
        <v>1231428.46</v>
      </c>
      <c r="C1463">
        <v>1</v>
      </c>
      <c r="D1463">
        <v>81.93</v>
      </c>
      <c r="E1463">
        <v>2.5649999999999999</v>
      </c>
      <c r="F1463">
        <v>214.8065431</v>
      </c>
      <c r="G1463">
        <v>7.3460000000000001</v>
      </c>
      <c r="N1463" s="8"/>
    </row>
    <row r="1464" spans="1:14" x14ac:dyDescent="0.25">
      <c r="A1464" s="8">
        <v>40438</v>
      </c>
      <c r="B1464">
        <v>1215676.31</v>
      </c>
      <c r="C1464">
        <v>0</v>
      </c>
      <c r="D1464">
        <v>83.04</v>
      </c>
      <c r="E1464">
        <v>2.5819999999999999</v>
      </c>
      <c r="F1464">
        <v>214.8322484</v>
      </c>
      <c r="G1464">
        <v>7.3460000000000001</v>
      </c>
      <c r="N1464" s="8"/>
    </row>
    <row r="1465" spans="1:14" x14ac:dyDescent="0.25">
      <c r="A1465" s="8">
        <v>40445</v>
      </c>
      <c r="B1465">
        <v>1170103.25</v>
      </c>
      <c r="C1465">
        <v>0</v>
      </c>
      <c r="D1465">
        <v>77.36</v>
      </c>
      <c r="E1465">
        <v>2.6240000000000001</v>
      </c>
      <c r="F1465">
        <v>214.90845160000001</v>
      </c>
      <c r="G1465">
        <v>7.3460000000000001</v>
      </c>
      <c r="N1465" s="8"/>
    </row>
    <row r="1466" spans="1:14" x14ac:dyDescent="0.25">
      <c r="A1466" s="8">
        <v>40452</v>
      </c>
      <c r="B1466">
        <v>1182490.46</v>
      </c>
      <c r="C1466">
        <v>0</v>
      </c>
      <c r="D1466">
        <v>75.11</v>
      </c>
      <c r="E1466">
        <v>2.6030000000000002</v>
      </c>
      <c r="F1466">
        <v>214.98465479999999</v>
      </c>
      <c r="G1466">
        <v>7.5640000000000001</v>
      </c>
      <c r="N1466" s="8"/>
    </row>
    <row r="1467" spans="1:14" x14ac:dyDescent="0.25">
      <c r="A1467" s="8">
        <v>40459</v>
      </c>
      <c r="B1467">
        <v>1293472.8</v>
      </c>
      <c r="C1467">
        <v>0</v>
      </c>
      <c r="D1467">
        <v>68.709999999999994</v>
      </c>
      <c r="E1467">
        <v>2.633</v>
      </c>
      <c r="F1467">
        <v>215.060858</v>
      </c>
      <c r="G1467">
        <v>7.5640000000000001</v>
      </c>
      <c r="N1467" s="8"/>
    </row>
    <row r="1468" spans="1:14" x14ac:dyDescent="0.25">
      <c r="A1468" s="8">
        <v>40466</v>
      </c>
      <c r="B1468">
        <v>1175003.67</v>
      </c>
      <c r="C1468">
        <v>0</v>
      </c>
      <c r="D1468">
        <v>71.459999999999994</v>
      </c>
      <c r="E1468">
        <v>2.72</v>
      </c>
      <c r="F1468">
        <v>215.12931140000001</v>
      </c>
      <c r="G1468">
        <v>7.5640000000000001</v>
      </c>
      <c r="N1468" s="8"/>
    </row>
    <row r="1469" spans="1:14" x14ac:dyDescent="0.25">
      <c r="A1469" s="8">
        <v>40473</v>
      </c>
      <c r="B1469">
        <v>1169831.3799999999</v>
      </c>
      <c r="C1469">
        <v>0</v>
      </c>
      <c r="D1469">
        <v>72.599999999999994</v>
      </c>
      <c r="E1469">
        <v>2.7250000000000001</v>
      </c>
      <c r="F1469">
        <v>215.17839000000001</v>
      </c>
      <c r="G1469">
        <v>7.5640000000000001</v>
      </c>
      <c r="N1469" s="8"/>
    </row>
    <row r="1470" spans="1:14" x14ac:dyDescent="0.25">
      <c r="A1470" s="8">
        <v>40480</v>
      </c>
      <c r="B1470">
        <v>1195036</v>
      </c>
      <c r="C1470">
        <v>0</v>
      </c>
      <c r="D1470">
        <v>74.209999999999994</v>
      </c>
      <c r="E1470">
        <v>2.7160000000000002</v>
      </c>
      <c r="F1470">
        <v>215.22746860000001</v>
      </c>
      <c r="G1470">
        <v>7.5640000000000001</v>
      </c>
      <c r="N1470" s="8"/>
    </row>
    <row r="1471" spans="1:14" x14ac:dyDescent="0.25">
      <c r="A1471" s="8">
        <v>40487</v>
      </c>
      <c r="B1471">
        <v>1332759.1299999999</v>
      </c>
      <c r="C1471">
        <v>0</v>
      </c>
      <c r="D1471">
        <v>64.41</v>
      </c>
      <c r="E1471">
        <v>2.6890000000000001</v>
      </c>
      <c r="F1471">
        <v>215.27654720000001</v>
      </c>
      <c r="G1471">
        <v>7.5640000000000001</v>
      </c>
      <c r="N1471" s="8"/>
    </row>
    <row r="1472" spans="1:14" x14ac:dyDescent="0.25">
      <c r="A1472" s="8">
        <v>40494</v>
      </c>
      <c r="B1472">
        <v>1281675.6000000001</v>
      </c>
      <c r="C1472">
        <v>0</v>
      </c>
      <c r="D1472">
        <v>63.74</v>
      </c>
      <c r="E1472">
        <v>2.7280000000000002</v>
      </c>
      <c r="F1472">
        <v>215.32562580000001</v>
      </c>
      <c r="G1472">
        <v>7.5640000000000001</v>
      </c>
      <c r="N1472" s="8"/>
    </row>
    <row r="1473" spans="1:14" x14ac:dyDescent="0.25">
      <c r="A1473" s="8">
        <v>40501</v>
      </c>
      <c r="B1473">
        <v>1292346.57</v>
      </c>
      <c r="C1473">
        <v>0</v>
      </c>
      <c r="D1473">
        <v>58.63</v>
      </c>
      <c r="E1473">
        <v>2.7709999999999999</v>
      </c>
      <c r="F1473">
        <v>215.2074519</v>
      </c>
      <c r="G1473">
        <v>7.5640000000000001</v>
      </c>
      <c r="N1473" s="8"/>
    </row>
    <row r="1474" spans="1:14" x14ac:dyDescent="0.25">
      <c r="A1474" s="8">
        <v>40508</v>
      </c>
      <c r="B1474">
        <v>1757242.51</v>
      </c>
      <c r="C1474">
        <v>1</v>
      </c>
      <c r="D1474">
        <v>69.900000000000006</v>
      </c>
      <c r="E1474">
        <v>2.7349999999999999</v>
      </c>
      <c r="F1474">
        <v>215.06140250000001</v>
      </c>
      <c r="G1474">
        <v>7.5640000000000001</v>
      </c>
      <c r="N1474" s="8"/>
    </row>
    <row r="1475" spans="1:14" x14ac:dyDescent="0.25">
      <c r="A1475" s="8">
        <v>40515</v>
      </c>
      <c r="B1475">
        <v>1380522.64</v>
      </c>
      <c r="C1475">
        <v>0</v>
      </c>
      <c r="D1475">
        <v>55.9</v>
      </c>
      <c r="E1475">
        <v>2.7080000000000002</v>
      </c>
      <c r="F1475">
        <v>214.9153531</v>
      </c>
      <c r="G1475">
        <v>7.5640000000000001</v>
      </c>
      <c r="N1475" s="8"/>
    </row>
    <row r="1476" spans="1:14" x14ac:dyDescent="0.25">
      <c r="A1476" s="8">
        <v>40522</v>
      </c>
      <c r="B1476">
        <v>1564516.43</v>
      </c>
      <c r="C1476">
        <v>0</v>
      </c>
      <c r="D1476">
        <v>53.33</v>
      </c>
      <c r="E1476">
        <v>2.843</v>
      </c>
      <c r="F1476">
        <v>214.76930369999999</v>
      </c>
      <c r="G1476">
        <v>7.5640000000000001</v>
      </c>
      <c r="N1476" s="8"/>
    </row>
    <row r="1477" spans="1:14" x14ac:dyDescent="0.25">
      <c r="A1477" s="8">
        <v>40529</v>
      </c>
      <c r="B1477">
        <v>1843971.15</v>
      </c>
      <c r="C1477">
        <v>0</v>
      </c>
      <c r="D1477">
        <v>54.63</v>
      </c>
      <c r="E1477">
        <v>2.8690000000000002</v>
      </c>
      <c r="F1477">
        <v>214.70491899999999</v>
      </c>
      <c r="G1477">
        <v>7.5640000000000001</v>
      </c>
      <c r="N1477" s="8"/>
    </row>
    <row r="1478" spans="1:14" x14ac:dyDescent="0.25">
      <c r="A1478" s="8">
        <v>40536</v>
      </c>
      <c r="B1478">
        <v>2306265.36</v>
      </c>
      <c r="C1478">
        <v>0</v>
      </c>
      <c r="D1478">
        <v>59.33</v>
      </c>
      <c r="E1478">
        <v>2.8860000000000001</v>
      </c>
      <c r="F1478">
        <v>214.70178279999999</v>
      </c>
      <c r="G1478">
        <v>7.5640000000000001</v>
      </c>
      <c r="N1478" s="8"/>
    </row>
    <row r="1479" spans="1:14" x14ac:dyDescent="0.25">
      <c r="A1479" s="8">
        <v>40543</v>
      </c>
      <c r="B1479">
        <v>1172003.1000000001</v>
      </c>
      <c r="C1479">
        <v>1</v>
      </c>
      <c r="D1479">
        <v>55.03</v>
      </c>
      <c r="E1479">
        <v>2.9430000000000001</v>
      </c>
      <c r="F1479">
        <v>214.69864659999999</v>
      </c>
      <c r="G1479">
        <v>7.5640000000000001</v>
      </c>
      <c r="N1479" s="8"/>
    </row>
    <row r="1480" spans="1:14" x14ac:dyDescent="0.25">
      <c r="A1480" s="8">
        <v>40550</v>
      </c>
      <c r="B1480">
        <v>1178905.44</v>
      </c>
      <c r="C1480">
        <v>0</v>
      </c>
      <c r="D1480">
        <v>54.43</v>
      </c>
      <c r="E1480">
        <v>2.976</v>
      </c>
      <c r="F1480">
        <v>214.69551039999999</v>
      </c>
      <c r="G1480">
        <v>7.5510000000000002</v>
      </c>
      <c r="N1480" s="8"/>
    </row>
    <row r="1481" spans="1:14" x14ac:dyDescent="0.25">
      <c r="A1481" s="8">
        <v>40557</v>
      </c>
      <c r="B1481">
        <v>1194449.78</v>
      </c>
      <c r="C1481">
        <v>0</v>
      </c>
      <c r="D1481">
        <v>45.34</v>
      </c>
      <c r="E1481">
        <v>2.9830000000000001</v>
      </c>
      <c r="F1481">
        <v>214.74707290000001</v>
      </c>
      <c r="G1481">
        <v>7.5510000000000002</v>
      </c>
      <c r="N1481" s="8"/>
    </row>
    <row r="1482" spans="1:14" x14ac:dyDescent="0.25">
      <c r="A1482" s="8">
        <v>40564</v>
      </c>
      <c r="B1482">
        <v>1187776.19</v>
      </c>
      <c r="C1482">
        <v>0</v>
      </c>
      <c r="D1482">
        <v>51.51</v>
      </c>
      <c r="E1482">
        <v>3.016</v>
      </c>
      <c r="F1482">
        <v>215.12682749999999</v>
      </c>
      <c r="G1482">
        <v>7.5510000000000002</v>
      </c>
      <c r="N1482" s="8"/>
    </row>
    <row r="1483" spans="1:14" x14ac:dyDescent="0.25">
      <c r="A1483" s="8">
        <v>40571</v>
      </c>
      <c r="B1483">
        <v>1100418.69</v>
      </c>
      <c r="C1483">
        <v>0</v>
      </c>
      <c r="D1483">
        <v>51.04</v>
      </c>
      <c r="E1483">
        <v>3.01</v>
      </c>
      <c r="F1483">
        <v>215.5065821</v>
      </c>
      <c r="G1483">
        <v>7.5510000000000002</v>
      </c>
      <c r="N1483" s="8"/>
    </row>
    <row r="1484" spans="1:14" x14ac:dyDescent="0.25">
      <c r="A1484" s="8">
        <v>40578</v>
      </c>
      <c r="B1484">
        <v>1422546.05</v>
      </c>
      <c r="C1484">
        <v>0</v>
      </c>
      <c r="D1484">
        <v>47.17</v>
      </c>
      <c r="E1484">
        <v>2.9889999999999999</v>
      </c>
      <c r="F1484">
        <v>215.88633669999999</v>
      </c>
      <c r="G1484">
        <v>7.5510000000000002</v>
      </c>
      <c r="N1484" s="8"/>
    </row>
    <row r="1485" spans="1:14" x14ac:dyDescent="0.25">
      <c r="A1485" s="8">
        <v>40585</v>
      </c>
      <c r="B1485">
        <v>1419236.9</v>
      </c>
      <c r="C1485">
        <v>1</v>
      </c>
      <c r="D1485">
        <v>44.61</v>
      </c>
      <c r="E1485">
        <v>3.0219999999999998</v>
      </c>
      <c r="F1485">
        <v>216.2660913</v>
      </c>
      <c r="G1485">
        <v>7.5510000000000002</v>
      </c>
      <c r="N1485" s="8"/>
    </row>
    <row r="1486" spans="1:14" x14ac:dyDescent="0.25">
      <c r="A1486" s="8">
        <v>40592</v>
      </c>
      <c r="B1486">
        <v>1554747.15</v>
      </c>
      <c r="C1486">
        <v>0</v>
      </c>
      <c r="D1486">
        <v>61.5</v>
      </c>
      <c r="E1486">
        <v>3.0449999999999999</v>
      </c>
      <c r="F1486">
        <v>216.58435710000001</v>
      </c>
      <c r="G1486">
        <v>7.5510000000000002</v>
      </c>
      <c r="N1486" s="8"/>
    </row>
    <row r="1487" spans="1:14" x14ac:dyDescent="0.25">
      <c r="A1487" s="8">
        <v>40599</v>
      </c>
      <c r="B1487">
        <v>1323999.3600000001</v>
      </c>
      <c r="C1487">
        <v>0</v>
      </c>
      <c r="D1487">
        <v>68.739999999999995</v>
      </c>
      <c r="E1487">
        <v>3.0649999999999999</v>
      </c>
      <c r="F1487">
        <v>216.8780275</v>
      </c>
      <c r="G1487">
        <v>7.5510000000000002</v>
      </c>
      <c r="N1487" s="8"/>
    </row>
    <row r="1488" spans="1:14" x14ac:dyDescent="0.25">
      <c r="A1488" s="8">
        <v>40606</v>
      </c>
      <c r="B1488">
        <v>1399456.99</v>
      </c>
      <c r="C1488">
        <v>0</v>
      </c>
      <c r="D1488">
        <v>66.5</v>
      </c>
      <c r="E1488">
        <v>3.2879999999999998</v>
      </c>
      <c r="F1488">
        <v>217.1716979</v>
      </c>
      <c r="G1488">
        <v>7.5510000000000002</v>
      </c>
      <c r="N1488" s="8"/>
    </row>
    <row r="1489" spans="1:14" x14ac:dyDescent="0.25">
      <c r="A1489" s="8">
        <v>40613</v>
      </c>
      <c r="B1489">
        <v>1314557.31</v>
      </c>
      <c r="C1489">
        <v>0</v>
      </c>
      <c r="D1489">
        <v>63.29</v>
      </c>
      <c r="E1489">
        <v>3.4590000000000001</v>
      </c>
      <c r="F1489">
        <v>217.46536829999999</v>
      </c>
      <c r="G1489">
        <v>7.5510000000000002</v>
      </c>
      <c r="N1489" s="8"/>
    </row>
    <row r="1490" spans="1:14" x14ac:dyDescent="0.25">
      <c r="A1490" s="8">
        <v>40620</v>
      </c>
      <c r="B1490">
        <v>1391813.69</v>
      </c>
      <c r="C1490">
        <v>0</v>
      </c>
      <c r="D1490">
        <v>70.17</v>
      </c>
      <c r="E1490">
        <v>3.488</v>
      </c>
      <c r="F1490">
        <v>217.7235226</v>
      </c>
      <c r="G1490">
        <v>7.5510000000000002</v>
      </c>
      <c r="N1490" s="8"/>
    </row>
    <row r="1491" spans="1:14" x14ac:dyDescent="0.25">
      <c r="A1491" s="8">
        <v>40627</v>
      </c>
      <c r="B1491">
        <v>1229777.24</v>
      </c>
      <c r="C1491">
        <v>0</v>
      </c>
      <c r="D1491">
        <v>73.739999999999995</v>
      </c>
      <c r="E1491">
        <v>3.4729999999999999</v>
      </c>
      <c r="F1491">
        <v>217.96747049999999</v>
      </c>
      <c r="G1491">
        <v>7.5510000000000002</v>
      </c>
      <c r="N1491" s="8"/>
    </row>
    <row r="1492" spans="1:14" x14ac:dyDescent="0.25">
      <c r="A1492" s="8">
        <v>40634</v>
      </c>
      <c r="B1492">
        <v>1258674.1200000001</v>
      </c>
      <c r="C1492">
        <v>0</v>
      </c>
      <c r="D1492">
        <v>69.099999999999994</v>
      </c>
      <c r="E1492">
        <v>3.524</v>
      </c>
      <c r="F1492">
        <v>218.21141840000001</v>
      </c>
      <c r="G1492">
        <v>7.5739999999999998</v>
      </c>
      <c r="N1492" s="8"/>
    </row>
    <row r="1493" spans="1:14" x14ac:dyDescent="0.25">
      <c r="A1493" s="8">
        <v>40641</v>
      </c>
      <c r="B1493">
        <v>1327401.06</v>
      </c>
      <c r="C1493">
        <v>0</v>
      </c>
      <c r="D1493">
        <v>73.569999999999993</v>
      </c>
      <c r="E1493">
        <v>3.6219999999999999</v>
      </c>
      <c r="F1493">
        <v>218.45536630000001</v>
      </c>
      <c r="G1493">
        <v>7.5739999999999998</v>
      </c>
      <c r="N1493" s="8"/>
    </row>
    <row r="1494" spans="1:14" x14ac:dyDescent="0.25">
      <c r="A1494" s="8">
        <v>40648</v>
      </c>
      <c r="B1494">
        <v>1312905.8</v>
      </c>
      <c r="C1494">
        <v>0</v>
      </c>
      <c r="D1494">
        <v>76.64</v>
      </c>
      <c r="E1494">
        <v>3.7429999999999999</v>
      </c>
      <c r="F1494">
        <v>218.67886419999999</v>
      </c>
      <c r="G1494">
        <v>7.5739999999999998</v>
      </c>
      <c r="N1494" s="8"/>
    </row>
    <row r="1495" spans="1:14" x14ac:dyDescent="0.25">
      <c r="A1495" s="8">
        <v>40655</v>
      </c>
      <c r="B1495">
        <v>1388118.53</v>
      </c>
      <c r="C1495">
        <v>0</v>
      </c>
      <c r="D1495">
        <v>78.31</v>
      </c>
      <c r="E1495">
        <v>3.8069999999999999</v>
      </c>
      <c r="F1495">
        <v>218.851237</v>
      </c>
      <c r="G1495">
        <v>7.5739999999999998</v>
      </c>
      <c r="N1495" s="8"/>
    </row>
    <row r="1496" spans="1:14" x14ac:dyDescent="0.25">
      <c r="A1496" s="8">
        <v>40662</v>
      </c>
      <c r="B1496">
        <v>1357589.89</v>
      </c>
      <c r="C1496">
        <v>0</v>
      </c>
      <c r="D1496">
        <v>79.97</v>
      </c>
      <c r="E1496">
        <v>3.81</v>
      </c>
      <c r="F1496">
        <v>219.0236099</v>
      </c>
      <c r="G1496">
        <v>7.5739999999999998</v>
      </c>
      <c r="N1496" s="8"/>
    </row>
    <row r="1497" spans="1:14" x14ac:dyDescent="0.25">
      <c r="A1497" s="8">
        <v>40669</v>
      </c>
      <c r="B1497">
        <v>1331453.4099999999</v>
      </c>
      <c r="C1497">
        <v>0</v>
      </c>
      <c r="D1497">
        <v>71.39</v>
      </c>
      <c r="E1497">
        <v>3.9060000000000001</v>
      </c>
      <c r="F1497">
        <v>219.1959827</v>
      </c>
      <c r="G1497">
        <v>7.5739999999999998</v>
      </c>
      <c r="N1497" s="8"/>
    </row>
    <row r="1498" spans="1:14" x14ac:dyDescent="0.25">
      <c r="A1498" s="8">
        <v>40676</v>
      </c>
      <c r="B1498">
        <v>1277959.42</v>
      </c>
      <c r="C1498">
        <v>0</v>
      </c>
      <c r="D1498">
        <v>80.930000000000007</v>
      </c>
      <c r="E1498">
        <v>3.899</v>
      </c>
      <c r="F1498">
        <v>219.3683556</v>
      </c>
      <c r="G1498">
        <v>7.5739999999999998</v>
      </c>
      <c r="N1498" s="8"/>
    </row>
    <row r="1499" spans="1:14" x14ac:dyDescent="0.25">
      <c r="A1499" s="8">
        <v>40683</v>
      </c>
      <c r="B1499">
        <v>1239466.97</v>
      </c>
      <c r="C1499">
        <v>0</v>
      </c>
      <c r="D1499">
        <v>76.97</v>
      </c>
      <c r="E1499">
        <v>3.907</v>
      </c>
      <c r="F1499">
        <v>219.127216</v>
      </c>
      <c r="G1499">
        <v>7.5739999999999998</v>
      </c>
      <c r="N1499" s="8"/>
    </row>
    <row r="1500" spans="1:14" x14ac:dyDescent="0.25">
      <c r="A1500" s="8">
        <v>40690</v>
      </c>
      <c r="B1500">
        <v>1216876.52</v>
      </c>
      <c r="C1500">
        <v>0</v>
      </c>
      <c r="D1500">
        <v>85.61</v>
      </c>
      <c r="E1500">
        <v>3.786</v>
      </c>
      <c r="F1500">
        <v>218.8860765</v>
      </c>
      <c r="G1500">
        <v>7.5739999999999998</v>
      </c>
      <c r="N1500" s="8"/>
    </row>
    <row r="1501" spans="1:14" x14ac:dyDescent="0.25">
      <c r="A1501" s="8">
        <v>40697</v>
      </c>
      <c r="B1501">
        <v>1343637</v>
      </c>
      <c r="C1501">
        <v>0</v>
      </c>
      <c r="D1501">
        <v>86.14</v>
      </c>
      <c r="E1501">
        <v>3.6989999999999998</v>
      </c>
      <c r="F1501">
        <v>218.6449369</v>
      </c>
      <c r="G1501">
        <v>7.5739999999999998</v>
      </c>
      <c r="N1501" s="8"/>
    </row>
    <row r="1502" spans="1:14" x14ac:dyDescent="0.25">
      <c r="A1502" s="8">
        <v>40704</v>
      </c>
      <c r="B1502">
        <v>1314626.75</v>
      </c>
      <c r="C1502">
        <v>0</v>
      </c>
      <c r="D1502">
        <v>85.79</v>
      </c>
      <c r="E1502">
        <v>3.6480000000000001</v>
      </c>
      <c r="F1502">
        <v>218.4037974</v>
      </c>
      <c r="G1502">
        <v>7.5739999999999998</v>
      </c>
      <c r="N1502" s="8"/>
    </row>
    <row r="1503" spans="1:14" x14ac:dyDescent="0.25">
      <c r="A1503" s="8">
        <v>40711</v>
      </c>
      <c r="B1503">
        <v>1337506.74</v>
      </c>
      <c r="C1503">
        <v>0</v>
      </c>
      <c r="D1503">
        <v>87.9</v>
      </c>
      <c r="E1503">
        <v>3.637</v>
      </c>
      <c r="F1503">
        <v>218.35517479999999</v>
      </c>
      <c r="G1503">
        <v>7.5739999999999998</v>
      </c>
      <c r="N1503" s="8"/>
    </row>
    <row r="1504" spans="1:14" x14ac:dyDescent="0.25">
      <c r="A1504" s="8">
        <v>40718</v>
      </c>
      <c r="B1504">
        <v>1254587.8400000001</v>
      </c>
      <c r="C1504">
        <v>0</v>
      </c>
      <c r="D1504">
        <v>86.13</v>
      </c>
      <c r="E1504">
        <v>3.5939999999999999</v>
      </c>
      <c r="F1504">
        <v>218.45094</v>
      </c>
      <c r="G1504">
        <v>7.5739999999999998</v>
      </c>
      <c r="N1504" s="8"/>
    </row>
    <row r="1505" spans="1:14" x14ac:dyDescent="0.25">
      <c r="A1505" s="8">
        <v>40725</v>
      </c>
      <c r="B1505">
        <v>1297472.06</v>
      </c>
      <c r="C1505">
        <v>0</v>
      </c>
      <c r="D1505">
        <v>86.43</v>
      </c>
      <c r="E1505">
        <v>3.524</v>
      </c>
      <c r="F1505">
        <v>218.54670519999999</v>
      </c>
      <c r="G1505">
        <v>7.5670000000000002</v>
      </c>
      <c r="N1505" s="8"/>
    </row>
    <row r="1506" spans="1:14" x14ac:dyDescent="0.25">
      <c r="A1506" s="8">
        <v>40732</v>
      </c>
      <c r="B1506">
        <v>1334627.96</v>
      </c>
      <c r="C1506">
        <v>0</v>
      </c>
      <c r="D1506">
        <v>87.17</v>
      </c>
      <c r="E1506">
        <v>3.48</v>
      </c>
      <c r="F1506">
        <v>218.64247040000001</v>
      </c>
      <c r="G1506">
        <v>7.5670000000000002</v>
      </c>
      <c r="N1506" s="8"/>
    </row>
    <row r="1507" spans="1:14" x14ac:dyDescent="0.25">
      <c r="A1507" s="8">
        <v>40739</v>
      </c>
      <c r="B1507">
        <v>1266546.73</v>
      </c>
      <c r="C1507">
        <v>0</v>
      </c>
      <c r="D1507">
        <v>88.3</v>
      </c>
      <c r="E1507">
        <v>3.5750000000000002</v>
      </c>
      <c r="F1507">
        <v>218.72752159999999</v>
      </c>
      <c r="G1507">
        <v>7.5670000000000002</v>
      </c>
      <c r="N1507" s="8"/>
    </row>
    <row r="1508" spans="1:14" x14ac:dyDescent="0.25">
      <c r="A1508" s="8">
        <v>40746</v>
      </c>
      <c r="B1508">
        <v>1290576.44</v>
      </c>
      <c r="C1508">
        <v>0</v>
      </c>
      <c r="D1508">
        <v>87.8</v>
      </c>
      <c r="E1508">
        <v>3.6509999999999998</v>
      </c>
      <c r="F1508">
        <v>218.78578809999999</v>
      </c>
      <c r="G1508">
        <v>7.5670000000000002</v>
      </c>
      <c r="N1508" s="8"/>
    </row>
    <row r="1509" spans="1:14" x14ac:dyDescent="0.25">
      <c r="A1509" s="8">
        <v>40753</v>
      </c>
      <c r="B1509">
        <v>1212938.67</v>
      </c>
      <c r="C1509">
        <v>0</v>
      </c>
      <c r="D1509">
        <v>89.46</v>
      </c>
      <c r="E1509">
        <v>3.6819999999999999</v>
      </c>
      <c r="F1509">
        <v>218.8440545</v>
      </c>
      <c r="G1509">
        <v>7.5670000000000002</v>
      </c>
      <c r="N1509" s="8"/>
    </row>
    <row r="1510" spans="1:14" x14ac:dyDescent="0.25">
      <c r="A1510" s="8">
        <v>40760</v>
      </c>
      <c r="B1510">
        <v>1403198.94</v>
      </c>
      <c r="C1510">
        <v>0</v>
      </c>
      <c r="D1510">
        <v>90.04</v>
      </c>
      <c r="E1510">
        <v>3.6840000000000002</v>
      </c>
      <c r="F1510">
        <v>218.90232090000001</v>
      </c>
      <c r="G1510">
        <v>7.5670000000000002</v>
      </c>
      <c r="N1510" s="8"/>
    </row>
    <row r="1511" spans="1:14" x14ac:dyDescent="0.25">
      <c r="A1511" s="8">
        <v>40767</v>
      </c>
      <c r="B1511">
        <v>1354188.43</v>
      </c>
      <c r="C1511">
        <v>0</v>
      </c>
      <c r="D1511">
        <v>90.3</v>
      </c>
      <c r="E1511">
        <v>3.6379999999999999</v>
      </c>
      <c r="F1511">
        <v>218.96058729999999</v>
      </c>
      <c r="G1511">
        <v>7.5670000000000002</v>
      </c>
      <c r="N1511" s="8"/>
    </row>
    <row r="1512" spans="1:14" x14ac:dyDescent="0.25">
      <c r="A1512" s="8">
        <v>40774</v>
      </c>
      <c r="B1512">
        <v>1484169.74</v>
      </c>
      <c r="C1512">
        <v>0</v>
      </c>
      <c r="D1512">
        <v>89.51</v>
      </c>
      <c r="E1512">
        <v>3.5539999999999998</v>
      </c>
      <c r="F1512">
        <v>219.02327099999999</v>
      </c>
      <c r="G1512">
        <v>7.5670000000000002</v>
      </c>
      <c r="N1512" s="8"/>
    </row>
    <row r="1513" spans="1:14" x14ac:dyDescent="0.25">
      <c r="A1513" s="8">
        <v>40781</v>
      </c>
      <c r="B1513">
        <v>1304706.75</v>
      </c>
      <c r="C1513">
        <v>0</v>
      </c>
      <c r="D1513">
        <v>89.09</v>
      </c>
      <c r="E1513">
        <v>3.5230000000000001</v>
      </c>
      <c r="F1513">
        <v>219.08669080000001</v>
      </c>
      <c r="G1513">
        <v>7.5670000000000002</v>
      </c>
      <c r="N1513" s="8"/>
    </row>
    <row r="1514" spans="1:14" x14ac:dyDescent="0.25">
      <c r="A1514" s="8">
        <v>40788</v>
      </c>
      <c r="B1514">
        <v>1297792.4099999999</v>
      </c>
      <c r="C1514">
        <v>0</v>
      </c>
      <c r="D1514">
        <v>91.44</v>
      </c>
      <c r="E1514">
        <v>3.5329999999999999</v>
      </c>
      <c r="F1514">
        <v>219.1501106</v>
      </c>
      <c r="G1514">
        <v>7.5670000000000002</v>
      </c>
      <c r="N1514" s="8"/>
    </row>
    <row r="1515" spans="1:14" x14ac:dyDescent="0.25">
      <c r="A1515" s="8">
        <v>40795</v>
      </c>
      <c r="B1515">
        <v>1249439.95</v>
      </c>
      <c r="C1515">
        <v>1</v>
      </c>
      <c r="D1515">
        <v>84.91</v>
      </c>
      <c r="E1515">
        <v>3.5459999999999998</v>
      </c>
      <c r="F1515">
        <v>219.21353049999999</v>
      </c>
      <c r="G1515">
        <v>7.5670000000000002</v>
      </c>
      <c r="N1515" s="8"/>
    </row>
    <row r="1516" spans="1:14" x14ac:dyDescent="0.25">
      <c r="A1516" s="8">
        <v>40802</v>
      </c>
      <c r="B1516">
        <v>1270816.01</v>
      </c>
      <c r="C1516">
        <v>0</v>
      </c>
      <c r="D1516">
        <v>85.11</v>
      </c>
      <c r="E1516">
        <v>3.5259999999999998</v>
      </c>
      <c r="F1516">
        <v>219.3972867</v>
      </c>
      <c r="G1516">
        <v>7.5670000000000002</v>
      </c>
      <c r="N1516" s="8"/>
    </row>
    <row r="1517" spans="1:14" x14ac:dyDescent="0.25">
      <c r="A1517" s="8">
        <v>40809</v>
      </c>
      <c r="B1517">
        <v>1235775.1499999999</v>
      </c>
      <c r="C1517">
        <v>0</v>
      </c>
      <c r="D1517">
        <v>82.14</v>
      </c>
      <c r="E1517">
        <v>3.4670000000000001</v>
      </c>
      <c r="F1517">
        <v>219.7414914</v>
      </c>
      <c r="G1517">
        <v>7.5670000000000002</v>
      </c>
      <c r="N1517" s="8"/>
    </row>
    <row r="1518" spans="1:14" x14ac:dyDescent="0.25">
      <c r="A1518" s="8">
        <v>40816</v>
      </c>
      <c r="B1518">
        <v>1190515.83</v>
      </c>
      <c r="C1518">
        <v>0</v>
      </c>
      <c r="D1518">
        <v>84.4</v>
      </c>
      <c r="E1518">
        <v>3.355</v>
      </c>
      <c r="F1518">
        <v>220.08569600000001</v>
      </c>
      <c r="G1518">
        <v>7.5670000000000002</v>
      </c>
      <c r="N1518" s="8"/>
    </row>
    <row r="1519" spans="1:14" x14ac:dyDescent="0.25">
      <c r="A1519" s="8">
        <v>40823</v>
      </c>
      <c r="B1519">
        <v>1346271.06</v>
      </c>
      <c r="C1519">
        <v>0</v>
      </c>
      <c r="D1519">
        <v>76.97</v>
      </c>
      <c r="E1519">
        <v>3.2850000000000001</v>
      </c>
      <c r="F1519">
        <v>220.42990069999999</v>
      </c>
      <c r="G1519">
        <v>7.1970000000000001</v>
      </c>
      <c r="N1519" s="8"/>
    </row>
    <row r="1520" spans="1:14" x14ac:dyDescent="0.25">
      <c r="A1520" s="8">
        <v>40830</v>
      </c>
      <c r="B1520">
        <v>1286388.96</v>
      </c>
      <c r="C1520">
        <v>0</v>
      </c>
      <c r="D1520">
        <v>75.56</v>
      </c>
      <c r="E1520">
        <v>3.274</v>
      </c>
      <c r="F1520">
        <v>220.74861670000001</v>
      </c>
      <c r="G1520">
        <v>7.1970000000000001</v>
      </c>
      <c r="N1520" s="8"/>
    </row>
    <row r="1521" spans="1:14" x14ac:dyDescent="0.25">
      <c r="A1521" s="8">
        <v>40837</v>
      </c>
      <c r="B1521">
        <v>1325107.53</v>
      </c>
      <c r="C1521">
        <v>0</v>
      </c>
      <c r="D1521">
        <v>70.91</v>
      </c>
      <c r="E1521">
        <v>3.3530000000000002</v>
      </c>
      <c r="F1521">
        <v>220.9144005</v>
      </c>
      <c r="G1521">
        <v>7.1970000000000001</v>
      </c>
      <c r="N1521" s="8"/>
    </row>
    <row r="1522" spans="1:14" x14ac:dyDescent="0.25">
      <c r="A1522" s="8">
        <v>40844</v>
      </c>
      <c r="B1522">
        <v>1310684.1000000001</v>
      </c>
      <c r="C1522">
        <v>0</v>
      </c>
      <c r="D1522">
        <v>72.66</v>
      </c>
      <c r="E1522">
        <v>3.3719999999999999</v>
      </c>
      <c r="F1522">
        <v>221.08018419999999</v>
      </c>
      <c r="G1522">
        <v>7.1970000000000001</v>
      </c>
      <c r="N1522" s="8"/>
    </row>
    <row r="1523" spans="1:14" x14ac:dyDescent="0.25">
      <c r="A1523" s="8">
        <v>40851</v>
      </c>
      <c r="B1523">
        <v>1458287.38</v>
      </c>
      <c r="C1523">
        <v>0</v>
      </c>
      <c r="D1523">
        <v>61.13</v>
      </c>
      <c r="E1523">
        <v>3.3319999999999999</v>
      </c>
      <c r="F1523">
        <v>221.245968</v>
      </c>
      <c r="G1523">
        <v>7.1970000000000001</v>
      </c>
      <c r="N1523" s="8"/>
    </row>
    <row r="1524" spans="1:14" x14ac:dyDescent="0.25">
      <c r="A1524" s="8">
        <v>40858</v>
      </c>
      <c r="B1524">
        <v>1366053.69</v>
      </c>
      <c r="C1524">
        <v>0</v>
      </c>
      <c r="D1524">
        <v>64.2</v>
      </c>
      <c r="E1524">
        <v>3.2970000000000002</v>
      </c>
      <c r="F1524">
        <v>221.4117517</v>
      </c>
      <c r="G1524">
        <v>7.1970000000000001</v>
      </c>
      <c r="N1524" s="8"/>
    </row>
    <row r="1525" spans="1:14" x14ac:dyDescent="0.25">
      <c r="A1525" s="8">
        <v>40865</v>
      </c>
      <c r="B1525">
        <v>1315091.6299999999</v>
      </c>
      <c r="C1525">
        <v>0</v>
      </c>
      <c r="D1525">
        <v>66.17</v>
      </c>
      <c r="E1525">
        <v>3.3079999999999998</v>
      </c>
      <c r="F1525">
        <v>221.64328520000001</v>
      </c>
      <c r="G1525">
        <v>7.1970000000000001</v>
      </c>
      <c r="N1525" s="8"/>
    </row>
    <row r="1526" spans="1:14" x14ac:dyDescent="0.25">
      <c r="A1526" s="8">
        <v>40872</v>
      </c>
      <c r="B1526">
        <v>1848953.48</v>
      </c>
      <c r="C1526">
        <v>1</v>
      </c>
      <c r="D1526">
        <v>70.03</v>
      </c>
      <c r="E1526">
        <v>3.2360000000000002</v>
      </c>
      <c r="F1526">
        <v>221.9011185</v>
      </c>
      <c r="G1526">
        <v>7.1970000000000001</v>
      </c>
      <c r="N1526" s="8"/>
    </row>
    <row r="1527" spans="1:14" x14ac:dyDescent="0.25">
      <c r="A1527" s="8">
        <v>40879</v>
      </c>
      <c r="B1527">
        <v>1399322.44</v>
      </c>
      <c r="C1527">
        <v>0</v>
      </c>
      <c r="D1527">
        <v>56.89</v>
      </c>
      <c r="E1527">
        <v>3.1720000000000002</v>
      </c>
      <c r="F1527">
        <v>222.15895190000001</v>
      </c>
      <c r="G1527">
        <v>7.1970000000000001</v>
      </c>
      <c r="N1527" s="8"/>
    </row>
    <row r="1528" spans="1:14" x14ac:dyDescent="0.25">
      <c r="A1528" s="8">
        <v>40886</v>
      </c>
      <c r="B1528">
        <v>1646655.94</v>
      </c>
      <c r="C1528">
        <v>0</v>
      </c>
      <c r="D1528">
        <v>50.63</v>
      </c>
      <c r="E1528">
        <v>3.1579999999999999</v>
      </c>
      <c r="F1528">
        <v>222.41678519999999</v>
      </c>
      <c r="G1528">
        <v>7.1970000000000001</v>
      </c>
      <c r="N1528" s="8"/>
    </row>
    <row r="1529" spans="1:14" x14ac:dyDescent="0.25">
      <c r="A1529" s="8">
        <v>40893</v>
      </c>
      <c r="B1529">
        <v>1783910.06</v>
      </c>
      <c r="C1529">
        <v>0</v>
      </c>
      <c r="D1529">
        <v>59.69</v>
      </c>
      <c r="E1529">
        <v>3.1589999999999998</v>
      </c>
      <c r="F1529">
        <v>222.64264180000001</v>
      </c>
      <c r="G1529">
        <v>7.1970000000000001</v>
      </c>
      <c r="N1529" s="8"/>
    </row>
    <row r="1530" spans="1:14" x14ac:dyDescent="0.25">
      <c r="A1530" s="8">
        <v>40900</v>
      </c>
      <c r="B1530">
        <v>2213518.5</v>
      </c>
      <c r="C1530">
        <v>0</v>
      </c>
      <c r="D1530">
        <v>54.29</v>
      </c>
      <c r="E1530">
        <v>3.1120000000000001</v>
      </c>
      <c r="F1530">
        <v>222.82586280000001</v>
      </c>
      <c r="G1530">
        <v>7.1970000000000001</v>
      </c>
      <c r="N1530" s="8"/>
    </row>
    <row r="1531" spans="1:14" x14ac:dyDescent="0.25">
      <c r="A1531" s="8">
        <v>40907</v>
      </c>
      <c r="B1531">
        <v>1352084.21</v>
      </c>
      <c r="C1531">
        <v>1</v>
      </c>
      <c r="D1531">
        <v>48.86</v>
      </c>
      <c r="E1531">
        <v>3.129</v>
      </c>
      <c r="F1531">
        <v>223.00908390000001</v>
      </c>
      <c r="G1531">
        <v>7.1970000000000001</v>
      </c>
      <c r="N1531" s="8"/>
    </row>
    <row r="1532" spans="1:14" x14ac:dyDescent="0.25">
      <c r="A1532" s="8">
        <v>40914</v>
      </c>
      <c r="B1532">
        <v>1283885.55</v>
      </c>
      <c r="C1532">
        <v>0</v>
      </c>
      <c r="D1532">
        <v>54.44</v>
      </c>
      <c r="E1532">
        <v>3.157</v>
      </c>
      <c r="F1532">
        <v>223.19230490000001</v>
      </c>
      <c r="G1532">
        <v>6.8330000000000002</v>
      </c>
      <c r="N1532" s="8"/>
    </row>
    <row r="1533" spans="1:14" x14ac:dyDescent="0.25">
      <c r="A1533" s="8">
        <v>40921</v>
      </c>
      <c r="B1533">
        <v>1264736.5900000001</v>
      </c>
      <c r="C1533">
        <v>0</v>
      </c>
      <c r="D1533">
        <v>53.1</v>
      </c>
      <c r="E1533">
        <v>3.2610000000000001</v>
      </c>
      <c r="F1533">
        <v>223.37552590000001</v>
      </c>
      <c r="G1533">
        <v>6.8330000000000002</v>
      </c>
      <c r="N1533" s="8"/>
    </row>
    <row r="1534" spans="1:14" x14ac:dyDescent="0.25">
      <c r="A1534" s="8">
        <v>40928</v>
      </c>
      <c r="B1534">
        <v>1207303.29</v>
      </c>
      <c r="C1534">
        <v>0</v>
      </c>
      <c r="D1534">
        <v>56.43</v>
      </c>
      <c r="E1534">
        <v>3.2679999999999998</v>
      </c>
      <c r="F1534">
        <v>223.47005519999999</v>
      </c>
      <c r="G1534">
        <v>6.8330000000000002</v>
      </c>
      <c r="N1534" s="8"/>
    </row>
    <row r="1535" spans="1:14" x14ac:dyDescent="0.25">
      <c r="A1535" s="8">
        <v>40935</v>
      </c>
      <c r="B1535">
        <v>1162675.8500000001</v>
      </c>
      <c r="C1535">
        <v>0</v>
      </c>
      <c r="D1535">
        <v>58.36</v>
      </c>
      <c r="E1535">
        <v>3.29</v>
      </c>
      <c r="F1535">
        <v>223.5645845</v>
      </c>
      <c r="G1535">
        <v>6.8330000000000002</v>
      </c>
      <c r="N1535" s="8"/>
    </row>
    <row r="1536" spans="1:14" x14ac:dyDescent="0.25">
      <c r="A1536" s="8">
        <v>40942</v>
      </c>
      <c r="B1536">
        <v>1376732.18</v>
      </c>
      <c r="C1536">
        <v>0</v>
      </c>
      <c r="D1536">
        <v>60.24</v>
      </c>
      <c r="E1536">
        <v>3.36</v>
      </c>
      <c r="F1536">
        <v>223.65911370000001</v>
      </c>
      <c r="G1536">
        <v>6.8330000000000002</v>
      </c>
      <c r="N1536" s="8"/>
    </row>
    <row r="1537" spans="1:14" x14ac:dyDescent="0.25">
      <c r="A1537" s="8">
        <v>40949</v>
      </c>
      <c r="B1537">
        <v>1574287.76</v>
      </c>
      <c r="C1537">
        <v>1</v>
      </c>
      <c r="D1537">
        <v>52.23</v>
      </c>
      <c r="E1537">
        <v>3.4089999999999998</v>
      </c>
      <c r="F1537">
        <v>223.75364300000001</v>
      </c>
      <c r="G1537">
        <v>6.8330000000000002</v>
      </c>
      <c r="N1537" s="8"/>
    </row>
    <row r="1538" spans="1:14" x14ac:dyDescent="0.25">
      <c r="A1538" s="8">
        <v>40956</v>
      </c>
      <c r="B1538">
        <v>1569607.94</v>
      </c>
      <c r="C1538">
        <v>0</v>
      </c>
      <c r="D1538">
        <v>52.77</v>
      </c>
      <c r="E1538">
        <v>3.51</v>
      </c>
      <c r="F1538">
        <v>223.9170153</v>
      </c>
      <c r="G1538">
        <v>6.8330000000000002</v>
      </c>
      <c r="N1538" s="8"/>
    </row>
    <row r="1539" spans="1:14" x14ac:dyDescent="0.25">
      <c r="A1539" s="8">
        <v>40963</v>
      </c>
      <c r="B1539">
        <v>1379473.03</v>
      </c>
      <c r="C1539">
        <v>0</v>
      </c>
      <c r="D1539">
        <v>61.11</v>
      </c>
      <c r="E1539">
        <v>3.5550000000000002</v>
      </c>
      <c r="F1539">
        <v>224.13201989999999</v>
      </c>
      <c r="G1539">
        <v>6.8330000000000002</v>
      </c>
      <c r="N1539" s="8"/>
    </row>
    <row r="1540" spans="1:14" x14ac:dyDescent="0.25">
      <c r="A1540" s="8">
        <v>40970</v>
      </c>
      <c r="B1540">
        <v>1438383.44</v>
      </c>
      <c r="C1540">
        <v>0</v>
      </c>
      <c r="D1540">
        <v>62.61</v>
      </c>
      <c r="E1540">
        <v>3.63</v>
      </c>
      <c r="F1540">
        <v>224.3470245</v>
      </c>
      <c r="G1540">
        <v>6.8330000000000002</v>
      </c>
      <c r="N1540" s="8"/>
    </row>
    <row r="1541" spans="1:14" x14ac:dyDescent="0.25">
      <c r="A1541" s="8">
        <v>40977</v>
      </c>
      <c r="B1541">
        <v>1413382.76</v>
      </c>
      <c r="C1541">
        <v>0</v>
      </c>
      <c r="D1541">
        <v>61.44</v>
      </c>
      <c r="E1541">
        <v>3.669</v>
      </c>
      <c r="F1541">
        <v>224.56202909999999</v>
      </c>
      <c r="G1541">
        <v>6.8330000000000002</v>
      </c>
      <c r="N1541" s="8"/>
    </row>
    <row r="1542" spans="1:14" x14ac:dyDescent="0.25">
      <c r="A1542" s="8">
        <v>40984</v>
      </c>
      <c r="B1542">
        <v>1441884.28</v>
      </c>
      <c r="C1542">
        <v>0</v>
      </c>
      <c r="D1542">
        <v>64.209999999999994</v>
      </c>
      <c r="E1542">
        <v>3.734</v>
      </c>
      <c r="F1542">
        <v>224.7166953</v>
      </c>
      <c r="G1542">
        <v>6.8330000000000002</v>
      </c>
      <c r="N1542" s="8"/>
    </row>
    <row r="1543" spans="1:14" x14ac:dyDescent="0.25">
      <c r="A1543" s="8">
        <v>40991</v>
      </c>
      <c r="B1543">
        <v>1300593.6100000001</v>
      </c>
      <c r="C1543">
        <v>0</v>
      </c>
      <c r="D1543">
        <v>67.16</v>
      </c>
      <c r="E1543">
        <v>3.7869999999999999</v>
      </c>
      <c r="F1543">
        <v>224.7909104</v>
      </c>
      <c r="G1543">
        <v>6.8330000000000002</v>
      </c>
      <c r="N1543" s="8"/>
    </row>
    <row r="1544" spans="1:14" x14ac:dyDescent="0.25">
      <c r="A1544" s="8">
        <v>40998</v>
      </c>
      <c r="B1544">
        <v>1300104.03</v>
      </c>
      <c r="C1544">
        <v>0</v>
      </c>
      <c r="D1544">
        <v>70.23</v>
      </c>
      <c r="E1544">
        <v>3.8450000000000002</v>
      </c>
      <c r="F1544">
        <v>224.86512540000001</v>
      </c>
      <c r="G1544">
        <v>6.8330000000000002</v>
      </c>
      <c r="N1544" s="8"/>
    </row>
    <row r="1545" spans="1:14" x14ac:dyDescent="0.25">
      <c r="A1545" s="8">
        <v>41005</v>
      </c>
      <c r="B1545">
        <v>1596325.01</v>
      </c>
      <c r="C1545">
        <v>0</v>
      </c>
      <c r="D1545">
        <v>74.19</v>
      </c>
      <c r="E1545">
        <v>3.891</v>
      </c>
      <c r="F1545">
        <v>224.93934049999999</v>
      </c>
      <c r="G1545">
        <v>6.6639999999999997</v>
      </c>
      <c r="N1545" s="8"/>
    </row>
    <row r="1546" spans="1:14" x14ac:dyDescent="0.25">
      <c r="A1546" s="8">
        <v>41012</v>
      </c>
      <c r="B1546">
        <v>1472752.01</v>
      </c>
      <c r="C1546">
        <v>0</v>
      </c>
      <c r="D1546">
        <v>72.739999999999995</v>
      </c>
      <c r="E1546">
        <v>3.891</v>
      </c>
      <c r="F1546">
        <v>225.01355559999999</v>
      </c>
      <c r="G1546">
        <v>6.6639999999999997</v>
      </c>
      <c r="N1546" s="8"/>
    </row>
    <row r="1547" spans="1:14" x14ac:dyDescent="0.25">
      <c r="A1547" s="8">
        <v>41019</v>
      </c>
      <c r="B1547">
        <v>1315356.99</v>
      </c>
      <c r="C1547">
        <v>0</v>
      </c>
      <c r="D1547">
        <v>71.97</v>
      </c>
      <c r="E1547">
        <v>3.8769999999999998</v>
      </c>
      <c r="F1547">
        <v>225.06895410000001</v>
      </c>
      <c r="G1547">
        <v>6.6639999999999997</v>
      </c>
      <c r="N1547" s="8"/>
    </row>
    <row r="1548" spans="1:14" x14ac:dyDescent="0.25">
      <c r="A1548" s="8">
        <v>41026</v>
      </c>
      <c r="B1548">
        <v>1236238.29</v>
      </c>
      <c r="C1548">
        <v>0</v>
      </c>
      <c r="D1548">
        <v>73.400000000000006</v>
      </c>
      <c r="E1548">
        <v>3.8140000000000001</v>
      </c>
      <c r="F1548">
        <v>225.12435260000001</v>
      </c>
      <c r="G1548">
        <v>6.6639999999999997</v>
      </c>
      <c r="N1548" s="8"/>
    </row>
    <row r="1549" spans="1:14" x14ac:dyDescent="0.25">
      <c r="A1549" s="8">
        <v>41033</v>
      </c>
      <c r="B1549">
        <v>1370251.22</v>
      </c>
      <c r="C1549">
        <v>0</v>
      </c>
      <c r="D1549">
        <v>79.069999999999993</v>
      </c>
      <c r="E1549">
        <v>3.7490000000000001</v>
      </c>
      <c r="F1549">
        <v>225.1797511</v>
      </c>
      <c r="G1549">
        <v>6.6639999999999997</v>
      </c>
      <c r="N1549" s="8"/>
    </row>
    <row r="1550" spans="1:14" x14ac:dyDescent="0.25">
      <c r="A1550" s="8">
        <v>41040</v>
      </c>
      <c r="B1550">
        <v>1300147.07</v>
      </c>
      <c r="C1550">
        <v>0</v>
      </c>
      <c r="D1550">
        <v>75.13</v>
      </c>
      <c r="E1550">
        <v>3.6880000000000002</v>
      </c>
      <c r="F1550">
        <v>225.2351496</v>
      </c>
      <c r="G1550">
        <v>6.6639999999999997</v>
      </c>
      <c r="N1550" s="8"/>
    </row>
    <row r="1551" spans="1:14" x14ac:dyDescent="0.25">
      <c r="A1551" s="8">
        <v>41047</v>
      </c>
      <c r="B1551">
        <v>1352442.31</v>
      </c>
      <c r="C1551">
        <v>0</v>
      </c>
      <c r="D1551">
        <v>72.53</v>
      </c>
      <c r="E1551">
        <v>3.63</v>
      </c>
      <c r="F1551">
        <v>225.25120240000001</v>
      </c>
      <c r="G1551">
        <v>6.6639999999999997</v>
      </c>
      <c r="N1551" s="8"/>
    </row>
    <row r="1552" spans="1:14" x14ac:dyDescent="0.25">
      <c r="A1552" s="8">
        <v>41054</v>
      </c>
      <c r="B1552">
        <v>1297335.8700000001</v>
      </c>
      <c r="C1552">
        <v>0</v>
      </c>
      <c r="D1552">
        <v>78.44</v>
      </c>
      <c r="E1552">
        <v>3.5609999999999999</v>
      </c>
      <c r="F1552">
        <v>225.25151679999999</v>
      </c>
      <c r="G1552">
        <v>6.6639999999999997</v>
      </c>
      <c r="N1552" s="8"/>
    </row>
    <row r="1553" spans="1:14" x14ac:dyDescent="0.25">
      <c r="A1553" s="8">
        <v>41061</v>
      </c>
      <c r="B1553">
        <v>1361595.33</v>
      </c>
      <c r="C1553">
        <v>0</v>
      </c>
      <c r="D1553">
        <v>81.67</v>
      </c>
      <c r="E1553">
        <v>3.5009999999999999</v>
      </c>
      <c r="F1553">
        <v>225.25183129999999</v>
      </c>
      <c r="G1553">
        <v>6.6639999999999997</v>
      </c>
      <c r="N1553" s="8"/>
    </row>
    <row r="1554" spans="1:14" x14ac:dyDescent="0.25">
      <c r="A1554" s="8">
        <v>41068</v>
      </c>
      <c r="B1554">
        <v>1414343.53</v>
      </c>
      <c r="C1554">
        <v>0</v>
      </c>
      <c r="D1554">
        <v>82.1</v>
      </c>
      <c r="E1554">
        <v>3.452</v>
      </c>
      <c r="F1554">
        <v>225.25214579999999</v>
      </c>
      <c r="G1554">
        <v>6.6639999999999997</v>
      </c>
      <c r="N1554" s="8"/>
    </row>
    <row r="1555" spans="1:14" x14ac:dyDescent="0.25">
      <c r="A1555" s="8">
        <v>41075</v>
      </c>
      <c r="B1555">
        <v>1417875.42</v>
      </c>
      <c r="C1555">
        <v>0</v>
      </c>
      <c r="D1555">
        <v>84.97</v>
      </c>
      <c r="E1555">
        <v>3.3929999999999998</v>
      </c>
      <c r="F1555">
        <v>225.26447949999999</v>
      </c>
      <c r="G1555">
        <v>6.6639999999999997</v>
      </c>
      <c r="N1555" s="8"/>
    </row>
    <row r="1556" spans="1:14" x14ac:dyDescent="0.25">
      <c r="A1556" s="8">
        <v>41082</v>
      </c>
      <c r="B1556">
        <v>1355680.3</v>
      </c>
      <c r="C1556">
        <v>0</v>
      </c>
      <c r="D1556">
        <v>83.26</v>
      </c>
      <c r="E1556">
        <v>3.3460000000000001</v>
      </c>
      <c r="F1556">
        <v>225.3068615</v>
      </c>
      <c r="G1556">
        <v>6.6639999999999997</v>
      </c>
      <c r="N1556" s="8"/>
    </row>
    <row r="1557" spans="1:14" x14ac:dyDescent="0.25">
      <c r="A1557" s="8">
        <v>41089</v>
      </c>
      <c r="B1557">
        <v>1297028.6000000001</v>
      </c>
      <c r="C1557">
        <v>0</v>
      </c>
      <c r="D1557">
        <v>87.86</v>
      </c>
      <c r="E1557">
        <v>3.286</v>
      </c>
      <c r="F1557">
        <v>225.3492435</v>
      </c>
      <c r="G1557">
        <v>6.6639999999999997</v>
      </c>
      <c r="N1557" s="8"/>
    </row>
    <row r="1558" spans="1:14" x14ac:dyDescent="0.25">
      <c r="A1558" s="8">
        <v>41096</v>
      </c>
      <c r="B1558">
        <v>1461129.94</v>
      </c>
      <c r="C1558">
        <v>0</v>
      </c>
      <c r="D1558">
        <v>83.44</v>
      </c>
      <c r="E1558">
        <v>3.2269999999999999</v>
      </c>
      <c r="F1558">
        <v>225.39162540000001</v>
      </c>
      <c r="G1558">
        <v>6.3339999999999996</v>
      </c>
      <c r="N1558" s="8"/>
    </row>
    <row r="1559" spans="1:14" x14ac:dyDescent="0.25">
      <c r="A1559" s="8">
        <v>41103</v>
      </c>
      <c r="B1559">
        <v>1320239.51</v>
      </c>
      <c r="C1559">
        <v>0</v>
      </c>
      <c r="D1559">
        <v>82.46</v>
      </c>
      <c r="E1559">
        <v>3.2559999999999998</v>
      </c>
      <c r="F1559">
        <v>225.43400740000001</v>
      </c>
      <c r="G1559">
        <v>6.3339999999999996</v>
      </c>
      <c r="N1559" s="8"/>
    </row>
    <row r="1560" spans="1:14" x14ac:dyDescent="0.25">
      <c r="A1560" s="8">
        <v>41110</v>
      </c>
      <c r="B1560">
        <v>1344483.81</v>
      </c>
      <c r="C1560">
        <v>0</v>
      </c>
      <c r="D1560">
        <v>82.41</v>
      </c>
      <c r="E1560">
        <v>3.3109999999999999</v>
      </c>
      <c r="F1560">
        <v>225.44388269999999</v>
      </c>
      <c r="G1560">
        <v>6.3339999999999996</v>
      </c>
      <c r="N1560" s="8"/>
    </row>
    <row r="1561" spans="1:14" x14ac:dyDescent="0.25">
      <c r="A1561" s="8">
        <v>41117</v>
      </c>
      <c r="B1561">
        <v>1272395.02</v>
      </c>
      <c r="C1561">
        <v>0</v>
      </c>
      <c r="D1561">
        <v>85.43</v>
      </c>
      <c r="E1561">
        <v>3.407</v>
      </c>
      <c r="F1561">
        <v>225.4537579</v>
      </c>
      <c r="G1561">
        <v>6.3339999999999996</v>
      </c>
      <c r="N1561" s="8"/>
    </row>
    <row r="1562" spans="1:14" x14ac:dyDescent="0.25">
      <c r="A1562" s="8">
        <v>41124</v>
      </c>
      <c r="B1562">
        <v>1399341.07</v>
      </c>
      <c r="C1562">
        <v>0</v>
      </c>
      <c r="D1562">
        <v>86.94</v>
      </c>
      <c r="E1562">
        <v>3.4169999999999998</v>
      </c>
      <c r="F1562">
        <v>225.4636332</v>
      </c>
      <c r="G1562">
        <v>6.3339999999999996</v>
      </c>
      <c r="N1562" s="8"/>
    </row>
    <row r="1563" spans="1:14" x14ac:dyDescent="0.25">
      <c r="A1563" s="8">
        <v>41131</v>
      </c>
      <c r="B1563">
        <v>1388973.65</v>
      </c>
      <c r="C1563">
        <v>0</v>
      </c>
      <c r="D1563">
        <v>86.21</v>
      </c>
      <c r="E1563">
        <v>3.4940000000000002</v>
      </c>
      <c r="F1563">
        <v>225.47350850000001</v>
      </c>
      <c r="G1563">
        <v>6.3339999999999996</v>
      </c>
      <c r="N1563" s="8"/>
    </row>
    <row r="1564" spans="1:14" x14ac:dyDescent="0.25">
      <c r="A1564" s="8">
        <v>41138</v>
      </c>
      <c r="B1564">
        <v>1421307.2</v>
      </c>
      <c r="C1564">
        <v>0</v>
      </c>
      <c r="D1564">
        <v>87.73</v>
      </c>
      <c r="E1564">
        <v>3.5710000000000002</v>
      </c>
      <c r="F1564">
        <v>225.55586640000001</v>
      </c>
      <c r="G1564">
        <v>6.3339999999999996</v>
      </c>
      <c r="N1564" s="8"/>
    </row>
    <row r="1565" spans="1:14" x14ac:dyDescent="0.25">
      <c r="A1565" s="8">
        <v>41145</v>
      </c>
      <c r="B1565">
        <v>1409515.73</v>
      </c>
      <c r="C1565">
        <v>0</v>
      </c>
      <c r="D1565">
        <v>83.17</v>
      </c>
      <c r="E1565">
        <v>3.62</v>
      </c>
      <c r="F1565">
        <v>225.69258640000001</v>
      </c>
      <c r="G1565">
        <v>6.3339999999999996</v>
      </c>
      <c r="N1565" s="8"/>
    </row>
    <row r="1566" spans="1:14" x14ac:dyDescent="0.25">
      <c r="A1566" s="8">
        <v>41152</v>
      </c>
      <c r="B1566">
        <v>1372872.35</v>
      </c>
      <c r="C1566">
        <v>0</v>
      </c>
      <c r="D1566">
        <v>86.49</v>
      </c>
      <c r="E1566">
        <v>3.6379999999999999</v>
      </c>
      <c r="F1566">
        <v>225.82930630000001</v>
      </c>
      <c r="G1566">
        <v>6.3339999999999996</v>
      </c>
      <c r="N1566" s="8"/>
    </row>
    <row r="1567" spans="1:14" x14ac:dyDescent="0.25">
      <c r="A1567" s="8">
        <v>41159</v>
      </c>
      <c r="B1567">
        <v>1304584.3999999999</v>
      </c>
      <c r="C1567">
        <v>1</v>
      </c>
      <c r="D1567">
        <v>85.17</v>
      </c>
      <c r="E1567">
        <v>3.73</v>
      </c>
      <c r="F1567">
        <v>225.96602630000001</v>
      </c>
      <c r="G1567">
        <v>6.3339999999999996</v>
      </c>
      <c r="N1567" s="8"/>
    </row>
    <row r="1568" spans="1:14" x14ac:dyDescent="0.25">
      <c r="A1568" s="8">
        <v>41166</v>
      </c>
      <c r="B1568">
        <v>1267675.05</v>
      </c>
      <c r="C1568">
        <v>0</v>
      </c>
      <c r="D1568">
        <v>79.61</v>
      </c>
      <c r="E1568">
        <v>3.7170000000000001</v>
      </c>
      <c r="F1568">
        <v>226.1122067</v>
      </c>
      <c r="G1568">
        <v>6.3339999999999996</v>
      </c>
      <c r="N1568" s="8"/>
    </row>
    <row r="1569" spans="1:14" x14ac:dyDescent="0.25">
      <c r="A1569" s="8">
        <v>41173</v>
      </c>
      <c r="B1569">
        <v>1326132.98</v>
      </c>
      <c r="C1569">
        <v>0</v>
      </c>
      <c r="D1569">
        <v>73.64</v>
      </c>
      <c r="E1569">
        <v>3.7210000000000001</v>
      </c>
      <c r="F1569">
        <v>226.31514960000001</v>
      </c>
      <c r="G1569">
        <v>6.3339999999999996</v>
      </c>
      <c r="N1569" s="8"/>
    </row>
    <row r="1570" spans="1:14" x14ac:dyDescent="0.25">
      <c r="A1570" s="8">
        <v>41180</v>
      </c>
      <c r="B1570">
        <v>1227430.73</v>
      </c>
      <c r="C1570">
        <v>0</v>
      </c>
      <c r="D1570">
        <v>77.67</v>
      </c>
      <c r="E1570">
        <v>3.6659999999999999</v>
      </c>
      <c r="F1570">
        <v>226.51809259999999</v>
      </c>
      <c r="G1570">
        <v>6.3339999999999996</v>
      </c>
      <c r="N1570" s="8"/>
    </row>
    <row r="1571" spans="1:14" x14ac:dyDescent="0.25">
      <c r="A1571" s="8">
        <v>41187</v>
      </c>
      <c r="B1571">
        <v>1422794.26</v>
      </c>
      <c r="C1571">
        <v>0</v>
      </c>
      <c r="D1571">
        <v>73.37</v>
      </c>
      <c r="E1571">
        <v>3.617</v>
      </c>
      <c r="F1571">
        <v>226.72103559999999</v>
      </c>
      <c r="G1571">
        <v>6.0339999999999998</v>
      </c>
      <c r="N1571" s="8"/>
    </row>
    <row r="1572" spans="1:14" x14ac:dyDescent="0.25">
      <c r="A1572" s="8">
        <v>41194</v>
      </c>
      <c r="B1572">
        <v>1311965.0900000001</v>
      </c>
      <c r="C1572">
        <v>0</v>
      </c>
      <c r="D1572">
        <v>69.94</v>
      </c>
      <c r="E1572">
        <v>3.601</v>
      </c>
      <c r="F1572">
        <v>226.9239785</v>
      </c>
      <c r="G1572">
        <v>6.0339999999999998</v>
      </c>
      <c r="N1572" s="8"/>
    </row>
    <row r="1573" spans="1:14" x14ac:dyDescent="0.25">
      <c r="A1573" s="8">
        <v>41201</v>
      </c>
      <c r="B1573">
        <v>1232073.18</v>
      </c>
      <c r="C1573">
        <v>0</v>
      </c>
      <c r="D1573">
        <v>73.77</v>
      </c>
      <c r="E1573">
        <v>3.5939999999999999</v>
      </c>
      <c r="F1573">
        <v>226.96884420000001</v>
      </c>
      <c r="G1573">
        <v>6.0339999999999998</v>
      </c>
      <c r="N1573" s="8"/>
    </row>
    <row r="1574" spans="1:14" x14ac:dyDescent="0.25">
      <c r="A1574" s="8">
        <v>41208</v>
      </c>
      <c r="B1574">
        <v>1200729.45</v>
      </c>
      <c r="C1574">
        <v>0</v>
      </c>
      <c r="D1574">
        <v>74.260000000000005</v>
      </c>
      <c r="E1574">
        <v>3.5059999999999998</v>
      </c>
      <c r="F1574">
        <v>226.9873637</v>
      </c>
      <c r="G1574">
        <v>6.0339999999999998</v>
      </c>
      <c r="N1574" s="8"/>
    </row>
    <row r="1575" spans="1:14" x14ac:dyDescent="0.25">
      <c r="A1575" s="8">
        <v>40214</v>
      </c>
      <c r="B1575">
        <v>1100046.3700000001</v>
      </c>
      <c r="C1575">
        <v>0</v>
      </c>
      <c r="D1575">
        <v>49.47</v>
      </c>
      <c r="E1575">
        <v>2.9620000000000002</v>
      </c>
      <c r="F1575">
        <v>126.4420645</v>
      </c>
      <c r="G1575">
        <v>13.975</v>
      </c>
      <c r="N1575" s="8"/>
    </row>
    <row r="1576" spans="1:14" x14ac:dyDescent="0.25">
      <c r="A1576" s="8">
        <v>40221</v>
      </c>
      <c r="B1576">
        <v>1117863.33</v>
      </c>
      <c r="C1576">
        <v>1</v>
      </c>
      <c r="D1576">
        <v>47.87</v>
      </c>
      <c r="E1576">
        <v>2.9460000000000002</v>
      </c>
      <c r="F1576">
        <v>126.49625810000001</v>
      </c>
      <c r="G1576">
        <v>13.975</v>
      </c>
      <c r="N1576" s="8"/>
    </row>
    <row r="1577" spans="1:14" x14ac:dyDescent="0.25">
      <c r="A1577" s="8">
        <v>40228</v>
      </c>
      <c r="B1577">
        <v>1095421.6499999999</v>
      </c>
      <c r="C1577">
        <v>0</v>
      </c>
      <c r="D1577">
        <v>54.83</v>
      </c>
      <c r="E1577">
        <v>2.915</v>
      </c>
      <c r="F1577">
        <v>126.5262857</v>
      </c>
      <c r="G1577">
        <v>13.975</v>
      </c>
      <c r="N1577" s="8"/>
    </row>
    <row r="1578" spans="1:14" x14ac:dyDescent="0.25">
      <c r="A1578" s="8">
        <v>40235</v>
      </c>
      <c r="B1578">
        <v>1048617.17</v>
      </c>
      <c r="C1578">
        <v>0</v>
      </c>
      <c r="D1578">
        <v>50.23</v>
      </c>
      <c r="E1578">
        <v>2.8250000000000002</v>
      </c>
      <c r="F1578">
        <v>126.5522857</v>
      </c>
      <c r="G1578">
        <v>13.975</v>
      </c>
      <c r="N1578" s="8"/>
    </row>
    <row r="1579" spans="1:14" x14ac:dyDescent="0.25">
      <c r="A1579" s="8">
        <v>40242</v>
      </c>
      <c r="B1579">
        <v>1077018.27</v>
      </c>
      <c r="C1579">
        <v>0</v>
      </c>
      <c r="D1579">
        <v>53.77</v>
      </c>
      <c r="E1579">
        <v>2.9870000000000001</v>
      </c>
      <c r="F1579">
        <v>126.5782857</v>
      </c>
      <c r="G1579">
        <v>13.975</v>
      </c>
      <c r="N1579" s="8"/>
    </row>
    <row r="1580" spans="1:14" x14ac:dyDescent="0.25">
      <c r="A1580" s="8">
        <v>40249</v>
      </c>
      <c r="B1580">
        <v>985594.23</v>
      </c>
      <c r="C1580">
        <v>0</v>
      </c>
      <c r="D1580">
        <v>50.11</v>
      </c>
      <c r="E1580">
        <v>2.9249999999999998</v>
      </c>
      <c r="F1580">
        <v>126.60428570000001</v>
      </c>
      <c r="G1580">
        <v>13.975</v>
      </c>
      <c r="N1580" s="8"/>
    </row>
    <row r="1581" spans="1:14" x14ac:dyDescent="0.25">
      <c r="A1581" s="8">
        <v>40256</v>
      </c>
      <c r="B1581">
        <v>972088.34</v>
      </c>
      <c r="C1581">
        <v>0</v>
      </c>
      <c r="D1581">
        <v>59.57</v>
      </c>
      <c r="E1581">
        <v>3.0539999999999998</v>
      </c>
      <c r="F1581">
        <v>126.6066452</v>
      </c>
      <c r="G1581">
        <v>13.975</v>
      </c>
      <c r="N1581" s="8"/>
    </row>
    <row r="1582" spans="1:14" x14ac:dyDescent="0.25">
      <c r="A1582" s="8">
        <v>40263</v>
      </c>
      <c r="B1582">
        <v>981615.81</v>
      </c>
      <c r="C1582">
        <v>0</v>
      </c>
      <c r="D1582">
        <v>60.06</v>
      </c>
      <c r="E1582">
        <v>3.0830000000000002</v>
      </c>
      <c r="F1582">
        <v>126.6050645</v>
      </c>
      <c r="G1582">
        <v>13.975</v>
      </c>
      <c r="N1582" s="8"/>
    </row>
    <row r="1583" spans="1:14" x14ac:dyDescent="0.25">
      <c r="A1583" s="8">
        <v>40270</v>
      </c>
      <c r="B1583">
        <v>1011822.3</v>
      </c>
      <c r="C1583">
        <v>0</v>
      </c>
      <c r="D1583">
        <v>59.84</v>
      </c>
      <c r="E1583">
        <v>3.0859999999999999</v>
      </c>
      <c r="F1583">
        <v>126.6034839</v>
      </c>
      <c r="G1583">
        <v>14.099</v>
      </c>
      <c r="N1583" s="8"/>
    </row>
    <row r="1584" spans="1:14" x14ac:dyDescent="0.25">
      <c r="A1584" s="8">
        <v>40277</v>
      </c>
      <c r="B1584">
        <v>1041238.87</v>
      </c>
      <c r="C1584">
        <v>0</v>
      </c>
      <c r="D1584">
        <v>59.25</v>
      </c>
      <c r="E1584">
        <v>3.09</v>
      </c>
      <c r="F1584">
        <v>126.6019032</v>
      </c>
      <c r="G1584">
        <v>14.099</v>
      </c>
      <c r="N1584" s="8"/>
    </row>
    <row r="1585" spans="1:14" x14ac:dyDescent="0.25">
      <c r="A1585" s="8">
        <v>40284</v>
      </c>
      <c r="B1585">
        <v>957997.52</v>
      </c>
      <c r="C1585">
        <v>0</v>
      </c>
      <c r="D1585">
        <v>64.95</v>
      </c>
      <c r="E1585">
        <v>3.109</v>
      </c>
      <c r="F1585">
        <v>126.5621</v>
      </c>
      <c r="G1585">
        <v>14.099</v>
      </c>
      <c r="N1585" s="8"/>
    </row>
    <row r="1586" spans="1:14" x14ac:dyDescent="0.25">
      <c r="A1586" s="8">
        <v>40291</v>
      </c>
      <c r="B1586">
        <v>993833.44</v>
      </c>
      <c r="C1586">
        <v>0</v>
      </c>
      <c r="D1586">
        <v>64.55</v>
      </c>
      <c r="E1586">
        <v>3.05</v>
      </c>
      <c r="F1586">
        <v>126.4713333</v>
      </c>
      <c r="G1586">
        <v>14.099</v>
      </c>
      <c r="N1586" s="8"/>
    </row>
    <row r="1587" spans="1:14" x14ac:dyDescent="0.25">
      <c r="A1587" s="8">
        <v>40298</v>
      </c>
      <c r="B1587">
        <v>954220.22</v>
      </c>
      <c r="C1587">
        <v>0</v>
      </c>
      <c r="D1587">
        <v>67.38</v>
      </c>
      <c r="E1587">
        <v>3.105</v>
      </c>
      <c r="F1587">
        <v>126.3805667</v>
      </c>
      <c r="G1587">
        <v>14.099</v>
      </c>
      <c r="N1587" s="8"/>
    </row>
    <row r="1588" spans="1:14" x14ac:dyDescent="0.25">
      <c r="A1588" s="8">
        <v>40305</v>
      </c>
      <c r="B1588">
        <v>1043240.27</v>
      </c>
      <c r="C1588">
        <v>0</v>
      </c>
      <c r="D1588">
        <v>70.150000000000006</v>
      </c>
      <c r="E1588">
        <v>3.1269999999999998</v>
      </c>
      <c r="F1588">
        <v>126.2898</v>
      </c>
      <c r="G1588">
        <v>14.099</v>
      </c>
      <c r="N1588" s="8"/>
    </row>
    <row r="1589" spans="1:14" x14ac:dyDescent="0.25">
      <c r="A1589" s="8">
        <v>40312</v>
      </c>
      <c r="B1589">
        <v>966054.97</v>
      </c>
      <c r="C1589">
        <v>0</v>
      </c>
      <c r="D1589">
        <v>68.44</v>
      </c>
      <c r="E1589">
        <v>3.145</v>
      </c>
      <c r="F1589">
        <v>126.2085484</v>
      </c>
      <c r="G1589">
        <v>14.099</v>
      </c>
      <c r="N1589" s="8"/>
    </row>
    <row r="1590" spans="1:14" x14ac:dyDescent="0.25">
      <c r="A1590" s="8">
        <v>40319</v>
      </c>
      <c r="B1590">
        <v>958374.56</v>
      </c>
      <c r="C1590">
        <v>0</v>
      </c>
      <c r="D1590">
        <v>76.2</v>
      </c>
      <c r="E1590">
        <v>3.12</v>
      </c>
      <c r="F1590">
        <v>126.1843871</v>
      </c>
      <c r="G1590">
        <v>14.099</v>
      </c>
      <c r="N1590" s="8"/>
    </row>
    <row r="1591" spans="1:14" x14ac:dyDescent="0.25">
      <c r="A1591" s="8">
        <v>40326</v>
      </c>
      <c r="B1591">
        <v>955451.16</v>
      </c>
      <c r="C1591">
        <v>0</v>
      </c>
      <c r="D1591">
        <v>67.84</v>
      </c>
      <c r="E1591">
        <v>3.0579999999999998</v>
      </c>
      <c r="F1591">
        <v>126.16022580000001</v>
      </c>
      <c r="G1591">
        <v>14.099</v>
      </c>
      <c r="N1591" s="8"/>
    </row>
    <row r="1592" spans="1:14" x14ac:dyDescent="0.25">
      <c r="A1592" s="8">
        <v>40333</v>
      </c>
      <c r="B1592">
        <v>1049357.3600000001</v>
      </c>
      <c r="C1592">
        <v>0</v>
      </c>
      <c r="D1592">
        <v>81.39</v>
      </c>
      <c r="E1592">
        <v>2.9409999999999998</v>
      </c>
      <c r="F1592">
        <v>126.1360645</v>
      </c>
      <c r="G1592">
        <v>14.099</v>
      </c>
      <c r="N1592" s="8"/>
    </row>
    <row r="1593" spans="1:14" x14ac:dyDescent="0.25">
      <c r="A1593" s="8">
        <v>40340</v>
      </c>
      <c r="B1593">
        <v>1016039.71</v>
      </c>
      <c r="C1593">
        <v>0</v>
      </c>
      <c r="D1593">
        <v>90.84</v>
      </c>
      <c r="E1593">
        <v>2.9489999999999998</v>
      </c>
      <c r="F1593">
        <v>126.1119032</v>
      </c>
      <c r="G1593">
        <v>14.099</v>
      </c>
      <c r="N1593" s="8"/>
    </row>
    <row r="1594" spans="1:14" x14ac:dyDescent="0.25">
      <c r="A1594" s="8">
        <v>40347</v>
      </c>
      <c r="B1594">
        <v>956211.19999999995</v>
      </c>
      <c r="C1594">
        <v>0</v>
      </c>
      <c r="D1594">
        <v>81.06</v>
      </c>
      <c r="E1594">
        <v>3.0430000000000001</v>
      </c>
      <c r="F1594">
        <v>126.114</v>
      </c>
      <c r="G1594">
        <v>14.099</v>
      </c>
      <c r="N1594" s="8"/>
    </row>
    <row r="1595" spans="1:14" x14ac:dyDescent="0.25">
      <c r="A1595" s="8">
        <v>40354</v>
      </c>
      <c r="B1595">
        <v>958007.69</v>
      </c>
      <c r="C1595">
        <v>0</v>
      </c>
      <c r="D1595">
        <v>87.27</v>
      </c>
      <c r="E1595">
        <v>3.0840000000000001</v>
      </c>
      <c r="F1595">
        <v>126.1266</v>
      </c>
      <c r="G1595">
        <v>14.099</v>
      </c>
      <c r="N1595" s="8"/>
    </row>
    <row r="1596" spans="1:14" x14ac:dyDescent="0.25">
      <c r="A1596" s="8">
        <v>40361</v>
      </c>
      <c r="B1596">
        <v>951957.31</v>
      </c>
      <c r="C1596">
        <v>0</v>
      </c>
      <c r="D1596">
        <v>91.98</v>
      </c>
      <c r="E1596">
        <v>3.105</v>
      </c>
      <c r="F1596">
        <v>126.1392</v>
      </c>
      <c r="G1596">
        <v>14.18</v>
      </c>
      <c r="N1596" s="8"/>
    </row>
    <row r="1597" spans="1:14" x14ac:dyDescent="0.25">
      <c r="A1597" s="8">
        <v>40368</v>
      </c>
      <c r="B1597">
        <v>943506.28</v>
      </c>
      <c r="C1597">
        <v>0</v>
      </c>
      <c r="D1597">
        <v>90.37</v>
      </c>
      <c r="E1597">
        <v>3.1</v>
      </c>
      <c r="F1597">
        <v>126.15179999999999</v>
      </c>
      <c r="G1597">
        <v>14.18</v>
      </c>
      <c r="N1597" s="8"/>
    </row>
    <row r="1598" spans="1:14" x14ac:dyDescent="0.25">
      <c r="A1598" s="8">
        <v>40375</v>
      </c>
      <c r="B1598">
        <v>916402.76</v>
      </c>
      <c r="C1598">
        <v>0</v>
      </c>
      <c r="D1598">
        <v>97.18</v>
      </c>
      <c r="E1598">
        <v>3.0939999999999999</v>
      </c>
      <c r="F1598">
        <v>126.1498065</v>
      </c>
      <c r="G1598">
        <v>14.18</v>
      </c>
      <c r="N1598" s="8"/>
    </row>
    <row r="1599" spans="1:14" x14ac:dyDescent="0.25">
      <c r="A1599" s="8">
        <v>40382</v>
      </c>
      <c r="B1599">
        <v>912403.67</v>
      </c>
      <c r="C1599">
        <v>0</v>
      </c>
      <c r="D1599">
        <v>99.22</v>
      </c>
      <c r="E1599">
        <v>3.1120000000000001</v>
      </c>
      <c r="F1599">
        <v>126.1283548</v>
      </c>
      <c r="G1599">
        <v>14.18</v>
      </c>
      <c r="N1599" s="8"/>
    </row>
    <row r="1600" spans="1:14" x14ac:dyDescent="0.25">
      <c r="A1600" s="8">
        <v>40389</v>
      </c>
      <c r="B1600">
        <v>913548.25</v>
      </c>
      <c r="C1600">
        <v>0</v>
      </c>
      <c r="D1600">
        <v>96.31</v>
      </c>
      <c r="E1600">
        <v>3.0169999999999999</v>
      </c>
      <c r="F1600">
        <v>126.1069032</v>
      </c>
      <c r="G1600">
        <v>14.18</v>
      </c>
      <c r="N1600" s="8"/>
    </row>
    <row r="1601" spans="1:14" x14ac:dyDescent="0.25">
      <c r="A1601" s="8">
        <v>40396</v>
      </c>
      <c r="B1601">
        <v>967576.95</v>
      </c>
      <c r="C1601">
        <v>0</v>
      </c>
      <c r="D1601">
        <v>92.95</v>
      </c>
      <c r="E1601">
        <v>3.1230000000000002</v>
      </c>
      <c r="F1601">
        <v>126.0854516</v>
      </c>
      <c r="G1601">
        <v>14.18</v>
      </c>
      <c r="N1601" s="8"/>
    </row>
    <row r="1602" spans="1:14" x14ac:dyDescent="0.25">
      <c r="A1602" s="8">
        <v>40403</v>
      </c>
      <c r="B1602">
        <v>928264.4</v>
      </c>
      <c r="C1602">
        <v>0</v>
      </c>
      <c r="D1602">
        <v>87.01</v>
      </c>
      <c r="E1602">
        <v>3.1589999999999998</v>
      </c>
      <c r="F1602">
        <v>126.06399999999999</v>
      </c>
      <c r="G1602">
        <v>14.18</v>
      </c>
      <c r="N1602" s="8"/>
    </row>
    <row r="1603" spans="1:14" x14ac:dyDescent="0.25">
      <c r="A1603" s="8">
        <v>40410</v>
      </c>
      <c r="B1603">
        <v>948447.34</v>
      </c>
      <c r="C1603">
        <v>0</v>
      </c>
      <c r="D1603">
        <v>92.81</v>
      </c>
      <c r="E1603">
        <v>3.0409999999999999</v>
      </c>
      <c r="F1603">
        <v>126.0766452</v>
      </c>
      <c r="G1603">
        <v>14.18</v>
      </c>
      <c r="N1603" s="8"/>
    </row>
    <row r="1604" spans="1:14" x14ac:dyDescent="0.25">
      <c r="A1604" s="8">
        <v>40417</v>
      </c>
      <c r="B1604">
        <v>1004516.46</v>
      </c>
      <c r="C1604">
        <v>0</v>
      </c>
      <c r="D1604">
        <v>93.19</v>
      </c>
      <c r="E1604">
        <v>3.129</v>
      </c>
      <c r="F1604">
        <v>126.0892903</v>
      </c>
      <c r="G1604">
        <v>14.18</v>
      </c>
      <c r="N1604" s="8"/>
    </row>
    <row r="1605" spans="1:14" x14ac:dyDescent="0.25">
      <c r="A1605" s="8">
        <v>40424</v>
      </c>
      <c r="B1605">
        <v>1075758.55</v>
      </c>
      <c r="C1605">
        <v>0</v>
      </c>
      <c r="D1605">
        <v>83.12</v>
      </c>
      <c r="E1605">
        <v>3.0870000000000002</v>
      </c>
      <c r="F1605">
        <v>126.1019355</v>
      </c>
      <c r="G1605">
        <v>14.18</v>
      </c>
      <c r="N1605" s="8"/>
    </row>
    <row r="1606" spans="1:14" x14ac:dyDescent="0.25">
      <c r="A1606" s="8">
        <v>40431</v>
      </c>
      <c r="B1606">
        <v>903119.03</v>
      </c>
      <c r="C1606">
        <v>1</v>
      </c>
      <c r="D1606">
        <v>83.63</v>
      </c>
      <c r="E1606">
        <v>3.044</v>
      </c>
      <c r="F1606">
        <v>126.1145806</v>
      </c>
      <c r="G1606">
        <v>14.18</v>
      </c>
      <c r="N1606" s="8"/>
    </row>
    <row r="1607" spans="1:14" x14ac:dyDescent="0.25">
      <c r="A1607" s="8">
        <v>40438</v>
      </c>
      <c r="B1607">
        <v>852882.61</v>
      </c>
      <c r="C1607">
        <v>0</v>
      </c>
      <c r="D1607">
        <v>82.45</v>
      </c>
      <c r="E1607">
        <v>3.028</v>
      </c>
      <c r="F1607">
        <v>126.1454667</v>
      </c>
      <c r="G1607">
        <v>14.18</v>
      </c>
      <c r="N1607" s="8"/>
    </row>
    <row r="1608" spans="1:14" x14ac:dyDescent="0.25">
      <c r="A1608" s="8">
        <v>40445</v>
      </c>
      <c r="B1608">
        <v>851919.34</v>
      </c>
      <c r="C1608">
        <v>0</v>
      </c>
      <c r="D1608">
        <v>81.77</v>
      </c>
      <c r="E1608">
        <v>2.9390000000000001</v>
      </c>
      <c r="F1608">
        <v>126.1900333</v>
      </c>
      <c r="G1608">
        <v>14.18</v>
      </c>
      <c r="N1608" s="8"/>
    </row>
    <row r="1609" spans="1:14" x14ac:dyDescent="0.25">
      <c r="A1609" s="8">
        <v>40452</v>
      </c>
      <c r="B1609">
        <v>850936.26</v>
      </c>
      <c r="C1609">
        <v>0</v>
      </c>
      <c r="D1609">
        <v>85.2</v>
      </c>
      <c r="E1609">
        <v>3.0009999999999999</v>
      </c>
      <c r="F1609">
        <v>126.2346</v>
      </c>
      <c r="G1609">
        <v>14.313000000000001</v>
      </c>
      <c r="N1609" s="8"/>
    </row>
    <row r="1610" spans="1:14" x14ac:dyDescent="0.25">
      <c r="A1610" s="8">
        <v>40459</v>
      </c>
      <c r="B1610">
        <v>918335.68</v>
      </c>
      <c r="C1610">
        <v>0</v>
      </c>
      <c r="D1610">
        <v>71.819999999999993</v>
      </c>
      <c r="E1610">
        <v>3.0129999999999999</v>
      </c>
      <c r="F1610">
        <v>126.2791667</v>
      </c>
      <c r="G1610">
        <v>14.313000000000001</v>
      </c>
      <c r="N1610" s="8"/>
    </row>
    <row r="1611" spans="1:14" x14ac:dyDescent="0.25">
      <c r="A1611" s="8">
        <v>40466</v>
      </c>
      <c r="B1611">
        <v>862419.84</v>
      </c>
      <c r="C1611">
        <v>0</v>
      </c>
      <c r="D1611">
        <v>75</v>
      </c>
      <c r="E1611">
        <v>2.976</v>
      </c>
      <c r="F1611">
        <v>126.32667739999999</v>
      </c>
      <c r="G1611">
        <v>14.313000000000001</v>
      </c>
      <c r="N1611" s="8"/>
    </row>
    <row r="1612" spans="1:14" x14ac:dyDescent="0.25">
      <c r="A1612" s="8">
        <v>40473</v>
      </c>
      <c r="B1612">
        <v>857883.46</v>
      </c>
      <c r="C1612">
        <v>0</v>
      </c>
      <c r="D1612">
        <v>68.849999999999994</v>
      </c>
      <c r="E1612">
        <v>3.0139999999999998</v>
      </c>
      <c r="F1612">
        <v>126.3815484</v>
      </c>
      <c r="G1612">
        <v>14.313000000000001</v>
      </c>
      <c r="N1612" s="8"/>
    </row>
    <row r="1613" spans="1:14" x14ac:dyDescent="0.25">
      <c r="A1613" s="8">
        <v>40480</v>
      </c>
      <c r="B1613">
        <v>955294.7</v>
      </c>
      <c r="C1613">
        <v>0</v>
      </c>
      <c r="D1613">
        <v>61.09</v>
      </c>
      <c r="E1613">
        <v>3.016</v>
      </c>
      <c r="F1613">
        <v>126.43641940000001</v>
      </c>
      <c r="G1613">
        <v>14.313000000000001</v>
      </c>
      <c r="N1613" s="8"/>
    </row>
    <row r="1614" spans="1:14" x14ac:dyDescent="0.25">
      <c r="A1614" s="8">
        <v>40487</v>
      </c>
      <c r="B1614">
        <v>929690.71</v>
      </c>
      <c r="C1614">
        <v>0</v>
      </c>
      <c r="D1614">
        <v>65.489999999999995</v>
      </c>
      <c r="E1614">
        <v>3.129</v>
      </c>
      <c r="F1614">
        <v>126.4912903</v>
      </c>
      <c r="G1614">
        <v>14.313000000000001</v>
      </c>
      <c r="N1614" s="8"/>
    </row>
    <row r="1615" spans="1:14" x14ac:dyDescent="0.25">
      <c r="A1615" s="8">
        <v>40494</v>
      </c>
      <c r="B1615">
        <v>942475.24</v>
      </c>
      <c r="C1615">
        <v>0</v>
      </c>
      <c r="D1615">
        <v>57.79</v>
      </c>
      <c r="E1615">
        <v>3.13</v>
      </c>
      <c r="F1615">
        <v>126.54616129999999</v>
      </c>
      <c r="G1615">
        <v>14.313000000000001</v>
      </c>
      <c r="N1615" s="8"/>
    </row>
    <row r="1616" spans="1:14" x14ac:dyDescent="0.25">
      <c r="A1616" s="8">
        <v>40501</v>
      </c>
      <c r="B1616">
        <v>894493.7</v>
      </c>
      <c r="C1616">
        <v>0</v>
      </c>
      <c r="D1616">
        <v>58.18</v>
      </c>
      <c r="E1616">
        <v>3.161</v>
      </c>
      <c r="F1616">
        <v>126.60720000000001</v>
      </c>
      <c r="G1616">
        <v>14.313000000000001</v>
      </c>
      <c r="N1616" s="8"/>
    </row>
    <row r="1617" spans="1:14" x14ac:dyDescent="0.25">
      <c r="A1617" s="8">
        <v>40508</v>
      </c>
      <c r="B1617">
        <v>1601377.41</v>
      </c>
      <c r="C1617">
        <v>1</v>
      </c>
      <c r="D1617">
        <v>47.66</v>
      </c>
      <c r="E1617">
        <v>3.1619999999999999</v>
      </c>
      <c r="F1617">
        <v>126.66926669999999</v>
      </c>
      <c r="G1617">
        <v>14.313000000000001</v>
      </c>
      <c r="N1617" s="8"/>
    </row>
    <row r="1618" spans="1:14" x14ac:dyDescent="0.25">
      <c r="A1618" s="8">
        <v>40515</v>
      </c>
      <c r="B1618">
        <v>1069533.17</v>
      </c>
      <c r="C1618">
        <v>0</v>
      </c>
      <c r="D1618">
        <v>43.33</v>
      </c>
      <c r="E1618">
        <v>3.0409999999999999</v>
      </c>
      <c r="F1618">
        <v>126.7313333</v>
      </c>
      <c r="G1618">
        <v>14.313000000000001</v>
      </c>
      <c r="N1618" s="8"/>
    </row>
    <row r="1619" spans="1:14" x14ac:dyDescent="0.25">
      <c r="A1619" s="8">
        <v>40522</v>
      </c>
      <c r="B1619">
        <v>1121934.1499999999</v>
      </c>
      <c r="C1619">
        <v>0</v>
      </c>
      <c r="D1619">
        <v>50.01</v>
      </c>
      <c r="E1619">
        <v>3.2029999999999998</v>
      </c>
      <c r="F1619">
        <v>126.79340000000001</v>
      </c>
      <c r="G1619">
        <v>14.313000000000001</v>
      </c>
      <c r="N1619" s="8"/>
    </row>
    <row r="1620" spans="1:14" x14ac:dyDescent="0.25">
      <c r="A1620" s="8">
        <v>40529</v>
      </c>
      <c r="B1620">
        <v>1295605.3500000001</v>
      </c>
      <c r="C1620">
        <v>0</v>
      </c>
      <c r="D1620">
        <v>52.77</v>
      </c>
      <c r="E1620">
        <v>3.2360000000000002</v>
      </c>
      <c r="F1620">
        <v>126.8794839</v>
      </c>
      <c r="G1620">
        <v>14.313000000000001</v>
      </c>
      <c r="N1620" s="8"/>
    </row>
    <row r="1621" spans="1:14" x14ac:dyDescent="0.25">
      <c r="A1621" s="8">
        <v>40536</v>
      </c>
      <c r="B1621">
        <v>1768249.89</v>
      </c>
      <c r="C1621">
        <v>0</v>
      </c>
      <c r="D1621">
        <v>52.02</v>
      </c>
      <c r="E1621">
        <v>3.2360000000000002</v>
      </c>
      <c r="F1621">
        <v>126.9835806</v>
      </c>
      <c r="G1621">
        <v>14.313000000000001</v>
      </c>
      <c r="N1621" s="8"/>
    </row>
    <row r="1622" spans="1:14" x14ac:dyDescent="0.25">
      <c r="A1622" s="8">
        <v>40543</v>
      </c>
      <c r="B1622">
        <v>891736.91</v>
      </c>
      <c r="C1622">
        <v>1</v>
      </c>
      <c r="D1622">
        <v>45.64</v>
      </c>
      <c r="E1622">
        <v>3.1480000000000001</v>
      </c>
      <c r="F1622">
        <v>127.0876774</v>
      </c>
      <c r="G1622">
        <v>14.313000000000001</v>
      </c>
      <c r="N1622" s="8"/>
    </row>
    <row r="1623" spans="1:14" x14ac:dyDescent="0.25">
      <c r="A1623" s="8">
        <v>40550</v>
      </c>
      <c r="B1623">
        <v>910110.24</v>
      </c>
      <c r="C1623">
        <v>0</v>
      </c>
      <c r="D1623">
        <v>37.64</v>
      </c>
      <c r="E1623">
        <v>3.2869999999999999</v>
      </c>
      <c r="F1623">
        <v>127.1917742</v>
      </c>
      <c r="G1623">
        <v>14.021000000000001</v>
      </c>
      <c r="N1623" s="8"/>
    </row>
    <row r="1624" spans="1:14" x14ac:dyDescent="0.25">
      <c r="A1624" s="8">
        <v>40557</v>
      </c>
      <c r="B1624">
        <v>812011.8</v>
      </c>
      <c r="C1624">
        <v>0</v>
      </c>
      <c r="D1624">
        <v>43.15</v>
      </c>
      <c r="E1624">
        <v>3.3119999999999998</v>
      </c>
      <c r="F1624">
        <v>127.30093549999999</v>
      </c>
      <c r="G1624">
        <v>14.021000000000001</v>
      </c>
      <c r="N1624" s="8"/>
    </row>
    <row r="1625" spans="1:14" x14ac:dyDescent="0.25">
      <c r="A1625" s="8">
        <v>40564</v>
      </c>
      <c r="B1625">
        <v>802105.5</v>
      </c>
      <c r="C1625">
        <v>0</v>
      </c>
      <c r="D1625">
        <v>53.53</v>
      </c>
      <c r="E1625">
        <v>3.2229999999999999</v>
      </c>
      <c r="F1625">
        <v>127.4404839</v>
      </c>
      <c r="G1625">
        <v>14.021000000000001</v>
      </c>
      <c r="N1625" s="8"/>
    </row>
    <row r="1626" spans="1:14" x14ac:dyDescent="0.25">
      <c r="A1626" s="8">
        <v>40571</v>
      </c>
      <c r="B1626">
        <v>873119.06</v>
      </c>
      <c r="C1626">
        <v>0</v>
      </c>
      <c r="D1626">
        <v>50.74</v>
      </c>
      <c r="E1626">
        <v>3.3420000000000001</v>
      </c>
      <c r="F1626">
        <v>127.5800323</v>
      </c>
      <c r="G1626">
        <v>14.021000000000001</v>
      </c>
      <c r="N1626" s="8"/>
    </row>
    <row r="1627" spans="1:14" x14ac:dyDescent="0.25">
      <c r="A1627" s="8">
        <v>40578</v>
      </c>
      <c r="B1627">
        <v>1046068.17</v>
      </c>
      <c r="C1627">
        <v>0</v>
      </c>
      <c r="D1627">
        <v>45.14</v>
      </c>
      <c r="E1627">
        <v>3.3479999999999999</v>
      </c>
      <c r="F1627">
        <v>127.7195806</v>
      </c>
      <c r="G1627">
        <v>14.021000000000001</v>
      </c>
      <c r="N1627" s="8"/>
    </row>
    <row r="1628" spans="1:14" x14ac:dyDescent="0.25">
      <c r="A1628" s="8">
        <v>40585</v>
      </c>
      <c r="B1628">
        <v>1086421.57</v>
      </c>
      <c r="C1628">
        <v>1</v>
      </c>
      <c r="D1628">
        <v>51.3</v>
      </c>
      <c r="E1628">
        <v>3.3809999999999998</v>
      </c>
      <c r="F1628">
        <v>127.859129</v>
      </c>
      <c r="G1628">
        <v>14.021000000000001</v>
      </c>
      <c r="N1628" s="8"/>
    </row>
    <row r="1629" spans="1:14" x14ac:dyDescent="0.25">
      <c r="A1629" s="8">
        <v>40592</v>
      </c>
      <c r="B1629">
        <v>1128485.1000000001</v>
      </c>
      <c r="C1629">
        <v>0</v>
      </c>
      <c r="D1629">
        <v>53.35</v>
      </c>
      <c r="E1629">
        <v>3.43</v>
      </c>
      <c r="F1629">
        <v>127.99525</v>
      </c>
      <c r="G1629">
        <v>14.021000000000001</v>
      </c>
      <c r="N1629" s="8"/>
    </row>
    <row r="1630" spans="1:14" x14ac:dyDescent="0.25">
      <c r="A1630" s="8">
        <v>40599</v>
      </c>
      <c r="B1630">
        <v>1046203.72</v>
      </c>
      <c r="C1630">
        <v>0</v>
      </c>
      <c r="D1630">
        <v>48.45</v>
      </c>
      <c r="E1630">
        <v>3.53</v>
      </c>
      <c r="F1630">
        <v>128.13</v>
      </c>
      <c r="G1630">
        <v>14.021000000000001</v>
      </c>
      <c r="N1630" s="8"/>
    </row>
    <row r="1631" spans="1:14" x14ac:dyDescent="0.25">
      <c r="A1631" s="8">
        <v>40606</v>
      </c>
      <c r="B1631">
        <v>1085248.21</v>
      </c>
      <c r="C1631">
        <v>0</v>
      </c>
      <c r="D1631">
        <v>51.72</v>
      </c>
      <c r="E1631">
        <v>3.6739999999999999</v>
      </c>
      <c r="F1631">
        <v>128.26474999999999</v>
      </c>
      <c r="G1631">
        <v>14.021000000000001</v>
      </c>
      <c r="N1631" s="8"/>
    </row>
    <row r="1632" spans="1:14" x14ac:dyDescent="0.25">
      <c r="A1632" s="8">
        <v>40613</v>
      </c>
      <c r="B1632">
        <v>997672.62</v>
      </c>
      <c r="C1632">
        <v>0</v>
      </c>
      <c r="D1632">
        <v>57.75</v>
      </c>
      <c r="E1632">
        <v>3.8180000000000001</v>
      </c>
      <c r="F1632">
        <v>128.39949999999999</v>
      </c>
      <c r="G1632">
        <v>14.021000000000001</v>
      </c>
      <c r="N1632" s="8"/>
    </row>
    <row r="1633" spans="1:14" x14ac:dyDescent="0.25">
      <c r="A1633" s="8">
        <v>40620</v>
      </c>
      <c r="B1633">
        <v>1009502.01</v>
      </c>
      <c r="C1633">
        <v>0</v>
      </c>
      <c r="D1633">
        <v>64.209999999999994</v>
      </c>
      <c r="E1633">
        <v>3.6920000000000002</v>
      </c>
      <c r="F1633">
        <v>128.5121935</v>
      </c>
      <c r="G1633">
        <v>14.021000000000001</v>
      </c>
      <c r="N1633" s="8"/>
    </row>
    <row r="1634" spans="1:14" x14ac:dyDescent="0.25">
      <c r="A1634" s="8">
        <v>40627</v>
      </c>
      <c r="B1634">
        <v>954107.32</v>
      </c>
      <c r="C1634">
        <v>0</v>
      </c>
      <c r="D1634">
        <v>54.4</v>
      </c>
      <c r="E1634">
        <v>3.9089999999999998</v>
      </c>
      <c r="F1634">
        <v>128.61606449999999</v>
      </c>
      <c r="G1634">
        <v>14.021000000000001</v>
      </c>
      <c r="N1634" s="8"/>
    </row>
    <row r="1635" spans="1:14" x14ac:dyDescent="0.25">
      <c r="A1635" s="8">
        <v>40634</v>
      </c>
      <c r="B1635">
        <v>1005463.49</v>
      </c>
      <c r="C1635">
        <v>0</v>
      </c>
      <c r="D1635">
        <v>63.63</v>
      </c>
      <c r="E1635">
        <v>3.7719999999999998</v>
      </c>
      <c r="F1635">
        <v>128.71993549999999</v>
      </c>
      <c r="G1635">
        <v>13.736000000000001</v>
      </c>
      <c r="N1635" s="8"/>
    </row>
    <row r="1636" spans="1:14" x14ac:dyDescent="0.25">
      <c r="A1636" s="8">
        <v>40641</v>
      </c>
      <c r="B1636">
        <v>998362.05</v>
      </c>
      <c r="C1636">
        <v>0</v>
      </c>
      <c r="D1636">
        <v>64.47</v>
      </c>
      <c r="E1636">
        <v>4.0030000000000001</v>
      </c>
      <c r="F1636">
        <v>128.82380649999999</v>
      </c>
      <c r="G1636">
        <v>13.736000000000001</v>
      </c>
      <c r="N1636" s="8"/>
    </row>
    <row r="1637" spans="1:14" x14ac:dyDescent="0.25">
      <c r="A1637" s="8">
        <v>40648</v>
      </c>
      <c r="B1637">
        <v>990951.77</v>
      </c>
      <c r="C1637">
        <v>0</v>
      </c>
      <c r="D1637">
        <v>57.63</v>
      </c>
      <c r="E1637">
        <v>3.8679999999999999</v>
      </c>
      <c r="F1637">
        <v>128.9107333</v>
      </c>
      <c r="G1637">
        <v>13.736000000000001</v>
      </c>
      <c r="N1637" s="8"/>
    </row>
    <row r="1638" spans="1:14" x14ac:dyDescent="0.25">
      <c r="A1638" s="8">
        <v>40655</v>
      </c>
      <c r="B1638">
        <v>1016019.47</v>
      </c>
      <c r="C1638">
        <v>0</v>
      </c>
      <c r="D1638">
        <v>72.12</v>
      </c>
      <c r="E1638">
        <v>4.1340000000000003</v>
      </c>
      <c r="F1638">
        <v>128.95529999999999</v>
      </c>
      <c r="G1638">
        <v>13.736000000000001</v>
      </c>
      <c r="N1638" s="8"/>
    </row>
    <row r="1639" spans="1:14" x14ac:dyDescent="0.25">
      <c r="A1639" s="8">
        <v>40662</v>
      </c>
      <c r="B1639">
        <v>994966.1</v>
      </c>
      <c r="C1639">
        <v>0</v>
      </c>
      <c r="D1639">
        <v>68.27</v>
      </c>
      <c r="E1639">
        <v>4.1509999999999998</v>
      </c>
      <c r="F1639">
        <v>128.99986670000001</v>
      </c>
      <c r="G1639">
        <v>13.736000000000001</v>
      </c>
      <c r="N1639" s="8"/>
    </row>
    <row r="1640" spans="1:14" x14ac:dyDescent="0.25">
      <c r="A1640" s="8">
        <v>40669</v>
      </c>
      <c r="B1640">
        <v>1021154.48</v>
      </c>
      <c r="C1640">
        <v>0</v>
      </c>
      <c r="D1640">
        <v>68.400000000000006</v>
      </c>
      <c r="E1640">
        <v>4.1929999999999996</v>
      </c>
      <c r="F1640">
        <v>129.04443330000001</v>
      </c>
      <c r="G1640">
        <v>13.736000000000001</v>
      </c>
      <c r="N1640" s="8"/>
    </row>
    <row r="1641" spans="1:14" x14ac:dyDescent="0.25">
      <c r="A1641" s="8">
        <v>40676</v>
      </c>
      <c r="B1641">
        <v>977033.5</v>
      </c>
      <c r="C1641">
        <v>0</v>
      </c>
      <c r="D1641">
        <v>70.930000000000007</v>
      </c>
      <c r="E1641">
        <v>4.202</v>
      </c>
      <c r="F1641">
        <v>129.089</v>
      </c>
      <c r="G1641">
        <v>13.736000000000001</v>
      </c>
      <c r="N1641" s="8"/>
    </row>
    <row r="1642" spans="1:14" x14ac:dyDescent="0.25">
      <c r="A1642" s="8">
        <v>40683</v>
      </c>
      <c r="B1642">
        <v>924134.99</v>
      </c>
      <c r="C1642">
        <v>0</v>
      </c>
      <c r="D1642">
        <v>66.59</v>
      </c>
      <c r="E1642">
        <v>4.1689999999999996</v>
      </c>
      <c r="F1642">
        <v>129.07567739999999</v>
      </c>
      <c r="G1642">
        <v>13.736000000000001</v>
      </c>
      <c r="N1642" s="8"/>
    </row>
    <row r="1643" spans="1:14" x14ac:dyDescent="0.25">
      <c r="A1643" s="8">
        <v>40690</v>
      </c>
      <c r="B1643">
        <v>964332.51</v>
      </c>
      <c r="C1643">
        <v>0</v>
      </c>
      <c r="D1643">
        <v>76.67</v>
      </c>
      <c r="E1643">
        <v>4.0869999999999997</v>
      </c>
      <c r="F1643">
        <v>129.06235480000001</v>
      </c>
      <c r="G1643">
        <v>13.736000000000001</v>
      </c>
      <c r="N1643" s="8"/>
    </row>
    <row r="1644" spans="1:14" x14ac:dyDescent="0.25">
      <c r="A1644" s="8">
        <v>40697</v>
      </c>
      <c r="B1644">
        <v>970328.68</v>
      </c>
      <c r="C1644">
        <v>0</v>
      </c>
      <c r="D1644">
        <v>71.81</v>
      </c>
      <c r="E1644">
        <v>4.0309999999999997</v>
      </c>
      <c r="F1644">
        <v>129.04903229999999</v>
      </c>
      <c r="G1644">
        <v>13.736000000000001</v>
      </c>
      <c r="N1644" s="8"/>
    </row>
    <row r="1645" spans="1:14" x14ac:dyDescent="0.25">
      <c r="A1645" s="8">
        <v>40704</v>
      </c>
      <c r="B1645">
        <v>996937.95</v>
      </c>
      <c r="C1645">
        <v>0</v>
      </c>
      <c r="D1645">
        <v>78.72</v>
      </c>
      <c r="E1645">
        <v>3.9809999999999999</v>
      </c>
      <c r="F1645">
        <v>129.03570970000001</v>
      </c>
      <c r="G1645">
        <v>13.736000000000001</v>
      </c>
      <c r="N1645" s="8"/>
    </row>
    <row r="1646" spans="1:14" x14ac:dyDescent="0.25">
      <c r="A1646" s="8">
        <v>40711</v>
      </c>
      <c r="B1646">
        <v>986504.93</v>
      </c>
      <c r="C1646">
        <v>0</v>
      </c>
      <c r="D1646">
        <v>86.84</v>
      </c>
      <c r="E1646">
        <v>3.9350000000000001</v>
      </c>
      <c r="F1646">
        <v>129.04320000000001</v>
      </c>
      <c r="G1646">
        <v>13.736000000000001</v>
      </c>
      <c r="N1646" s="8"/>
    </row>
    <row r="1647" spans="1:14" x14ac:dyDescent="0.25">
      <c r="A1647" s="8">
        <v>40718</v>
      </c>
      <c r="B1647">
        <v>997282.75</v>
      </c>
      <c r="C1647">
        <v>0</v>
      </c>
      <c r="D1647">
        <v>88.95</v>
      </c>
      <c r="E1647">
        <v>3.8980000000000001</v>
      </c>
      <c r="F1647">
        <v>129.06630000000001</v>
      </c>
      <c r="G1647">
        <v>13.736000000000001</v>
      </c>
      <c r="N1647" s="8"/>
    </row>
    <row r="1648" spans="1:14" x14ac:dyDescent="0.25">
      <c r="A1648" s="8">
        <v>40725</v>
      </c>
      <c r="B1648">
        <v>961993.34</v>
      </c>
      <c r="C1648">
        <v>0</v>
      </c>
      <c r="D1648">
        <v>89.85</v>
      </c>
      <c r="E1648">
        <v>3.8420000000000001</v>
      </c>
      <c r="F1648">
        <v>129.08940000000001</v>
      </c>
      <c r="G1648">
        <v>13.503</v>
      </c>
      <c r="N1648" s="8"/>
    </row>
    <row r="1649" spans="1:14" x14ac:dyDescent="0.25">
      <c r="A1649" s="8">
        <v>40732</v>
      </c>
      <c r="B1649">
        <v>943717.38</v>
      </c>
      <c r="C1649">
        <v>0</v>
      </c>
      <c r="D1649">
        <v>89.9</v>
      </c>
      <c r="E1649">
        <v>3.7050000000000001</v>
      </c>
      <c r="F1649">
        <v>129.11250000000001</v>
      </c>
      <c r="G1649">
        <v>13.503</v>
      </c>
      <c r="N1649" s="8"/>
    </row>
    <row r="1650" spans="1:14" x14ac:dyDescent="0.25">
      <c r="A1650" s="8">
        <v>40739</v>
      </c>
      <c r="B1650">
        <v>936001.98</v>
      </c>
      <c r="C1650">
        <v>0</v>
      </c>
      <c r="D1650">
        <v>88.1</v>
      </c>
      <c r="E1650">
        <v>3.6920000000000002</v>
      </c>
      <c r="F1650">
        <v>129.13383870000001</v>
      </c>
      <c r="G1650">
        <v>13.503</v>
      </c>
      <c r="N1650" s="8"/>
    </row>
    <row r="1651" spans="1:14" x14ac:dyDescent="0.25">
      <c r="A1651" s="8">
        <v>40746</v>
      </c>
      <c r="B1651">
        <v>922231.92</v>
      </c>
      <c r="C1651">
        <v>0</v>
      </c>
      <c r="D1651">
        <v>91.17</v>
      </c>
      <c r="E1651">
        <v>3.794</v>
      </c>
      <c r="F1651">
        <v>129.1507742</v>
      </c>
      <c r="G1651">
        <v>13.503</v>
      </c>
      <c r="N1651" s="8"/>
    </row>
    <row r="1652" spans="1:14" x14ac:dyDescent="0.25">
      <c r="A1652" s="8">
        <v>40753</v>
      </c>
      <c r="B1652">
        <v>890547.07</v>
      </c>
      <c r="C1652">
        <v>0</v>
      </c>
      <c r="D1652">
        <v>93.29</v>
      </c>
      <c r="E1652">
        <v>3.8050000000000002</v>
      </c>
      <c r="F1652">
        <v>129.16770969999999</v>
      </c>
      <c r="G1652">
        <v>13.503</v>
      </c>
      <c r="N1652" s="8"/>
    </row>
    <row r="1653" spans="1:14" x14ac:dyDescent="0.25">
      <c r="A1653" s="8">
        <v>40760</v>
      </c>
      <c r="B1653">
        <v>988712.52</v>
      </c>
      <c r="C1653">
        <v>0</v>
      </c>
      <c r="D1653">
        <v>90.61</v>
      </c>
      <c r="E1653">
        <v>3.8029999999999999</v>
      </c>
      <c r="F1653">
        <v>129.18464520000001</v>
      </c>
      <c r="G1653">
        <v>13.503</v>
      </c>
      <c r="N1653" s="8"/>
    </row>
    <row r="1654" spans="1:14" x14ac:dyDescent="0.25">
      <c r="A1654" s="8">
        <v>40767</v>
      </c>
      <c r="B1654">
        <v>955913.68</v>
      </c>
      <c r="C1654">
        <v>0</v>
      </c>
      <c r="D1654">
        <v>91.04</v>
      </c>
      <c r="E1654">
        <v>3.7010000000000001</v>
      </c>
      <c r="F1654">
        <v>129.2015806</v>
      </c>
      <c r="G1654">
        <v>13.503</v>
      </c>
      <c r="N1654" s="8"/>
    </row>
    <row r="1655" spans="1:14" x14ac:dyDescent="0.25">
      <c r="A1655" s="8">
        <v>40774</v>
      </c>
      <c r="B1655">
        <v>966817.24</v>
      </c>
      <c r="C1655">
        <v>0</v>
      </c>
      <c r="D1655">
        <v>91.74</v>
      </c>
      <c r="E1655">
        <v>3.7429999999999999</v>
      </c>
      <c r="F1655">
        <v>129.24058059999999</v>
      </c>
      <c r="G1655">
        <v>13.503</v>
      </c>
      <c r="N1655" s="8"/>
    </row>
    <row r="1656" spans="1:14" x14ac:dyDescent="0.25">
      <c r="A1656" s="8">
        <v>40781</v>
      </c>
      <c r="B1656">
        <v>1017593.47</v>
      </c>
      <c r="C1656">
        <v>0</v>
      </c>
      <c r="D1656">
        <v>94.61</v>
      </c>
      <c r="E1656">
        <v>3.74</v>
      </c>
      <c r="F1656">
        <v>129.28325810000001</v>
      </c>
      <c r="G1656">
        <v>13.503</v>
      </c>
      <c r="N1656" s="8"/>
    </row>
    <row r="1657" spans="1:14" x14ac:dyDescent="0.25">
      <c r="A1657" s="8">
        <v>40788</v>
      </c>
      <c r="B1657">
        <v>1052051.45</v>
      </c>
      <c r="C1657">
        <v>0</v>
      </c>
      <c r="D1657">
        <v>93.66</v>
      </c>
      <c r="E1657">
        <v>3.798</v>
      </c>
      <c r="F1657">
        <v>129.32593550000001</v>
      </c>
      <c r="G1657">
        <v>13.503</v>
      </c>
      <c r="N1657" s="8"/>
    </row>
    <row r="1658" spans="1:14" x14ac:dyDescent="0.25">
      <c r="A1658" s="8">
        <v>40795</v>
      </c>
      <c r="B1658">
        <v>922850.57</v>
      </c>
      <c r="C1658">
        <v>1</v>
      </c>
      <c r="D1658">
        <v>88</v>
      </c>
      <c r="E1658">
        <v>3.9129999999999998</v>
      </c>
      <c r="F1658">
        <v>129.36861289999999</v>
      </c>
      <c r="G1658">
        <v>13.503</v>
      </c>
      <c r="N1658" s="8"/>
    </row>
    <row r="1659" spans="1:14" x14ac:dyDescent="0.25">
      <c r="A1659" s="8">
        <v>40802</v>
      </c>
      <c r="B1659">
        <v>889290.23</v>
      </c>
      <c r="C1659">
        <v>0</v>
      </c>
      <c r="D1659">
        <v>76.36</v>
      </c>
      <c r="E1659">
        <v>3.9180000000000001</v>
      </c>
      <c r="F1659">
        <v>129.4306</v>
      </c>
      <c r="G1659">
        <v>13.503</v>
      </c>
      <c r="N1659" s="8"/>
    </row>
    <row r="1660" spans="1:14" x14ac:dyDescent="0.25">
      <c r="A1660" s="8">
        <v>40809</v>
      </c>
      <c r="B1660">
        <v>871692.74</v>
      </c>
      <c r="C1660">
        <v>0</v>
      </c>
      <c r="D1660">
        <v>82.95</v>
      </c>
      <c r="E1660">
        <v>3.7890000000000001</v>
      </c>
      <c r="F1660">
        <v>129.51833329999999</v>
      </c>
      <c r="G1660">
        <v>13.503</v>
      </c>
      <c r="N1660" s="8"/>
    </row>
    <row r="1661" spans="1:14" x14ac:dyDescent="0.25">
      <c r="A1661" s="8">
        <v>40816</v>
      </c>
      <c r="B1661">
        <v>866401.45</v>
      </c>
      <c r="C1661">
        <v>0</v>
      </c>
      <c r="D1661">
        <v>83.26</v>
      </c>
      <c r="E1661">
        <v>3.8769999999999998</v>
      </c>
      <c r="F1661">
        <v>129.60606670000001</v>
      </c>
      <c r="G1661">
        <v>13.503</v>
      </c>
      <c r="N1661" s="8"/>
    </row>
    <row r="1662" spans="1:14" x14ac:dyDescent="0.25">
      <c r="A1662" s="8">
        <v>40823</v>
      </c>
      <c r="B1662">
        <v>951244.66</v>
      </c>
      <c r="C1662">
        <v>0</v>
      </c>
      <c r="D1662">
        <v>70.44</v>
      </c>
      <c r="E1662">
        <v>3.827</v>
      </c>
      <c r="F1662">
        <v>129.69380000000001</v>
      </c>
      <c r="G1662">
        <v>12.89</v>
      </c>
      <c r="N1662" s="8"/>
    </row>
    <row r="1663" spans="1:14" x14ac:dyDescent="0.25">
      <c r="A1663" s="8">
        <v>40830</v>
      </c>
      <c r="B1663">
        <v>927600.01</v>
      </c>
      <c r="C1663">
        <v>0</v>
      </c>
      <c r="D1663">
        <v>67.31</v>
      </c>
      <c r="E1663">
        <v>3.8050000000000002</v>
      </c>
      <c r="F1663">
        <v>129.77064519999999</v>
      </c>
      <c r="G1663">
        <v>12.89</v>
      </c>
      <c r="N1663" s="8"/>
    </row>
    <row r="1664" spans="1:14" x14ac:dyDescent="0.25">
      <c r="A1664" s="8">
        <v>40837</v>
      </c>
      <c r="B1664">
        <v>938604.58</v>
      </c>
      <c r="C1664">
        <v>0</v>
      </c>
      <c r="D1664">
        <v>73.05</v>
      </c>
      <c r="E1664">
        <v>3.8420000000000001</v>
      </c>
      <c r="F1664">
        <v>129.78216130000001</v>
      </c>
      <c r="G1664">
        <v>12.89</v>
      </c>
      <c r="N1664" s="8"/>
    </row>
    <row r="1665" spans="1:14" x14ac:dyDescent="0.25">
      <c r="A1665" s="8">
        <v>40844</v>
      </c>
      <c r="B1665">
        <v>990926.38</v>
      </c>
      <c r="C1665">
        <v>0</v>
      </c>
      <c r="D1665">
        <v>67.41</v>
      </c>
      <c r="E1665">
        <v>3.7269999999999999</v>
      </c>
      <c r="F1665">
        <v>129.79367740000001</v>
      </c>
      <c r="G1665">
        <v>12.89</v>
      </c>
      <c r="N1665" s="8"/>
    </row>
    <row r="1666" spans="1:14" x14ac:dyDescent="0.25">
      <c r="A1666" s="8">
        <v>40851</v>
      </c>
      <c r="B1666">
        <v>1051944.79</v>
      </c>
      <c r="C1666">
        <v>0</v>
      </c>
      <c r="D1666">
        <v>59.77</v>
      </c>
      <c r="E1666">
        <v>3.8279999999999998</v>
      </c>
      <c r="F1666">
        <v>129.8051935</v>
      </c>
      <c r="G1666">
        <v>12.89</v>
      </c>
      <c r="N1666" s="8"/>
    </row>
    <row r="1667" spans="1:14" x14ac:dyDescent="0.25">
      <c r="A1667" s="8">
        <v>40858</v>
      </c>
      <c r="B1667">
        <v>1095091.53</v>
      </c>
      <c r="C1667">
        <v>0</v>
      </c>
      <c r="D1667">
        <v>48.76</v>
      </c>
      <c r="E1667">
        <v>3.8239999999999998</v>
      </c>
      <c r="F1667">
        <v>129.81670969999999</v>
      </c>
      <c r="G1667">
        <v>12.89</v>
      </c>
      <c r="N1667" s="8"/>
    </row>
    <row r="1668" spans="1:14" x14ac:dyDescent="0.25">
      <c r="A1668" s="8">
        <v>40865</v>
      </c>
      <c r="B1668">
        <v>970641.34</v>
      </c>
      <c r="C1668">
        <v>0</v>
      </c>
      <c r="D1668">
        <v>54.2</v>
      </c>
      <c r="E1668">
        <v>3.8130000000000002</v>
      </c>
      <c r="F1668">
        <v>129.8268333</v>
      </c>
      <c r="G1668">
        <v>12.89</v>
      </c>
      <c r="N1668" s="8"/>
    </row>
    <row r="1669" spans="1:14" x14ac:dyDescent="0.25">
      <c r="A1669" s="8">
        <v>40872</v>
      </c>
      <c r="B1669">
        <v>1591920.42</v>
      </c>
      <c r="C1669">
        <v>1</v>
      </c>
      <c r="D1669">
        <v>53.25</v>
      </c>
      <c r="E1669">
        <v>3.6219999999999999</v>
      </c>
      <c r="F1669">
        <v>129.8364</v>
      </c>
      <c r="G1669">
        <v>12.89</v>
      </c>
      <c r="N1669" s="8"/>
    </row>
    <row r="1670" spans="1:14" x14ac:dyDescent="0.25">
      <c r="A1670" s="8">
        <v>40879</v>
      </c>
      <c r="B1670">
        <v>1071383.1000000001</v>
      </c>
      <c r="C1670">
        <v>0</v>
      </c>
      <c r="D1670">
        <v>52.5</v>
      </c>
      <c r="E1670">
        <v>3.7010000000000001</v>
      </c>
      <c r="F1670">
        <v>129.84596669999999</v>
      </c>
      <c r="G1670">
        <v>12.89</v>
      </c>
      <c r="N1670" s="8"/>
    </row>
    <row r="1671" spans="1:14" x14ac:dyDescent="0.25">
      <c r="A1671" s="8">
        <v>40886</v>
      </c>
      <c r="B1671">
        <v>1189646.45</v>
      </c>
      <c r="C1671">
        <v>0</v>
      </c>
      <c r="D1671">
        <v>42.17</v>
      </c>
      <c r="E1671">
        <v>3.6440000000000001</v>
      </c>
      <c r="F1671">
        <v>129.85553329999999</v>
      </c>
      <c r="G1671">
        <v>12.89</v>
      </c>
      <c r="N1671" s="8"/>
    </row>
    <row r="1672" spans="1:14" x14ac:dyDescent="0.25">
      <c r="A1672" s="8">
        <v>40893</v>
      </c>
      <c r="B1672">
        <v>1293404.18</v>
      </c>
      <c r="C1672">
        <v>0</v>
      </c>
      <c r="D1672">
        <v>43.29</v>
      </c>
      <c r="E1672">
        <v>3.6</v>
      </c>
      <c r="F1672">
        <v>129.8980645</v>
      </c>
      <c r="G1672">
        <v>12.89</v>
      </c>
      <c r="N1672" s="8"/>
    </row>
    <row r="1673" spans="1:14" x14ac:dyDescent="0.25">
      <c r="A1673" s="8">
        <v>40900</v>
      </c>
      <c r="B1673">
        <v>1617612.03</v>
      </c>
      <c r="C1673">
        <v>0</v>
      </c>
      <c r="D1673">
        <v>45.4</v>
      </c>
      <c r="E1673">
        <v>3.5409999999999999</v>
      </c>
      <c r="F1673">
        <v>129.98454839999999</v>
      </c>
      <c r="G1673">
        <v>12.89</v>
      </c>
      <c r="N1673" s="8"/>
    </row>
    <row r="1674" spans="1:14" x14ac:dyDescent="0.25">
      <c r="A1674" s="8">
        <v>40907</v>
      </c>
      <c r="B1674">
        <v>1111638.07</v>
      </c>
      <c r="C1674">
        <v>1</v>
      </c>
      <c r="D1674">
        <v>44.64</v>
      </c>
      <c r="E1674">
        <v>3.4279999999999999</v>
      </c>
      <c r="F1674">
        <v>130.07103230000001</v>
      </c>
      <c r="G1674">
        <v>12.89</v>
      </c>
      <c r="N1674" s="8"/>
    </row>
    <row r="1675" spans="1:14" x14ac:dyDescent="0.25">
      <c r="A1675" s="8">
        <v>40914</v>
      </c>
      <c r="B1675">
        <v>945823.65</v>
      </c>
      <c r="C1675">
        <v>0</v>
      </c>
      <c r="D1675">
        <v>50.43</v>
      </c>
      <c r="E1675">
        <v>3.5990000000000002</v>
      </c>
      <c r="F1675">
        <v>130.15751610000001</v>
      </c>
      <c r="G1675">
        <v>12.186999999999999</v>
      </c>
      <c r="N1675" s="8"/>
    </row>
    <row r="1676" spans="1:14" x14ac:dyDescent="0.25">
      <c r="A1676" s="8">
        <v>40921</v>
      </c>
      <c r="B1676">
        <v>865467.86</v>
      </c>
      <c r="C1676">
        <v>0</v>
      </c>
      <c r="D1676">
        <v>48.07</v>
      </c>
      <c r="E1676">
        <v>3.657</v>
      </c>
      <c r="F1676">
        <v>130.244</v>
      </c>
      <c r="G1676">
        <v>12.186999999999999</v>
      </c>
      <c r="N1676" s="8"/>
    </row>
    <row r="1677" spans="1:14" x14ac:dyDescent="0.25">
      <c r="A1677" s="8">
        <v>40928</v>
      </c>
      <c r="B1677">
        <v>855922.64</v>
      </c>
      <c r="C1677">
        <v>0</v>
      </c>
      <c r="D1677">
        <v>46.2</v>
      </c>
      <c r="E1677">
        <v>3.66</v>
      </c>
      <c r="F1677">
        <v>130.27922580000001</v>
      </c>
      <c r="G1677">
        <v>12.186999999999999</v>
      </c>
      <c r="N1677" s="8"/>
    </row>
    <row r="1678" spans="1:14" x14ac:dyDescent="0.25">
      <c r="A1678" s="8">
        <v>40935</v>
      </c>
      <c r="B1678">
        <v>888203.69</v>
      </c>
      <c r="C1678">
        <v>0</v>
      </c>
      <c r="D1678">
        <v>50.43</v>
      </c>
      <c r="E1678">
        <v>3.6749999999999998</v>
      </c>
      <c r="F1678">
        <v>130.31445160000001</v>
      </c>
      <c r="G1678">
        <v>12.186999999999999</v>
      </c>
      <c r="N1678" s="8"/>
    </row>
    <row r="1679" spans="1:14" x14ac:dyDescent="0.25">
      <c r="A1679" s="8">
        <v>40942</v>
      </c>
      <c r="B1679">
        <v>1058767.95</v>
      </c>
      <c r="C1679">
        <v>0</v>
      </c>
      <c r="D1679">
        <v>50.58</v>
      </c>
      <c r="E1679">
        <v>3.702</v>
      </c>
      <c r="F1679">
        <v>130.34967739999999</v>
      </c>
      <c r="G1679">
        <v>12.186999999999999</v>
      </c>
      <c r="N1679" s="8"/>
    </row>
    <row r="1680" spans="1:14" x14ac:dyDescent="0.25">
      <c r="A1680" s="8">
        <v>40949</v>
      </c>
      <c r="B1680">
        <v>1199330.8500000001</v>
      </c>
      <c r="C1680">
        <v>1</v>
      </c>
      <c r="D1680">
        <v>52.27</v>
      </c>
      <c r="E1680">
        <v>3.722</v>
      </c>
      <c r="F1680">
        <v>130.3849032</v>
      </c>
      <c r="G1680">
        <v>12.186999999999999</v>
      </c>
      <c r="N1680" s="8"/>
    </row>
    <row r="1681" spans="1:14" x14ac:dyDescent="0.25">
      <c r="A1681" s="8">
        <v>40956</v>
      </c>
      <c r="B1681">
        <v>1240048.8500000001</v>
      </c>
      <c r="C1681">
        <v>0</v>
      </c>
      <c r="D1681">
        <v>51.8</v>
      </c>
      <c r="E1681">
        <v>3.7810000000000001</v>
      </c>
      <c r="F1681">
        <v>130.45462069999999</v>
      </c>
      <c r="G1681">
        <v>12.186999999999999</v>
      </c>
      <c r="N1681" s="8"/>
    </row>
    <row r="1682" spans="1:14" x14ac:dyDescent="0.25">
      <c r="A1682" s="8">
        <v>40963</v>
      </c>
      <c r="B1682">
        <v>1112034.72</v>
      </c>
      <c r="C1682">
        <v>0</v>
      </c>
      <c r="D1682">
        <v>53.13</v>
      </c>
      <c r="E1682">
        <v>3.95</v>
      </c>
      <c r="F1682">
        <v>130.55020690000001</v>
      </c>
      <c r="G1682">
        <v>12.186999999999999</v>
      </c>
      <c r="N1682" s="8"/>
    </row>
    <row r="1683" spans="1:14" x14ac:dyDescent="0.25">
      <c r="A1683" s="8">
        <v>40970</v>
      </c>
      <c r="B1683">
        <v>1147636.96</v>
      </c>
      <c r="C1683">
        <v>0</v>
      </c>
      <c r="D1683">
        <v>52.27</v>
      </c>
      <c r="E1683">
        <v>4.1779999999999999</v>
      </c>
      <c r="F1683">
        <v>130.64579309999999</v>
      </c>
      <c r="G1683">
        <v>12.186999999999999</v>
      </c>
      <c r="N1683" s="8"/>
    </row>
    <row r="1684" spans="1:14" x14ac:dyDescent="0.25">
      <c r="A1684" s="8">
        <v>40977</v>
      </c>
      <c r="B1684">
        <v>1113208.57</v>
      </c>
      <c r="C1684">
        <v>0</v>
      </c>
      <c r="D1684">
        <v>54.54</v>
      </c>
      <c r="E1684">
        <v>4.25</v>
      </c>
      <c r="F1684">
        <v>130.74137930000001</v>
      </c>
      <c r="G1684">
        <v>12.186999999999999</v>
      </c>
      <c r="N1684" s="8"/>
    </row>
    <row r="1685" spans="1:14" x14ac:dyDescent="0.25">
      <c r="A1685" s="8">
        <v>40984</v>
      </c>
      <c r="B1685">
        <v>1088498.52</v>
      </c>
      <c r="C1685">
        <v>0</v>
      </c>
      <c r="D1685">
        <v>64.44</v>
      </c>
      <c r="E1685">
        <v>4.2729999999999997</v>
      </c>
      <c r="F1685">
        <v>130.82619349999999</v>
      </c>
      <c r="G1685">
        <v>12.186999999999999</v>
      </c>
      <c r="N1685" s="8"/>
    </row>
    <row r="1686" spans="1:14" x14ac:dyDescent="0.25">
      <c r="A1686" s="8">
        <v>40991</v>
      </c>
      <c r="B1686">
        <v>1045419.87</v>
      </c>
      <c r="C1686">
        <v>0</v>
      </c>
      <c r="D1686">
        <v>56.26</v>
      </c>
      <c r="E1686">
        <v>4.0380000000000003</v>
      </c>
      <c r="F1686">
        <v>130.89664519999999</v>
      </c>
      <c r="G1686">
        <v>12.186999999999999</v>
      </c>
      <c r="N1686" s="8"/>
    </row>
    <row r="1687" spans="1:14" x14ac:dyDescent="0.25">
      <c r="A1687" s="8">
        <v>40998</v>
      </c>
      <c r="B1687">
        <v>1025382.22</v>
      </c>
      <c r="C1687">
        <v>0</v>
      </c>
      <c r="D1687">
        <v>64.36</v>
      </c>
      <c r="E1687">
        <v>4.2939999999999996</v>
      </c>
      <c r="F1687">
        <v>130.96709680000001</v>
      </c>
      <c r="G1687">
        <v>12.186999999999999</v>
      </c>
      <c r="N1687" s="8"/>
    </row>
    <row r="1688" spans="1:14" x14ac:dyDescent="0.25">
      <c r="A1688" s="8">
        <v>41005</v>
      </c>
      <c r="B1688">
        <v>1128765.71</v>
      </c>
      <c r="C1688">
        <v>0</v>
      </c>
      <c r="D1688">
        <v>64.05</v>
      </c>
      <c r="E1688">
        <v>4.1210000000000004</v>
      </c>
      <c r="F1688">
        <v>131.03754839999999</v>
      </c>
      <c r="G1688">
        <v>11.627000000000001</v>
      </c>
      <c r="N1688" s="8"/>
    </row>
    <row r="1689" spans="1:14" x14ac:dyDescent="0.25">
      <c r="A1689" s="8">
        <v>41012</v>
      </c>
      <c r="B1689">
        <v>1083811.19</v>
      </c>
      <c r="C1689">
        <v>0</v>
      </c>
      <c r="D1689">
        <v>64.28</v>
      </c>
      <c r="E1689">
        <v>4.2539999999999996</v>
      </c>
      <c r="F1689">
        <v>131.108</v>
      </c>
      <c r="G1689">
        <v>11.627000000000001</v>
      </c>
      <c r="N1689" s="8"/>
    </row>
    <row r="1690" spans="1:14" x14ac:dyDescent="0.25">
      <c r="A1690" s="8">
        <v>41019</v>
      </c>
      <c r="B1690">
        <v>1006486.96</v>
      </c>
      <c r="C1690">
        <v>0</v>
      </c>
      <c r="D1690">
        <v>66.73</v>
      </c>
      <c r="E1690">
        <v>4.2220000000000004</v>
      </c>
      <c r="F1690">
        <v>131.11733330000001</v>
      </c>
      <c r="G1690">
        <v>11.627000000000001</v>
      </c>
      <c r="N1690" s="8"/>
    </row>
    <row r="1691" spans="1:14" x14ac:dyDescent="0.25">
      <c r="A1691" s="8">
        <v>41026</v>
      </c>
      <c r="B1691">
        <v>1004252.38</v>
      </c>
      <c r="C1691">
        <v>0</v>
      </c>
      <c r="D1691">
        <v>77.989999999999995</v>
      </c>
      <c r="E1691">
        <v>4.1929999999999996</v>
      </c>
      <c r="F1691">
        <v>131.12666669999999</v>
      </c>
      <c r="G1691">
        <v>11.627000000000001</v>
      </c>
      <c r="N1691" s="8"/>
    </row>
    <row r="1692" spans="1:14" x14ac:dyDescent="0.25">
      <c r="A1692" s="8">
        <v>41033</v>
      </c>
      <c r="B1692">
        <v>1073433.69</v>
      </c>
      <c r="C1692">
        <v>0</v>
      </c>
      <c r="D1692">
        <v>76.03</v>
      </c>
      <c r="E1692">
        <v>4.1710000000000003</v>
      </c>
      <c r="F1692">
        <v>131.136</v>
      </c>
      <c r="G1692">
        <v>11.627000000000001</v>
      </c>
      <c r="N1692" s="8"/>
    </row>
    <row r="1693" spans="1:14" x14ac:dyDescent="0.25">
      <c r="A1693" s="8">
        <v>41040</v>
      </c>
      <c r="B1693">
        <v>1041995.22</v>
      </c>
      <c r="C1693">
        <v>0</v>
      </c>
      <c r="D1693">
        <v>77.27</v>
      </c>
      <c r="E1693">
        <v>4.1859999999999999</v>
      </c>
      <c r="F1693">
        <v>131.1453333</v>
      </c>
      <c r="G1693">
        <v>11.627000000000001</v>
      </c>
      <c r="N1693" s="8"/>
    </row>
    <row r="1694" spans="1:14" x14ac:dyDescent="0.25">
      <c r="A1694" s="8">
        <v>41047</v>
      </c>
      <c r="B1694">
        <v>1020486.05</v>
      </c>
      <c r="C1694">
        <v>0</v>
      </c>
      <c r="D1694">
        <v>84.51</v>
      </c>
      <c r="E1694">
        <v>4.1100000000000003</v>
      </c>
      <c r="F1694">
        <v>131.09832259999999</v>
      </c>
      <c r="G1694">
        <v>11.627000000000001</v>
      </c>
      <c r="N1694" s="8"/>
    </row>
    <row r="1695" spans="1:14" x14ac:dyDescent="0.25">
      <c r="A1695" s="8">
        <v>41054</v>
      </c>
      <c r="B1695">
        <v>991514.21</v>
      </c>
      <c r="C1695">
        <v>0</v>
      </c>
      <c r="D1695">
        <v>83.84</v>
      </c>
      <c r="E1695">
        <v>4.2930000000000001</v>
      </c>
      <c r="F1695">
        <v>131.02877419999999</v>
      </c>
      <c r="G1695">
        <v>11.627000000000001</v>
      </c>
      <c r="N1695" s="8"/>
    </row>
    <row r="1696" spans="1:14" x14ac:dyDescent="0.25">
      <c r="A1696" s="8">
        <v>41061</v>
      </c>
      <c r="B1696">
        <v>981345.2</v>
      </c>
      <c r="C1696">
        <v>0</v>
      </c>
      <c r="D1696">
        <v>78.11</v>
      </c>
      <c r="E1696">
        <v>4.2770000000000001</v>
      </c>
      <c r="F1696">
        <v>130.95922580000001</v>
      </c>
      <c r="G1696">
        <v>11.627000000000001</v>
      </c>
      <c r="N1696" s="8"/>
    </row>
    <row r="1697" spans="1:14" x14ac:dyDescent="0.25">
      <c r="A1697" s="8">
        <v>41068</v>
      </c>
      <c r="B1697">
        <v>1086231.47</v>
      </c>
      <c r="C1697">
        <v>0</v>
      </c>
      <c r="D1697">
        <v>84.83</v>
      </c>
      <c r="E1697">
        <v>4.1029999999999998</v>
      </c>
      <c r="F1697">
        <v>130.88967740000001</v>
      </c>
      <c r="G1697">
        <v>11.627000000000001</v>
      </c>
      <c r="N1697" s="8"/>
    </row>
    <row r="1698" spans="1:14" x14ac:dyDescent="0.25">
      <c r="A1698" s="8">
        <v>41075</v>
      </c>
      <c r="B1698">
        <v>1019555.51</v>
      </c>
      <c r="C1698">
        <v>0</v>
      </c>
      <c r="D1698">
        <v>85.94</v>
      </c>
      <c r="E1698">
        <v>4.1440000000000001</v>
      </c>
      <c r="F1698">
        <v>130.82953330000001</v>
      </c>
      <c r="G1698">
        <v>11.627000000000001</v>
      </c>
      <c r="N1698" s="8"/>
    </row>
    <row r="1699" spans="1:14" x14ac:dyDescent="0.25">
      <c r="A1699" s="8">
        <v>41082</v>
      </c>
      <c r="B1699">
        <v>981386.25</v>
      </c>
      <c r="C1699">
        <v>0</v>
      </c>
      <c r="D1699">
        <v>91.61</v>
      </c>
      <c r="E1699">
        <v>4.0140000000000002</v>
      </c>
      <c r="F1699">
        <v>130.7929</v>
      </c>
      <c r="G1699">
        <v>11.627000000000001</v>
      </c>
      <c r="N1699" s="8"/>
    </row>
    <row r="1700" spans="1:14" x14ac:dyDescent="0.25">
      <c r="A1700" s="8">
        <v>41089</v>
      </c>
      <c r="B1700">
        <v>943124.74</v>
      </c>
      <c r="C1700">
        <v>0</v>
      </c>
      <c r="D1700">
        <v>90.47</v>
      </c>
      <c r="E1700">
        <v>3.875</v>
      </c>
      <c r="F1700">
        <v>130.7562667</v>
      </c>
      <c r="G1700">
        <v>11.627000000000001</v>
      </c>
      <c r="N1700" s="8"/>
    </row>
    <row r="1701" spans="1:14" x14ac:dyDescent="0.25">
      <c r="A1701" s="8">
        <v>41096</v>
      </c>
      <c r="B1701">
        <v>1014898.78</v>
      </c>
      <c r="C1701">
        <v>0</v>
      </c>
      <c r="D1701">
        <v>89.13</v>
      </c>
      <c r="E1701">
        <v>3.7650000000000001</v>
      </c>
      <c r="F1701">
        <v>130.7196333</v>
      </c>
      <c r="G1701">
        <v>10.926</v>
      </c>
      <c r="N1701" s="8"/>
    </row>
    <row r="1702" spans="1:14" x14ac:dyDescent="0.25">
      <c r="A1702" s="8">
        <v>41103</v>
      </c>
      <c r="B1702">
        <v>960312.75</v>
      </c>
      <c r="C1702">
        <v>0</v>
      </c>
      <c r="D1702">
        <v>95.61</v>
      </c>
      <c r="E1702">
        <v>3.7229999999999999</v>
      </c>
      <c r="F1702">
        <v>130.68299999999999</v>
      </c>
      <c r="G1702">
        <v>10.926</v>
      </c>
      <c r="N1702" s="8"/>
    </row>
    <row r="1703" spans="1:14" x14ac:dyDescent="0.25">
      <c r="A1703" s="8">
        <v>41110</v>
      </c>
      <c r="B1703">
        <v>941550.34</v>
      </c>
      <c r="C1703">
        <v>0</v>
      </c>
      <c r="D1703">
        <v>85.53</v>
      </c>
      <c r="E1703">
        <v>3.726</v>
      </c>
      <c r="F1703">
        <v>130.70129030000001</v>
      </c>
      <c r="G1703">
        <v>10.926</v>
      </c>
      <c r="N1703" s="8"/>
    </row>
    <row r="1704" spans="1:14" x14ac:dyDescent="0.25">
      <c r="A1704" s="8">
        <v>41117</v>
      </c>
      <c r="B1704">
        <v>916967.92</v>
      </c>
      <c r="C1704">
        <v>0</v>
      </c>
      <c r="D1704">
        <v>93.47</v>
      </c>
      <c r="E1704">
        <v>3.7690000000000001</v>
      </c>
      <c r="F1704">
        <v>130.7195806</v>
      </c>
      <c r="G1704">
        <v>10.926</v>
      </c>
      <c r="N1704" s="8"/>
    </row>
    <row r="1705" spans="1:14" x14ac:dyDescent="0.25">
      <c r="A1705" s="8">
        <v>41124</v>
      </c>
      <c r="B1705">
        <v>958667.23</v>
      </c>
      <c r="C1705">
        <v>0</v>
      </c>
      <c r="D1705">
        <v>88.16</v>
      </c>
      <c r="E1705">
        <v>3.76</v>
      </c>
      <c r="F1705">
        <v>130.73787100000001</v>
      </c>
      <c r="G1705">
        <v>10.926</v>
      </c>
      <c r="N1705" s="8"/>
    </row>
    <row r="1706" spans="1:14" x14ac:dyDescent="0.25">
      <c r="A1706" s="8">
        <v>41131</v>
      </c>
      <c r="B1706">
        <v>984689.9</v>
      </c>
      <c r="C1706">
        <v>0</v>
      </c>
      <c r="D1706">
        <v>95.91</v>
      </c>
      <c r="E1706">
        <v>3.8109999999999999</v>
      </c>
      <c r="F1706">
        <v>130.7561613</v>
      </c>
      <c r="G1706">
        <v>10.926</v>
      </c>
      <c r="N1706" s="8"/>
    </row>
    <row r="1707" spans="1:14" x14ac:dyDescent="0.25">
      <c r="A1707" s="8">
        <v>41138</v>
      </c>
      <c r="B1707">
        <v>1005003.12</v>
      </c>
      <c r="C1707">
        <v>0</v>
      </c>
      <c r="D1707">
        <v>94.87</v>
      </c>
      <c r="E1707">
        <v>4.0019999999999998</v>
      </c>
      <c r="F1707">
        <v>130.79096770000001</v>
      </c>
      <c r="G1707">
        <v>10.926</v>
      </c>
      <c r="N1707" s="8"/>
    </row>
    <row r="1708" spans="1:14" x14ac:dyDescent="0.25">
      <c r="A1708" s="8">
        <v>41145</v>
      </c>
      <c r="B1708">
        <v>1048101.39</v>
      </c>
      <c r="C1708">
        <v>0</v>
      </c>
      <c r="D1708">
        <v>85.32</v>
      </c>
      <c r="E1708">
        <v>4.0549999999999997</v>
      </c>
      <c r="F1708">
        <v>130.8381613</v>
      </c>
      <c r="G1708">
        <v>10.926</v>
      </c>
      <c r="N1708" s="8"/>
    </row>
    <row r="1709" spans="1:14" x14ac:dyDescent="0.25">
      <c r="A1709" s="8">
        <v>41152</v>
      </c>
      <c r="B1709">
        <v>1061943.49</v>
      </c>
      <c r="C1709">
        <v>0</v>
      </c>
      <c r="D1709">
        <v>89.78</v>
      </c>
      <c r="E1709">
        <v>4.093</v>
      </c>
      <c r="F1709">
        <v>130.88535479999999</v>
      </c>
      <c r="G1709">
        <v>10.926</v>
      </c>
      <c r="N1709" s="8"/>
    </row>
    <row r="1710" spans="1:14" x14ac:dyDescent="0.25">
      <c r="A1710" s="8">
        <v>41159</v>
      </c>
      <c r="B1710">
        <v>955146.04</v>
      </c>
      <c r="C1710">
        <v>1</v>
      </c>
      <c r="D1710">
        <v>88.52</v>
      </c>
      <c r="E1710">
        <v>4.1239999999999997</v>
      </c>
      <c r="F1710">
        <v>130.9325484</v>
      </c>
      <c r="G1710">
        <v>10.926</v>
      </c>
      <c r="N1710" s="8"/>
    </row>
    <row r="1711" spans="1:14" x14ac:dyDescent="0.25">
      <c r="A1711" s="8">
        <v>41166</v>
      </c>
      <c r="B1711">
        <v>885892.37</v>
      </c>
      <c r="C1711">
        <v>0</v>
      </c>
      <c r="D1711">
        <v>83.64</v>
      </c>
      <c r="E1711">
        <v>4.133</v>
      </c>
      <c r="F1711">
        <v>130.97766669999999</v>
      </c>
      <c r="G1711">
        <v>10.926</v>
      </c>
      <c r="N1711" s="8"/>
    </row>
    <row r="1712" spans="1:14" x14ac:dyDescent="0.25">
      <c r="A1712" s="8">
        <v>41173</v>
      </c>
      <c r="B1712">
        <v>922735.37</v>
      </c>
      <c r="C1712">
        <v>0</v>
      </c>
      <c r="D1712">
        <v>82.97</v>
      </c>
      <c r="E1712">
        <v>4.125</v>
      </c>
      <c r="F1712">
        <v>131.01033330000001</v>
      </c>
      <c r="G1712">
        <v>10.926</v>
      </c>
      <c r="N1712" s="8"/>
    </row>
    <row r="1713" spans="1:14" x14ac:dyDescent="0.25">
      <c r="A1713" s="8">
        <v>41180</v>
      </c>
      <c r="B1713">
        <v>880415.67</v>
      </c>
      <c r="C1713">
        <v>0</v>
      </c>
      <c r="D1713">
        <v>81.22</v>
      </c>
      <c r="E1713">
        <v>3.9660000000000002</v>
      </c>
      <c r="F1713">
        <v>131.04300000000001</v>
      </c>
      <c r="G1713">
        <v>10.926</v>
      </c>
      <c r="N1713" s="8"/>
    </row>
    <row r="1714" spans="1:14" x14ac:dyDescent="0.25">
      <c r="A1714" s="8">
        <v>41187</v>
      </c>
      <c r="B1714">
        <v>979825.92</v>
      </c>
      <c r="C1714">
        <v>0</v>
      </c>
      <c r="D1714">
        <v>81.61</v>
      </c>
      <c r="E1714">
        <v>3.9660000000000002</v>
      </c>
      <c r="F1714">
        <v>131.0756667</v>
      </c>
      <c r="G1714">
        <v>10.199</v>
      </c>
      <c r="N1714" s="8"/>
    </row>
    <row r="1715" spans="1:14" x14ac:dyDescent="0.25">
      <c r="A1715" s="8">
        <v>41194</v>
      </c>
      <c r="B1715">
        <v>934917.47</v>
      </c>
      <c r="C1715">
        <v>0</v>
      </c>
      <c r="D1715">
        <v>71.739999999999995</v>
      </c>
      <c r="E1715">
        <v>4.468</v>
      </c>
      <c r="F1715">
        <v>131.1083333</v>
      </c>
      <c r="G1715">
        <v>10.199</v>
      </c>
      <c r="N1715" s="8"/>
    </row>
    <row r="1716" spans="1:14" x14ac:dyDescent="0.25">
      <c r="A1716" s="8">
        <v>41201</v>
      </c>
      <c r="B1716">
        <v>960945.43</v>
      </c>
      <c r="C1716">
        <v>0</v>
      </c>
      <c r="D1716">
        <v>68.66</v>
      </c>
      <c r="E1716">
        <v>4.4489999999999998</v>
      </c>
      <c r="F1716">
        <v>131.14996769999999</v>
      </c>
      <c r="G1716">
        <v>10.199</v>
      </c>
      <c r="N1716" s="8"/>
    </row>
    <row r="1717" spans="1:14" x14ac:dyDescent="0.25">
      <c r="A1717" s="8">
        <v>41208</v>
      </c>
      <c r="B1717">
        <v>974697.6</v>
      </c>
      <c r="C1717">
        <v>0</v>
      </c>
      <c r="D1717">
        <v>65.95</v>
      </c>
      <c r="E1717">
        <v>4.3010000000000002</v>
      </c>
      <c r="F1717">
        <v>131.19309680000001</v>
      </c>
      <c r="G1717">
        <v>10.199</v>
      </c>
      <c r="N1717" s="8"/>
    </row>
    <row r="1718" spans="1:14" x14ac:dyDescent="0.25">
      <c r="A1718" s="8">
        <v>40214</v>
      </c>
      <c r="B1718">
        <v>1967220.53</v>
      </c>
      <c r="C1718">
        <v>0</v>
      </c>
      <c r="D1718">
        <v>31.53</v>
      </c>
      <c r="E1718">
        <v>2.6659999999999999</v>
      </c>
      <c r="F1718">
        <v>126.4420645</v>
      </c>
      <c r="G1718">
        <v>8.3160000000000007</v>
      </c>
      <c r="N1718" s="8"/>
    </row>
    <row r="1719" spans="1:14" x14ac:dyDescent="0.25">
      <c r="A1719" s="8">
        <v>40221</v>
      </c>
      <c r="B1719">
        <v>2030933.46</v>
      </c>
      <c r="C1719">
        <v>1</v>
      </c>
      <c r="D1719">
        <v>33.159999999999997</v>
      </c>
      <c r="E1719">
        <v>2.6709999999999998</v>
      </c>
      <c r="F1719">
        <v>126.49625810000001</v>
      </c>
      <c r="G1719">
        <v>8.3160000000000007</v>
      </c>
      <c r="N1719" s="8"/>
    </row>
    <row r="1720" spans="1:14" x14ac:dyDescent="0.25">
      <c r="A1720" s="8">
        <v>40228</v>
      </c>
      <c r="B1720">
        <v>1970274.64</v>
      </c>
      <c r="C1720">
        <v>0</v>
      </c>
      <c r="D1720">
        <v>35.700000000000003</v>
      </c>
      <c r="E1720">
        <v>2.6539999999999999</v>
      </c>
      <c r="F1720">
        <v>126.5262857</v>
      </c>
      <c r="G1720">
        <v>8.3160000000000007</v>
      </c>
      <c r="N1720" s="8"/>
    </row>
    <row r="1721" spans="1:14" x14ac:dyDescent="0.25">
      <c r="A1721" s="8">
        <v>40235</v>
      </c>
      <c r="B1721">
        <v>1817850.32</v>
      </c>
      <c r="C1721">
        <v>0</v>
      </c>
      <c r="D1721">
        <v>29.98</v>
      </c>
      <c r="E1721">
        <v>2.6669999999999998</v>
      </c>
      <c r="F1721">
        <v>126.5522857</v>
      </c>
      <c r="G1721">
        <v>8.3160000000000007</v>
      </c>
      <c r="N1721" s="8"/>
    </row>
    <row r="1722" spans="1:14" x14ac:dyDescent="0.25">
      <c r="A1722" s="8">
        <v>40242</v>
      </c>
      <c r="B1722">
        <v>1939980.43</v>
      </c>
      <c r="C1722">
        <v>0</v>
      </c>
      <c r="D1722">
        <v>40.65</v>
      </c>
      <c r="E1722">
        <v>2.681</v>
      </c>
      <c r="F1722">
        <v>126.5782857</v>
      </c>
      <c r="G1722">
        <v>8.3160000000000007</v>
      </c>
      <c r="N1722" s="8"/>
    </row>
    <row r="1723" spans="1:14" x14ac:dyDescent="0.25">
      <c r="A1723" s="8">
        <v>40249</v>
      </c>
      <c r="B1723">
        <v>1840686.94</v>
      </c>
      <c r="C1723">
        <v>0</v>
      </c>
      <c r="D1723">
        <v>37.619999999999997</v>
      </c>
      <c r="E1723">
        <v>2.7330000000000001</v>
      </c>
      <c r="F1723">
        <v>126.60428570000001</v>
      </c>
      <c r="G1723">
        <v>8.3160000000000007</v>
      </c>
      <c r="N1723" s="8"/>
    </row>
    <row r="1724" spans="1:14" x14ac:dyDescent="0.25">
      <c r="A1724" s="8">
        <v>40256</v>
      </c>
      <c r="B1724">
        <v>1879794.89</v>
      </c>
      <c r="C1724">
        <v>0</v>
      </c>
      <c r="D1724">
        <v>42.49</v>
      </c>
      <c r="E1724">
        <v>2.782</v>
      </c>
      <c r="F1724">
        <v>126.6066452</v>
      </c>
      <c r="G1724">
        <v>8.3160000000000007</v>
      </c>
      <c r="N1724" s="8"/>
    </row>
    <row r="1725" spans="1:14" x14ac:dyDescent="0.25">
      <c r="A1725" s="8">
        <v>40263</v>
      </c>
      <c r="B1725">
        <v>1882095.98</v>
      </c>
      <c r="C1725">
        <v>0</v>
      </c>
      <c r="D1725">
        <v>41.48</v>
      </c>
      <c r="E1725">
        <v>2.819</v>
      </c>
      <c r="F1725">
        <v>126.6050645</v>
      </c>
      <c r="G1725">
        <v>8.3160000000000007</v>
      </c>
      <c r="N1725" s="8"/>
    </row>
    <row r="1726" spans="1:14" x14ac:dyDescent="0.25">
      <c r="A1726" s="8">
        <v>40270</v>
      </c>
      <c r="B1726">
        <v>2142482.14</v>
      </c>
      <c r="C1726">
        <v>0</v>
      </c>
      <c r="D1726">
        <v>42.15</v>
      </c>
      <c r="E1726">
        <v>2.8420000000000001</v>
      </c>
      <c r="F1726">
        <v>126.6034839</v>
      </c>
      <c r="G1726">
        <v>8.1069999999999993</v>
      </c>
      <c r="N1726" s="8"/>
    </row>
    <row r="1727" spans="1:14" x14ac:dyDescent="0.25">
      <c r="A1727" s="8">
        <v>40277</v>
      </c>
      <c r="B1727">
        <v>1898321.33</v>
      </c>
      <c r="C1727">
        <v>0</v>
      </c>
      <c r="D1727">
        <v>38.97</v>
      </c>
      <c r="E1727">
        <v>2.8769999999999998</v>
      </c>
      <c r="F1727">
        <v>126.6019032</v>
      </c>
      <c r="G1727">
        <v>8.1069999999999993</v>
      </c>
      <c r="N1727" s="8"/>
    </row>
    <row r="1728" spans="1:14" x14ac:dyDescent="0.25">
      <c r="A1728" s="8">
        <v>40284</v>
      </c>
      <c r="B1728">
        <v>1819660.44</v>
      </c>
      <c r="C1728">
        <v>0</v>
      </c>
      <c r="D1728">
        <v>50.39</v>
      </c>
      <c r="E1728">
        <v>2.915</v>
      </c>
      <c r="F1728">
        <v>126.5621</v>
      </c>
      <c r="G1728">
        <v>8.1069999999999993</v>
      </c>
      <c r="N1728" s="8"/>
    </row>
    <row r="1729" spans="1:14" x14ac:dyDescent="0.25">
      <c r="A1729" s="8">
        <v>40291</v>
      </c>
      <c r="B1729">
        <v>1909330.77</v>
      </c>
      <c r="C1729">
        <v>0</v>
      </c>
      <c r="D1729">
        <v>55.66</v>
      </c>
      <c r="E1729">
        <v>2.9359999999999999</v>
      </c>
      <c r="F1729">
        <v>126.4713333</v>
      </c>
      <c r="G1729">
        <v>8.1069999999999993</v>
      </c>
      <c r="N1729" s="8"/>
    </row>
    <row r="1730" spans="1:14" x14ac:dyDescent="0.25">
      <c r="A1730" s="8">
        <v>40298</v>
      </c>
      <c r="B1730">
        <v>1785823.37</v>
      </c>
      <c r="C1730">
        <v>0</v>
      </c>
      <c r="D1730">
        <v>48.33</v>
      </c>
      <c r="E1730">
        <v>2.9409999999999998</v>
      </c>
      <c r="F1730">
        <v>126.3805667</v>
      </c>
      <c r="G1730">
        <v>8.1069999999999993</v>
      </c>
      <c r="N1730" s="8"/>
    </row>
    <row r="1731" spans="1:14" x14ac:dyDescent="0.25">
      <c r="A1731" s="8">
        <v>40305</v>
      </c>
      <c r="B1731">
        <v>2005478.46</v>
      </c>
      <c r="C1731">
        <v>0</v>
      </c>
      <c r="D1731">
        <v>44.42</v>
      </c>
      <c r="E1731">
        <v>2.948</v>
      </c>
      <c r="F1731">
        <v>126.2898</v>
      </c>
      <c r="G1731">
        <v>8.1069999999999993</v>
      </c>
      <c r="N1731" s="8"/>
    </row>
    <row r="1732" spans="1:14" x14ac:dyDescent="0.25">
      <c r="A1732" s="8">
        <v>40312</v>
      </c>
      <c r="B1732">
        <v>1890273.44</v>
      </c>
      <c r="C1732">
        <v>0</v>
      </c>
      <c r="D1732">
        <v>50.15</v>
      </c>
      <c r="E1732">
        <v>2.9620000000000002</v>
      </c>
      <c r="F1732">
        <v>126.2085484</v>
      </c>
      <c r="G1732">
        <v>8.1069999999999993</v>
      </c>
      <c r="N1732" s="8"/>
    </row>
    <row r="1733" spans="1:14" x14ac:dyDescent="0.25">
      <c r="A1733" s="8">
        <v>40319</v>
      </c>
      <c r="B1733">
        <v>1853657.6</v>
      </c>
      <c r="C1733">
        <v>0</v>
      </c>
      <c r="D1733">
        <v>57.71</v>
      </c>
      <c r="E1733">
        <v>2.95</v>
      </c>
      <c r="F1733">
        <v>126.1843871</v>
      </c>
      <c r="G1733">
        <v>8.1069999999999993</v>
      </c>
      <c r="N1733" s="8"/>
    </row>
    <row r="1734" spans="1:14" x14ac:dyDescent="0.25">
      <c r="A1734" s="8">
        <v>40326</v>
      </c>
      <c r="B1734">
        <v>1877358.86</v>
      </c>
      <c r="C1734">
        <v>0</v>
      </c>
      <c r="D1734">
        <v>53.11</v>
      </c>
      <c r="E1734">
        <v>2.9079999999999999</v>
      </c>
      <c r="F1734">
        <v>126.16022580000001</v>
      </c>
      <c r="G1734">
        <v>8.1069999999999993</v>
      </c>
      <c r="N1734" s="8"/>
    </row>
    <row r="1735" spans="1:14" x14ac:dyDescent="0.25">
      <c r="A1735" s="8">
        <v>40333</v>
      </c>
      <c r="B1735">
        <v>2022705.22</v>
      </c>
      <c r="C1735">
        <v>0</v>
      </c>
      <c r="D1735">
        <v>59.85</v>
      </c>
      <c r="E1735">
        <v>2.871</v>
      </c>
      <c r="F1735">
        <v>126.1360645</v>
      </c>
      <c r="G1735">
        <v>8.1069999999999993</v>
      </c>
      <c r="N1735" s="8"/>
    </row>
    <row r="1736" spans="1:14" x14ac:dyDescent="0.25">
      <c r="A1736" s="8">
        <v>40340</v>
      </c>
      <c r="B1736">
        <v>2037880.96</v>
      </c>
      <c r="C1736">
        <v>0</v>
      </c>
      <c r="D1736">
        <v>65.239999999999995</v>
      </c>
      <c r="E1736">
        <v>2.8410000000000002</v>
      </c>
      <c r="F1736">
        <v>126.1119032</v>
      </c>
      <c r="G1736">
        <v>8.1069999999999993</v>
      </c>
      <c r="N1736" s="8"/>
    </row>
    <row r="1737" spans="1:14" x14ac:dyDescent="0.25">
      <c r="A1737" s="8">
        <v>40347</v>
      </c>
      <c r="B1737">
        <v>2003435.31</v>
      </c>
      <c r="C1737">
        <v>0</v>
      </c>
      <c r="D1737">
        <v>58.41</v>
      </c>
      <c r="E1737">
        <v>2.819</v>
      </c>
      <c r="F1737">
        <v>126.114</v>
      </c>
      <c r="G1737">
        <v>8.1069999999999993</v>
      </c>
      <c r="N1737" s="8"/>
    </row>
    <row r="1738" spans="1:14" x14ac:dyDescent="0.25">
      <c r="A1738" s="8">
        <v>40354</v>
      </c>
      <c r="B1738">
        <v>1970340.25</v>
      </c>
      <c r="C1738">
        <v>0</v>
      </c>
      <c r="D1738">
        <v>71.83</v>
      </c>
      <c r="E1738">
        <v>2.82</v>
      </c>
      <c r="F1738">
        <v>126.1266</v>
      </c>
      <c r="G1738">
        <v>8.1069999999999993</v>
      </c>
      <c r="N1738" s="8"/>
    </row>
    <row r="1739" spans="1:14" x14ac:dyDescent="0.25">
      <c r="A1739" s="8">
        <v>40361</v>
      </c>
      <c r="B1739">
        <v>2018314.71</v>
      </c>
      <c r="C1739">
        <v>0</v>
      </c>
      <c r="D1739">
        <v>78.819999999999993</v>
      </c>
      <c r="E1739">
        <v>2.8140000000000001</v>
      </c>
      <c r="F1739">
        <v>126.1392</v>
      </c>
      <c r="G1739">
        <v>7.9509999999999996</v>
      </c>
      <c r="N1739" s="8"/>
    </row>
    <row r="1740" spans="1:14" x14ac:dyDescent="0.25">
      <c r="A1740" s="8">
        <v>40368</v>
      </c>
      <c r="B1740">
        <v>1870843.9</v>
      </c>
      <c r="C1740">
        <v>0</v>
      </c>
      <c r="D1740">
        <v>71.33</v>
      </c>
      <c r="E1740">
        <v>2.802</v>
      </c>
      <c r="F1740">
        <v>126.15179999999999</v>
      </c>
      <c r="G1740">
        <v>7.9509999999999996</v>
      </c>
      <c r="N1740" s="8"/>
    </row>
    <row r="1741" spans="1:14" x14ac:dyDescent="0.25">
      <c r="A1741" s="8">
        <v>40375</v>
      </c>
      <c r="B1741">
        <v>1932231.05</v>
      </c>
      <c r="C1741">
        <v>0</v>
      </c>
      <c r="D1741">
        <v>77.790000000000006</v>
      </c>
      <c r="E1741">
        <v>2.7909999999999999</v>
      </c>
      <c r="F1741">
        <v>126.1498065</v>
      </c>
      <c r="G1741">
        <v>7.9509999999999996</v>
      </c>
      <c r="N1741" s="8"/>
    </row>
    <row r="1742" spans="1:14" x14ac:dyDescent="0.25">
      <c r="A1742" s="8">
        <v>40382</v>
      </c>
      <c r="B1742">
        <v>1907351.2</v>
      </c>
      <c r="C1742">
        <v>0</v>
      </c>
      <c r="D1742">
        <v>82.27</v>
      </c>
      <c r="E1742">
        <v>2.7970000000000002</v>
      </c>
      <c r="F1742">
        <v>126.1283548</v>
      </c>
      <c r="G1742">
        <v>7.9509999999999996</v>
      </c>
      <c r="N1742" s="8"/>
    </row>
    <row r="1743" spans="1:14" x14ac:dyDescent="0.25">
      <c r="A1743" s="8">
        <v>40389</v>
      </c>
      <c r="B1743">
        <v>1817887.23</v>
      </c>
      <c r="C1743">
        <v>0</v>
      </c>
      <c r="D1743">
        <v>78.94</v>
      </c>
      <c r="E1743">
        <v>2.7970000000000002</v>
      </c>
      <c r="F1743">
        <v>126.1069032</v>
      </c>
      <c r="G1743">
        <v>7.9509999999999996</v>
      </c>
      <c r="N1743" s="8"/>
    </row>
    <row r="1744" spans="1:14" x14ac:dyDescent="0.25">
      <c r="A1744" s="8">
        <v>40396</v>
      </c>
      <c r="B1744">
        <v>1969121.45</v>
      </c>
      <c r="C1744">
        <v>0</v>
      </c>
      <c r="D1744">
        <v>81.239999999999995</v>
      </c>
      <c r="E1744">
        <v>2.802</v>
      </c>
      <c r="F1744">
        <v>126.0854516</v>
      </c>
      <c r="G1744">
        <v>7.9509999999999996</v>
      </c>
      <c r="N1744" s="8"/>
    </row>
    <row r="1745" spans="1:14" x14ac:dyDescent="0.25">
      <c r="A1745" s="8">
        <v>40403</v>
      </c>
      <c r="B1745">
        <v>1877592.55</v>
      </c>
      <c r="C1745">
        <v>0</v>
      </c>
      <c r="D1745">
        <v>74.930000000000007</v>
      </c>
      <c r="E1745">
        <v>2.8370000000000002</v>
      </c>
      <c r="F1745">
        <v>126.06399999999999</v>
      </c>
      <c r="G1745">
        <v>7.9509999999999996</v>
      </c>
      <c r="N1745" s="8"/>
    </row>
    <row r="1746" spans="1:14" x14ac:dyDescent="0.25">
      <c r="A1746" s="8">
        <v>40410</v>
      </c>
      <c r="B1746">
        <v>1997397.63</v>
      </c>
      <c r="C1746">
        <v>0</v>
      </c>
      <c r="D1746">
        <v>76.34</v>
      </c>
      <c r="E1746">
        <v>2.85</v>
      </c>
      <c r="F1746">
        <v>126.0766452</v>
      </c>
      <c r="G1746">
        <v>7.9509999999999996</v>
      </c>
      <c r="N1746" s="8"/>
    </row>
    <row r="1747" spans="1:14" x14ac:dyDescent="0.25">
      <c r="A1747" s="8">
        <v>40417</v>
      </c>
      <c r="B1747">
        <v>1908278.27</v>
      </c>
      <c r="C1747">
        <v>0</v>
      </c>
      <c r="D1747">
        <v>75.31</v>
      </c>
      <c r="E1747">
        <v>2.8540000000000001</v>
      </c>
      <c r="F1747">
        <v>126.0892903</v>
      </c>
      <c r="G1747">
        <v>7.9509999999999996</v>
      </c>
      <c r="N1747" s="8"/>
    </row>
    <row r="1748" spans="1:14" x14ac:dyDescent="0.25">
      <c r="A1748" s="8">
        <v>40424</v>
      </c>
      <c r="B1748">
        <v>1911852.58</v>
      </c>
      <c r="C1748">
        <v>0</v>
      </c>
      <c r="D1748">
        <v>65.709999999999994</v>
      </c>
      <c r="E1748">
        <v>2.8679999999999999</v>
      </c>
      <c r="F1748">
        <v>126.1019355</v>
      </c>
      <c r="G1748">
        <v>7.9509999999999996</v>
      </c>
      <c r="N1748" s="8"/>
    </row>
    <row r="1749" spans="1:14" x14ac:dyDescent="0.25">
      <c r="A1749" s="8">
        <v>40431</v>
      </c>
      <c r="B1749">
        <v>1772143.94</v>
      </c>
      <c r="C1749">
        <v>1</v>
      </c>
      <c r="D1749">
        <v>65.739999999999995</v>
      </c>
      <c r="E1749">
        <v>2.87</v>
      </c>
      <c r="F1749">
        <v>126.1145806</v>
      </c>
      <c r="G1749">
        <v>7.9509999999999996</v>
      </c>
      <c r="N1749" s="8"/>
    </row>
    <row r="1750" spans="1:14" x14ac:dyDescent="0.25">
      <c r="A1750" s="8">
        <v>40438</v>
      </c>
      <c r="B1750">
        <v>1790279.74</v>
      </c>
      <c r="C1750">
        <v>0</v>
      </c>
      <c r="D1750">
        <v>66.84</v>
      </c>
      <c r="E1750">
        <v>2.875</v>
      </c>
      <c r="F1750">
        <v>126.1454667</v>
      </c>
      <c r="G1750">
        <v>7.9509999999999996</v>
      </c>
      <c r="N1750" s="8"/>
    </row>
    <row r="1751" spans="1:14" x14ac:dyDescent="0.25">
      <c r="A1751" s="8">
        <v>40445</v>
      </c>
      <c r="B1751">
        <v>1705655.09</v>
      </c>
      <c r="C1751">
        <v>0</v>
      </c>
      <c r="D1751">
        <v>68.22</v>
      </c>
      <c r="E1751">
        <v>2.8719999999999999</v>
      </c>
      <c r="F1751">
        <v>126.1900333</v>
      </c>
      <c r="G1751">
        <v>7.9509999999999996</v>
      </c>
      <c r="N1751" s="8"/>
    </row>
    <row r="1752" spans="1:14" x14ac:dyDescent="0.25">
      <c r="A1752" s="8">
        <v>40452</v>
      </c>
      <c r="B1752">
        <v>1765584.48</v>
      </c>
      <c r="C1752">
        <v>0</v>
      </c>
      <c r="D1752">
        <v>68.739999999999995</v>
      </c>
      <c r="E1752">
        <v>2.8530000000000002</v>
      </c>
      <c r="F1752">
        <v>126.2346</v>
      </c>
      <c r="G1752">
        <v>7.7949999999999999</v>
      </c>
      <c r="N1752" s="8"/>
    </row>
    <row r="1753" spans="1:14" x14ac:dyDescent="0.25">
      <c r="A1753" s="8">
        <v>40459</v>
      </c>
      <c r="B1753">
        <v>1871924.07</v>
      </c>
      <c r="C1753">
        <v>0</v>
      </c>
      <c r="D1753">
        <v>63.03</v>
      </c>
      <c r="E1753">
        <v>2.8410000000000002</v>
      </c>
      <c r="F1753">
        <v>126.2791667</v>
      </c>
      <c r="G1753">
        <v>7.7949999999999999</v>
      </c>
      <c r="N1753" s="8"/>
    </row>
    <row r="1754" spans="1:14" x14ac:dyDescent="0.25">
      <c r="A1754" s="8">
        <v>40466</v>
      </c>
      <c r="B1754">
        <v>1851431.06</v>
      </c>
      <c r="C1754">
        <v>0</v>
      </c>
      <c r="D1754">
        <v>54.12</v>
      </c>
      <c r="E1754">
        <v>2.8450000000000002</v>
      </c>
      <c r="F1754">
        <v>126.32667739999999</v>
      </c>
      <c r="G1754">
        <v>7.7949999999999999</v>
      </c>
      <c r="N1754" s="8"/>
    </row>
    <row r="1755" spans="1:14" x14ac:dyDescent="0.25">
      <c r="A1755" s="8">
        <v>40473</v>
      </c>
      <c r="B1755">
        <v>1796949.59</v>
      </c>
      <c r="C1755">
        <v>0</v>
      </c>
      <c r="D1755">
        <v>56.89</v>
      </c>
      <c r="E1755">
        <v>2.8490000000000002</v>
      </c>
      <c r="F1755">
        <v>126.3815484</v>
      </c>
      <c r="G1755">
        <v>7.7949999999999999</v>
      </c>
      <c r="N1755" s="8"/>
    </row>
    <row r="1756" spans="1:14" x14ac:dyDescent="0.25">
      <c r="A1756" s="8">
        <v>40480</v>
      </c>
      <c r="B1756">
        <v>1887895.07</v>
      </c>
      <c r="C1756">
        <v>0</v>
      </c>
      <c r="D1756">
        <v>45.12</v>
      </c>
      <c r="E1756">
        <v>2.8410000000000002</v>
      </c>
      <c r="F1756">
        <v>126.43641940000001</v>
      </c>
      <c r="G1756">
        <v>7.7949999999999999</v>
      </c>
      <c r="N1756" s="8"/>
    </row>
    <row r="1757" spans="1:14" x14ac:dyDescent="0.25">
      <c r="A1757" s="8">
        <v>40487</v>
      </c>
      <c r="B1757">
        <v>1854967.66</v>
      </c>
      <c r="C1757">
        <v>0</v>
      </c>
      <c r="D1757">
        <v>49.96</v>
      </c>
      <c r="E1757">
        <v>2.831</v>
      </c>
      <c r="F1757">
        <v>126.4912903</v>
      </c>
      <c r="G1757">
        <v>7.7949999999999999</v>
      </c>
      <c r="N1757" s="8"/>
    </row>
    <row r="1758" spans="1:14" x14ac:dyDescent="0.25">
      <c r="A1758" s="8">
        <v>40494</v>
      </c>
      <c r="B1758">
        <v>1939964.63</v>
      </c>
      <c r="C1758">
        <v>0</v>
      </c>
      <c r="D1758">
        <v>42.55</v>
      </c>
      <c r="E1758">
        <v>2.831</v>
      </c>
      <c r="F1758">
        <v>126.54616129999999</v>
      </c>
      <c r="G1758">
        <v>7.7949999999999999</v>
      </c>
      <c r="N1758" s="8"/>
    </row>
    <row r="1759" spans="1:14" x14ac:dyDescent="0.25">
      <c r="A1759" s="8">
        <v>40501</v>
      </c>
      <c r="B1759">
        <v>1925393.91</v>
      </c>
      <c r="C1759">
        <v>0</v>
      </c>
      <c r="D1759">
        <v>42</v>
      </c>
      <c r="E1759">
        <v>2.8420000000000001</v>
      </c>
      <c r="F1759">
        <v>126.60720000000001</v>
      </c>
      <c r="G1759">
        <v>7.7949999999999999</v>
      </c>
      <c r="N1759" s="8"/>
    </row>
    <row r="1760" spans="1:14" x14ac:dyDescent="0.25">
      <c r="A1760" s="8">
        <v>40508</v>
      </c>
      <c r="B1760">
        <v>2766400.05</v>
      </c>
      <c r="C1760">
        <v>1</v>
      </c>
      <c r="D1760">
        <v>28.22</v>
      </c>
      <c r="E1760">
        <v>2.83</v>
      </c>
      <c r="F1760">
        <v>126.66926669999999</v>
      </c>
      <c r="G1760">
        <v>7.7949999999999999</v>
      </c>
      <c r="N1760" s="8"/>
    </row>
    <row r="1761" spans="1:14" x14ac:dyDescent="0.25">
      <c r="A1761" s="8">
        <v>40515</v>
      </c>
      <c r="B1761">
        <v>2083379.89</v>
      </c>
      <c r="C1761">
        <v>0</v>
      </c>
      <c r="D1761">
        <v>25.8</v>
      </c>
      <c r="E1761">
        <v>2.8119999999999998</v>
      </c>
      <c r="F1761">
        <v>126.7313333</v>
      </c>
      <c r="G1761">
        <v>7.7949999999999999</v>
      </c>
      <c r="N1761" s="8"/>
    </row>
    <row r="1762" spans="1:14" x14ac:dyDescent="0.25">
      <c r="A1762" s="8">
        <v>40522</v>
      </c>
      <c r="B1762">
        <v>2461468.35</v>
      </c>
      <c r="C1762">
        <v>0</v>
      </c>
      <c r="D1762">
        <v>36.78</v>
      </c>
      <c r="E1762">
        <v>2.8170000000000002</v>
      </c>
      <c r="F1762">
        <v>126.79340000000001</v>
      </c>
      <c r="G1762">
        <v>7.7949999999999999</v>
      </c>
      <c r="N1762" s="8"/>
    </row>
    <row r="1763" spans="1:14" x14ac:dyDescent="0.25">
      <c r="A1763" s="8">
        <v>40529</v>
      </c>
      <c r="B1763">
        <v>2771646.81</v>
      </c>
      <c r="C1763">
        <v>0</v>
      </c>
      <c r="D1763">
        <v>35.21</v>
      </c>
      <c r="E1763">
        <v>2.8420000000000001</v>
      </c>
      <c r="F1763">
        <v>126.8794839</v>
      </c>
      <c r="G1763">
        <v>7.7949999999999999</v>
      </c>
      <c r="N1763" s="8"/>
    </row>
    <row r="1764" spans="1:14" x14ac:dyDescent="0.25">
      <c r="A1764" s="8">
        <v>40536</v>
      </c>
      <c r="B1764">
        <v>3595903.2</v>
      </c>
      <c r="C1764">
        <v>0</v>
      </c>
      <c r="D1764">
        <v>34.9</v>
      </c>
      <c r="E1764">
        <v>2.8460000000000001</v>
      </c>
      <c r="F1764">
        <v>126.9835806</v>
      </c>
      <c r="G1764">
        <v>7.7949999999999999</v>
      </c>
      <c r="N1764" s="8"/>
    </row>
    <row r="1765" spans="1:14" x14ac:dyDescent="0.25">
      <c r="A1765" s="8">
        <v>40543</v>
      </c>
      <c r="B1765">
        <v>1675292</v>
      </c>
      <c r="C1765">
        <v>1</v>
      </c>
      <c r="D1765">
        <v>26.79</v>
      </c>
      <c r="E1765">
        <v>2.8679999999999999</v>
      </c>
      <c r="F1765">
        <v>127.0876774</v>
      </c>
      <c r="G1765">
        <v>7.7949999999999999</v>
      </c>
      <c r="N1765" s="8"/>
    </row>
    <row r="1766" spans="1:14" x14ac:dyDescent="0.25">
      <c r="A1766" s="8">
        <v>40550</v>
      </c>
      <c r="B1766">
        <v>1744544.39</v>
      </c>
      <c r="C1766">
        <v>0</v>
      </c>
      <c r="D1766">
        <v>16.940000000000001</v>
      </c>
      <c r="E1766">
        <v>2.891</v>
      </c>
      <c r="F1766">
        <v>127.1917742</v>
      </c>
      <c r="G1766">
        <v>7.47</v>
      </c>
      <c r="N1766" s="8"/>
    </row>
    <row r="1767" spans="1:14" x14ac:dyDescent="0.25">
      <c r="A1767" s="8">
        <v>40557</v>
      </c>
      <c r="B1767">
        <v>1682316.31</v>
      </c>
      <c r="C1767">
        <v>0</v>
      </c>
      <c r="D1767">
        <v>20.6</v>
      </c>
      <c r="E1767">
        <v>2.903</v>
      </c>
      <c r="F1767">
        <v>127.30093549999999</v>
      </c>
      <c r="G1767">
        <v>7.47</v>
      </c>
      <c r="N1767" s="8"/>
    </row>
    <row r="1768" spans="1:14" x14ac:dyDescent="0.25">
      <c r="A1768" s="8">
        <v>40564</v>
      </c>
      <c r="B1768">
        <v>1770177.37</v>
      </c>
      <c r="C1768">
        <v>0</v>
      </c>
      <c r="D1768">
        <v>34.799999999999997</v>
      </c>
      <c r="E1768">
        <v>2.9340000000000002</v>
      </c>
      <c r="F1768">
        <v>127.4404839</v>
      </c>
      <c r="G1768">
        <v>7.47</v>
      </c>
      <c r="N1768" s="8"/>
    </row>
    <row r="1769" spans="1:14" x14ac:dyDescent="0.25">
      <c r="A1769" s="8">
        <v>40571</v>
      </c>
      <c r="B1769">
        <v>1633663.12</v>
      </c>
      <c r="C1769">
        <v>0</v>
      </c>
      <c r="D1769">
        <v>31.64</v>
      </c>
      <c r="E1769">
        <v>2.96</v>
      </c>
      <c r="F1769">
        <v>127.5800323</v>
      </c>
      <c r="G1769">
        <v>7.47</v>
      </c>
      <c r="N1769" s="8"/>
    </row>
    <row r="1770" spans="1:14" x14ac:dyDescent="0.25">
      <c r="A1770" s="8">
        <v>40578</v>
      </c>
      <c r="B1770">
        <v>1848186.58</v>
      </c>
      <c r="C1770">
        <v>0</v>
      </c>
      <c r="D1770">
        <v>23.35</v>
      </c>
      <c r="E1770">
        <v>2.9740000000000002</v>
      </c>
      <c r="F1770">
        <v>127.7195806</v>
      </c>
      <c r="G1770">
        <v>7.47</v>
      </c>
      <c r="N1770" s="8"/>
    </row>
    <row r="1771" spans="1:14" x14ac:dyDescent="0.25">
      <c r="A1771" s="8">
        <v>40585</v>
      </c>
      <c r="B1771">
        <v>1944438.9</v>
      </c>
      <c r="C1771">
        <v>1</v>
      </c>
      <c r="D1771">
        <v>30.83</v>
      </c>
      <c r="E1771">
        <v>3.0339999999999998</v>
      </c>
      <c r="F1771">
        <v>127.859129</v>
      </c>
      <c r="G1771">
        <v>7.47</v>
      </c>
      <c r="N1771" s="8"/>
    </row>
    <row r="1772" spans="1:14" x14ac:dyDescent="0.25">
      <c r="A1772" s="8">
        <v>40592</v>
      </c>
      <c r="B1772">
        <v>2003480.59</v>
      </c>
      <c r="C1772">
        <v>0</v>
      </c>
      <c r="D1772">
        <v>40.85</v>
      </c>
      <c r="E1772">
        <v>3.0619999999999998</v>
      </c>
      <c r="F1772">
        <v>127.99525</v>
      </c>
      <c r="G1772">
        <v>7.47</v>
      </c>
      <c r="N1772" s="8"/>
    </row>
    <row r="1773" spans="1:14" x14ac:dyDescent="0.25">
      <c r="A1773" s="8">
        <v>40599</v>
      </c>
      <c r="B1773">
        <v>1831933.95</v>
      </c>
      <c r="C1773">
        <v>0</v>
      </c>
      <c r="D1773">
        <v>33.17</v>
      </c>
      <c r="E1773">
        <v>3.12</v>
      </c>
      <c r="F1773">
        <v>128.13</v>
      </c>
      <c r="G1773">
        <v>7.47</v>
      </c>
      <c r="N1773" s="8"/>
    </row>
    <row r="1774" spans="1:14" x14ac:dyDescent="0.25">
      <c r="A1774" s="8">
        <v>40606</v>
      </c>
      <c r="B1774">
        <v>1894960.68</v>
      </c>
      <c r="C1774">
        <v>0</v>
      </c>
      <c r="D1774">
        <v>34.229999999999997</v>
      </c>
      <c r="E1774">
        <v>3.23</v>
      </c>
      <c r="F1774">
        <v>128.26474999999999</v>
      </c>
      <c r="G1774">
        <v>7.47</v>
      </c>
      <c r="N1774" s="8"/>
    </row>
    <row r="1775" spans="1:14" x14ac:dyDescent="0.25">
      <c r="A1775" s="8">
        <v>40613</v>
      </c>
      <c r="B1775">
        <v>1852432.58</v>
      </c>
      <c r="C1775">
        <v>0</v>
      </c>
      <c r="D1775">
        <v>41.28</v>
      </c>
      <c r="E1775">
        <v>3.3460000000000001</v>
      </c>
      <c r="F1775">
        <v>128.39949999999999</v>
      </c>
      <c r="G1775">
        <v>7.47</v>
      </c>
      <c r="N1775" s="8"/>
    </row>
    <row r="1776" spans="1:14" x14ac:dyDescent="0.25">
      <c r="A1776" s="8">
        <v>40620</v>
      </c>
      <c r="B1776">
        <v>1852443.78</v>
      </c>
      <c r="C1776">
        <v>0</v>
      </c>
      <c r="D1776">
        <v>44.69</v>
      </c>
      <c r="E1776">
        <v>3.407</v>
      </c>
      <c r="F1776">
        <v>128.5121935</v>
      </c>
      <c r="G1776">
        <v>7.47</v>
      </c>
      <c r="N1776" s="8"/>
    </row>
    <row r="1777" spans="1:14" x14ac:dyDescent="0.25">
      <c r="A1777" s="8">
        <v>40627</v>
      </c>
      <c r="B1777">
        <v>1807545.43</v>
      </c>
      <c r="C1777">
        <v>0</v>
      </c>
      <c r="D1777">
        <v>42.38</v>
      </c>
      <c r="E1777">
        <v>3.4350000000000001</v>
      </c>
      <c r="F1777">
        <v>128.61606449999999</v>
      </c>
      <c r="G1777">
        <v>7.47</v>
      </c>
      <c r="N1777" s="8"/>
    </row>
    <row r="1778" spans="1:14" x14ac:dyDescent="0.25">
      <c r="A1778" s="8">
        <v>40634</v>
      </c>
      <c r="B1778">
        <v>1864238.64</v>
      </c>
      <c r="C1778">
        <v>0</v>
      </c>
      <c r="D1778">
        <v>42.49</v>
      </c>
      <c r="E1778">
        <v>3.4870000000000001</v>
      </c>
      <c r="F1778">
        <v>128.71993549999999</v>
      </c>
      <c r="G1778">
        <v>7.1929999999999996</v>
      </c>
      <c r="N1778" s="8"/>
    </row>
    <row r="1779" spans="1:14" x14ac:dyDescent="0.25">
      <c r="A1779" s="8">
        <v>40641</v>
      </c>
      <c r="B1779">
        <v>1887465.04</v>
      </c>
      <c r="C1779">
        <v>0</v>
      </c>
      <c r="D1779">
        <v>42.75</v>
      </c>
      <c r="E1779">
        <v>3.5470000000000002</v>
      </c>
      <c r="F1779">
        <v>128.82380649999999</v>
      </c>
      <c r="G1779">
        <v>7.1929999999999996</v>
      </c>
      <c r="N1779" s="8"/>
    </row>
    <row r="1780" spans="1:14" x14ac:dyDescent="0.25">
      <c r="A1780" s="8">
        <v>40648</v>
      </c>
      <c r="B1780">
        <v>1950994.04</v>
      </c>
      <c r="C1780">
        <v>0</v>
      </c>
      <c r="D1780">
        <v>41.72</v>
      </c>
      <c r="E1780">
        <v>3.6160000000000001</v>
      </c>
      <c r="F1780">
        <v>128.9107333</v>
      </c>
      <c r="G1780">
        <v>7.1929999999999996</v>
      </c>
      <c r="N1780" s="8"/>
    </row>
    <row r="1781" spans="1:14" x14ac:dyDescent="0.25">
      <c r="A1781" s="8">
        <v>40655</v>
      </c>
      <c r="B1781">
        <v>2124316.34</v>
      </c>
      <c r="C1781">
        <v>0</v>
      </c>
      <c r="D1781">
        <v>47.55</v>
      </c>
      <c r="E1781">
        <v>3.6549999999999998</v>
      </c>
      <c r="F1781">
        <v>128.95529999999999</v>
      </c>
      <c r="G1781">
        <v>7.1929999999999996</v>
      </c>
      <c r="N1781" s="8"/>
    </row>
    <row r="1782" spans="1:14" x14ac:dyDescent="0.25">
      <c r="A1782" s="8">
        <v>40662</v>
      </c>
      <c r="B1782">
        <v>1895583.12</v>
      </c>
      <c r="C1782">
        <v>0</v>
      </c>
      <c r="D1782">
        <v>43.85</v>
      </c>
      <c r="E1782">
        <v>3.6829999999999998</v>
      </c>
      <c r="F1782">
        <v>128.99986670000001</v>
      </c>
      <c r="G1782">
        <v>7.1929999999999996</v>
      </c>
      <c r="N1782" s="8"/>
    </row>
    <row r="1783" spans="1:14" x14ac:dyDescent="0.25">
      <c r="A1783" s="8">
        <v>40669</v>
      </c>
      <c r="B1783">
        <v>1986380.4</v>
      </c>
      <c r="C1783">
        <v>0</v>
      </c>
      <c r="D1783">
        <v>47.75</v>
      </c>
      <c r="E1783">
        <v>3.7440000000000002</v>
      </c>
      <c r="F1783">
        <v>129.04443330000001</v>
      </c>
      <c r="G1783">
        <v>7.1929999999999996</v>
      </c>
      <c r="N1783" s="8"/>
    </row>
    <row r="1784" spans="1:14" x14ac:dyDescent="0.25">
      <c r="A1784" s="8">
        <v>40676</v>
      </c>
      <c r="B1784">
        <v>1958823.56</v>
      </c>
      <c r="C1784">
        <v>0</v>
      </c>
      <c r="D1784">
        <v>52.4</v>
      </c>
      <c r="E1784">
        <v>3.77</v>
      </c>
      <c r="F1784">
        <v>129.089</v>
      </c>
      <c r="G1784">
        <v>7.1929999999999996</v>
      </c>
      <c r="N1784" s="8"/>
    </row>
    <row r="1785" spans="1:14" x14ac:dyDescent="0.25">
      <c r="A1785" s="8">
        <v>40683</v>
      </c>
      <c r="B1785">
        <v>1860923.55</v>
      </c>
      <c r="C1785">
        <v>0</v>
      </c>
      <c r="D1785">
        <v>52.12</v>
      </c>
      <c r="E1785">
        <v>3.802</v>
      </c>
      <c r="F1785">
        <v>129.07567739999999</v>
      </c>
      <c r="G1785">
        <v>7.1929999999999996</v>
      </c>
      <c r="N1785" s="8"/>
    </row>
    <row r="1786" spans="1:14" x14ac:dyDescent="0.25">
      <c r="A1786" s="8">
        <v>40690</v>
      </c>
      <c r="B1786">
        <v>1866369.93</v>
      </c>
      <c r="C1786">
        <v>0</v>
      </c>
      <c r="D1786">
        <v>54.62</v>
      </c>
      <c r="E1786">
        <v>3.778</v>
      </c>
      <c r="F1786">
        <v>129.06235480000001</v>
      </c>
      <c r="G1786">
        <v>7.1929999999999996</v>
      </c>
      <c r="N1786" s="8"/>
    </row>
    <row r="1787" spans="1:14" x14ac:dyDescent="0.25">
      <c r="A1787" s="8">
        <v>40697</v>
      </c>
      <c r="B1787">
        <v>1935593.87</v>
      </c>
      <c r="C1787">
        <v>0</v>
      </c>
      <c r="D1787">
        <v>52.76</v>
      </c>
      <c r="E1787">
        <v>3.7519999999999998</v>
      </c>
      <c r="F1787">
        <v>129.04903229999999</v>
      </c>
      <c r="G1787">
        <v>7.1929999999999996</v>
      </c>
      <c r="N1787" s="8"/>
    </row>
    <row r="1788" spans="1:14" x14ac:dyDescent="0.25">
      <c r="A1788" s="8">
        <v>40704</v>
      </c>
      <c r="B1788">
        <v>1997816.98</v>
      </c>
      <c r="C1788">
        <v>0</v>
      </c>
      <c r="D1788">
        <v>61.39</v>
      </c>
      <c r="E1788">
        <v>3.7320000000000002</v>
      </c>
      <c r="F1788">
        <v>129.03570970000001</v>
      </c>
      <c r="G1788">
        <v>7.1929999999999996</v>
      </c>
      <c r="N1788" s="8"/>
    </row>
    <row r="1789" spans="1:14" x14ac:dyDescent="0.25">
      <c r="A1789" s="8">
        <v>40711</v>
      </c>
      <c r="B1789">
        <v>2086433.49</v>
      </c>
      <c r="C1789">
        <v>0</v>
      </c>
      <c r="D1789">
        <v>63.35</v>
      </c>
      <c r="E1789">
        <v>3.7040000000000002</v>
      </c>
      <c r="F1789">
        <v>129.04320000000001</v>
      </c>
      <c r="G1789">
        <v>7.1929999999999996</v>
      </c>
      <c r="N1789" s="8"/>
    </row>
    <row r="1790" spans="1:14" x14ac:dyDescent="0.25">
      <c r="A1790" s="8">
        <v>40718</v>
      </c>
      <c r="B1790">
        <v>2009163.08</v>
      </c>
      <c r="C1790">
        <v>0</v>
      </c>
      <c r="D1790">
        <v>66.38</v>
      </c>
      <c r="E1790">
        <v>3.6680000000000001</v>
      </c>
      <c r="F1790">
        <v>129.06630000000001</v>
      </c>
      <c r="G1790">
        <v>7.1929999999999996</v>
      </c>
      <c r="N1790" s="8"/>
    </row>
    <row r="1791" spans="1:14" x14ac:dyDescent="0.25">
      <c r="A1791" s="8">
        <v>40725</v>
      </c>
      <c r="B1791">
        <v>2048035.74</v>
      </c>
      <c r="C1791">
        <v>0</v>
      </c>
      <c r="D1791">
        <v>74.290000000000006</v>
      </c>
      <c r="E1791">
        <v>3.613</v>
      </c>
      <c r="F1791">
        <v>129.08940000000001</v>
      </c>
      <c r="G1791">
        <v>6.8769999999999998</v>
      </c>
      <c r="N1791" s="8"/>
    </row>
    <row r="1792" spans="1:14" x14ac:dyDescent="0.25">
      <c r="A1792" s="8">
        <v>40732</v>
      </c>
      <c r="B1792">
        <v>2021699.38</v>
      </c>
      <c r="C1792">
        <v>0</v>
      </c>
      <c r="D1792">
        <v>77.3</v>
      </c>
      <c r="E1792">
        <v>3.5630000000000002</v>
      </c>
      <c r="F1792">
        <v>129.11250000000001</v>
      </c>
      <c r="G1792">
        <v>6.8769999999999998</v>
      </c>
      <c r="N1792" s="8"/>
    </row>
    <row r="1793" spans="1:14" x14ac:dyDescent="0.25">
      <c r="A1793" s="8">
        <v>40739</v>
      </c>
      <c r="B1793">
        <v>1956813.31</v>
      </c>
      <c r="C1793">
        <v>0</v>
      </c>
      <c r="D1793">
        <v>75.59</v>
      </c>
      <c r="E1793">
        <v>3.5529999999999999</v>
      </c>
      <c r="F1793">
        <v>129.13383870000001</v>
      </c>
      <c r="G1793">
        <v>6.8769999999999998</v>
      </c>
      <c r="N1793" s="8"/>
    </row>
    <row r="1794" spans="1:14" x14ac:dyDescent="0.25">
      <c r="A1794" s="8">
        <v>40746</v>
      </c>
      <c r="B1794">
        <v>1987089.36</v>
      </c>
      <c r="C1794">
        <v>0</v>
      </c>
      <c r="D1794">
        <v>78.5</v>
      </c>
      <c r="E1794">
        <v>3.5630000000000002</v>
      </c>
      <c r="F1794">
        <v>129.1507742</v>
      </c>
      <c r="G1794">
        <v>6.8769999999999998</v>
      </c>
      <c r="N1794" s="8"/>
    </row>
    <row r="1795" spans="1:14" x14ac:dyDescent="0.25">
      <c r="A1795" s="8">
        <v>40753</v>
      </c>
      <c r="B1795">
        <v>1880785.69</v>
      </c>
      <c r="C1795">
        <v>0</v>
      </c>
      <c r="D1795">
        <v>77.62</v>
      </c>
      <c r="E1795">
        <v>3.5739999999999998</v>
      </c>
      <c r="F1795">
        <v>129.16770969999999</v>
      </c>
      <c r="G1795">
        <v>6.8769999999999998</v>
      </c>
      <c r="N1795" s="8"/>
    </row>
    <row r="1796" spans="1:14" x14ac:dyDescent="0.25">
      <c r="A1796" s="8">
        <v>40760</v>
      </c>
      <c r="B1796">
        <v>2076231.8</v>
      </c>
      <c r="C1796">
        <v>0</v>
      </c>
      <c r="D1796">
        <v>75.56</v>
      </c>
      <c r="E1796">
        <v>3.5950000000000002</v>
      </c>
      <c r="F1796">
        <v>129.18464520000001</v>
      </c>
      <c r="G1796">
        <v>6.8769999999999998</v>
      </c>
      <c r="N1796" s="8"/>
    </row>
    <row r="1797" spans="1:14" x14ac:dyDescent="0.25">
      <c r="A1797" s="8">
        <v>40767</v>
      </c>
      <c r="B1797">
        <v>1970341.38</v>
      </c>
      <c r="C1797">
        <v>0</v>
      </c>
      <c r="D1797">
        <v>75.95</v>
      </c>
      <c r="E1797">
        <v>3.6059999999999999</v>
      </c>
      <c r="F1797">
        <v>129.2015806</v>
      </c>
      <c r="G1797">
        <v>6.8769999999999998</v>
      </c>
      <c r="N1797" s="8"/>
    </row>
    <row r="1798" spans="1:14" x14ac:dyDescent="0.25">
      <c r="A1798" s="8">
        <v>40774</v>
      </c>
      <c r="B1798">
        <v>2090340.98</v>
      </c>
      <c r="C1798">
        <v>0</v>
      </c>
      <c r="D1798">
        <v>76.680000000000007</v>
      </c>
      <c r="E1798">
        <v>3.5779999999999998</v>
      </c>
      <c r="F1798">
        <v>129.24058059999999</v>
      </c>
      <c r="G1798">
        <v>6.8769999999999998</v>
      </c>
      <c r="N1798" s="8"/>
    </row>
    <row r="1799" spans="1:14" x14ac:dyDescent="0.25">
      <c r="A1799" s="8">
        <v>40781</v>
      </c>
      <c r="B1799">
        <v>2035244.54</v>
      </c>
      <c r="C1799">
        <v>0</v>
      </c>
      <c r="D1799">
        <v>81.53</v>
      </c>
      <c r="E1799">
        <v>3.57</v>
      </c>
      <c r="F1799">
        <v>129.28325810000001</v>
      </c>
      <c r="G1799">
        <v>6.8769999999999998</v>
      </c>
      <c r="N1799" s="8"/>
    </row>
    <row r="1800" spans="1:14" x14ac:dyDescent="0.25">
      <c r="A1800" s="8">
        <v>40788</v>
      </c>
      <c r="B1800">
        <v>1953628.82</v>
      </c>
      <c r="C1800">
        <v>0</v>
      </c>
      <c r="D1800">
        <v>77</v>
      </c>
      <c r="E1800">
        <v>3.58</v>
      </c>
      <c r="F1800">
        <v>129.32593550000001</v>
      </c>
      <c r="G1800">
        <v>6.8769999999999998</v>
      </c>
      <c r="N1800" s="8"/>
    </row>
    <row r="1801" spans="1:14" x14ac:dyDescent="0.25">
      <c r="A1801" s="8">
        <v>40795</v>
      </c>
      <c r="B1801">
        <v>1872921.31</v>
      </c>
      <c r="C1801">
        <v>1</v>
      </c>
      <c r="D1801">
        <v>70.19</v>
      </c>
      <c r="E1801">
        <v>3.6190000000000002</v>
      </c>
      <c r="F1801">
        <v>129.36861289999999</v>
      </c>
      <c r="G1801">
        <v>6.8769999999999998</v>
      </c>
      <c r="N1801" s="8"/>
    </row>
    <row r="1802" spans="1:14" x14ac:dyDescent="0.25">
      <c r="A1802" s="8">
        <v>40802</v>
      </c>
      <c r="B1802">
        <v>1923223.82</v>
      </c>
      <c r="C1802">
        <v>0</v>
      </c>
      <c r="D1802">
        <v>67.540000000000006</v>
      </c>
      <c r="E1802">
        <v>3.641</v>
      </c>
      <c r="F1802">
        <v>129.4306</v>
      </c>
      <c r="G1802">
        <v>6.8769999999999998</v>
      </c>
      <c r="N1802" s="8"/>
    </row>
    <row r="1803" spans="1:14" x14ac:dyDescent="0.25">
      <c r="A1803" s="8">
        <v>40809</v>
      </c>
      <c r="B1803">
        <v>1847430.96</v>
      </c>
      <c r="C1803">
        <v>0</v>
      </c>
      <c r="D1803">
        <v>63.6</v>
      </c>
      <c r="E1803">
        <v>3.6480000000000001</v>
      </c>
      <c r="F1803">
        <v>129.51833329999999</v>
      </c>
      <c r="G1803">
        <v>6.8769999999999998</v>
      </c>
      <c r="N1803" s="8"/>
    </row>
    <row r="1804" spans="1:14" x14ac:dyDescent="0.25">
      <c r="A1804" s="8">
        <v>40816</v>
      </c>
      <c r="B1804">
        <v>1835662.69</v>
      </c>
      <c r="C1804">
        <v>0</v>
      </c>
      <c r="D1804">
        <v>68.28</v>
      </c>
      <c r="E1804">
        <v>3.6230000000000002</v>
      </c>
      <c r="F1804">
        <v>129.60606670000001</v>
      </c>
      <c r="G1804">
        <v>6.8769999999999998</v>
      </c>
      <c r="N1804" s="8"/>
    </row>
    <row r="1805" spans="1:14" x14ac:dyDescent="0.25">
      <c r="A1805" s="8">
        <v>40823</v>
      </c>
      <c r="B1805">
        <v>2067232.56</v>
      </c>
      <c r="C1805">
        <v>0</v>
      </c>
      <c r="D1805">
        <v>60.62</v>
      </c>
      <c r="E1805">
        <v>3.5920000000000001</v>
      </c>
      <c r="F1805">
        <v>129.69380000000001</v>
      </c>
      <c r="G1805">
        <v>6.3920000000000003</v>
      </c>
      <c r="N1805" s="8"/>
    </row>
    <row r="1806" spans="1:14" x14ac:dyDescent="0.25">
      <c r="A1806" s="8">
        <v>40830</v>
      </c>
      <c r="B1806">
        <v>1929659.07</v>
      </c>
      <c r="C1806">
        <v>0</v>
      </c>
      <c r="D1806">
        <v>51.74</v>
      </c>
      <c r="E1806">
        <v>3.5670000000000002</v>
      </c>
      <c r="F1806">
        <v>129.77064519999999</v>
      </c>
      <c r="G1806">
        <v>6.3920000000000003</v>
      </c>
      <c r="N1806" s="8"/>
    </row>
    <row r="1807" spans="1:14" x14ac:dyDescent="0.25">
      <c r="A1807" s="8">
        <v>40837</v>
      </c>
      <c r="B1807">
        <v>1973544.27</v>
      </c>
      <c r="C1807">
        <v>0</v>
      </c>
      <c r="D1807">
        <v>54.66</v>
      </c>
      <c r="E1807">
        <v>3.5790000000000002</v>
      </c>
      <c r="F1807">
        <v>129.78216130000001</v>
      </c>
      <c r="G1807">
        <v>6.3920000000000003</v>
      </c>
      <c r="N1807" s="8"/>
    </row>
    <row r="1808" spans="1:14" x14ac:dyDescent="0.25">
      <c r="A1808" s="8">
        <v>40844</v>
      </c>
      <c r="B1808">
        <v>1948733.81</v>
      </c>
      <c r="C1808">
        <v>0</v>
      </c>
      <c r="D1808">
        <v>47.41</v>
      </c>
      <c r="E1808">
        <v>3.5670000000000002</v>
      </c>
      <c r="F1808">
        <v>129.79367740000001</v>
      </c>
      <c r="G1808">
        <v>6.3920000000000003</v>
      </c>
      <c r="N1808" s="8"/>
    </row>
    <row r="1809" spans="1:14" x14ac:dyDescent="0.25">
      <c r="A1809" s="8">
        <v>40851</v>
      </c>
      <c r="B1809">
        <v>2036317.54</v>
      </c>
      <c r="C1809">
        <v>0</v>
      </c>
      <c r="D1809">
        <v>43.51</v>
      </c>
      <c r="E1809">
        <v>3.5379999999999998</v>
      </c>
      <c r="F1809">
        <v>129.8051935</v>
      </c>
      <c r="G1809">
        <v>6.3920000000000003</v>
      </c>
      <c r="N1809" s="8"/>
    </row>
    <row r="1810" spans="1:14" x14ac:dyDescent="0.25">
      <c r="A1810" s="8">
        <v>40858</v>
      </c>
      <c r="B1810">
        <v>2111592.09</v>
      </c>
      <c r="C1810">
        <v>0</v>
      </c>
      <c r="D1810">
        <v>33.799999999999997</v>
      </c>
      <c r="E1810">
        <v>3.5129999999999999</v>
      </c>
      <c r="F1810">
        <v>129.81670969999999</v>
      </c>
      <c r="G1810">
        <v>6.3920000000000003</v>
      </c>
      <c r="N1810" s="8"/>
    </row>
    <row r="1811" spans="1:14" x14ac:dyDescent="0.25">
      <c r="A1811" s="8">
        <v>40865</v>
      </c>
      <c r="B1811">
        <v>2016323.51</v>
      </c>
      <c r="C1811">
        <v>0</v>
      </c>
      <c r="D1811">
        <v>40.65</v>
      </c>
      <c r="E1811">
        <v>3.4889999999999999</v>
      </c>
      <c r="F1811">
        <v>129.8268333</v>
      </c>
      <c r="G1811">
        <v>6.3920000000000003</v>
      </c>
      <c r="N1811" s="8"/>
    </row>
    <row r="1812" spans="1:14" x14ac:dyDescent="0.25">
      <c r="A1812" s="8">
        <v>40872</v>
      </c>
      <c r="B1812">
        <v>2864170.61</v>
      </c>
      <c r="C1812">
        <v>1</v>
      </c>
      <c r="D1812">
        <v>38.89</v>
      </c>
      <c r="E1812">
        <v>3.4449999999999998</v>
      </c>
      <c r="F1812">
        <v>129.8364</v>
      </c>
      <c r="G1812">
        <v>6.3920000000000003</v>
      </c>
      <c r="N1812" s="8"/>
    </row>
    <row r="1813" spans="1:14" x14ac:dyDescent="0.25">
      <c r="A1813" s="8">
        <v>40879</v>
      </c>
      <c r="B1813">
        <v>2051315.66</v>
      </c>
      <c r="C1813">
        <v>0</v>
      </c>
      <c r="D1813">
        <v>33.94</v>
      </c>
      <c r="E1813">
        <v>3.3889999999999998</v>
      </c>
      <c r="F1813">
        <v>129.84596669999999</v>
      </c>
      <c r="G1813">
        <v>6.3920000000000003</v>
      </c>
      <c r="N1813" s="8"/>
    </row>
    <row r="1814" spans="1:14" x14ac:dyDescent="0.25">
      <c r="A1814" s="8">
        <v>40886</v>
      </c>
      <c r="B1814">
        <v>2462779.06</v>
      </c>
      <c r="C1814">
        <v>0</v>
      </c>
      <c r="D1814">
        <v>24.82</v>
      </c>
      <c r="E1814">
        <v>3.3410000000000002</v>
      </c>
      <c r="F1814">
        <v>129.85553329999999</v>
      </c>
      <c r="G1814">
        <v>6.3920000000000003</v>
      </c>
      <c r="N1814" s="8"/>
    </row>
    <row r="1815" spans="1:14" x14ac:dyDescent="0.25">
      <c r="A1815" s="8">
        <v>40893</v>
      </c>
      <c r="B1815">
        <v>2760346.71</v>
      </c>
      <c r="C1815">
        <v>0</v>
      </c>
      <c r="D1815">
        <v>27.85</v>
      </c>
      <c r="E1815">
        <v>3.282</v>
      </c>
      <c r="F1815">
        <v>129.8980645</v>
      </c>
      <c r="G1815">
        <v>6.3920000000000003</v>
      </c>
      <c r="N1815" s="8"/>
    </row>
    <row r="1816" spans="1:14" x14ac:dyDescent="0.25">
      <c r="A1816" s="8">
        <v>40900</v>
      </c>
      <c r="B1816">
        <v>3556766.03</v>
      </c>
      <c r="C1816">
        <v>0</v>
      </c>
      <c r="D1816">
        <v>24.76</v>
      </c>
      <c r="E1816">
        <v>3.1859999999999999</v>
      </c>
      <c r="F1816">
        <v>129.98454839999999</v>
      </c>
      <c r="G1816">
        <v>6.3920000000000003</v>
      </c>
      <c r="N1816" s="8"/>
    </row>
    <row r="1817" spans="1:14" x14ac:dyDescent="0.25">
      <c r="A1817" s="8">
        <v>40907</v>
      </c>
      <c r="B1817">
        <v>1969056.91</v>
      </c>
      <c r="C1817">
        <v>1</v>
      </c>
      <c r="D1817">
        <v>31.53</v>
      </c>
      <c r="E1817">
        <v>3.1190000000000002</v>
      </c>
      <c r="F1817">
        <v>130.07103230000001</v>
      </c>
      <c r="G1817">
        <v>6.3920000000000003</v>
      </c>
      <c r="N1817" s="8"/>
    </row>
    <row r="1818" spans="1:14" x14ac:dyDescent="0.25">
      <c r="A1818" s="8">
        <v>40914</v>
      </c>
      <c r="B1818">
        <v>1865752.78</v>
      </c>
      <c r="C1818">
        <v>0</v>
      </c>
      <c r="D1818">
        <v>33.799999999999997</v>
      </c>
      <c r="E1818">
        <v>3.08</v>
      </c>
      <c r="F1818">
        <v>130.15751610000001</v>
      </c>
      <c r="G1818">
        <v>6.1040000000000001</v>
      </c>
      <c r="N1818" s="8"/>
    </row>
    <row r="1819" spans="1:14" x14ac:dyDescent="0.25">
      <c r="A1819" s="8">
        <v>40921</v>
      </c>
      <c r="B1819">
        <v>1794962.64</v>
      </c>
      <c r="C1819">
        <v>0</v>
      </c>
      <c r="D1819">
        <v>25.61</v>
      </c>
      <c r="E1819">
        <v>3.056</v>
      </c>
      <c r="F1819">
        <v>130.244</v>
      </c>
      <c r="G1819">
        <v>6.1040000000000001</v>
      </c>
      <c r="N1819" s="8"/>
    </row>
    <row r="1820" spans="1:14" x14ac:dyDescent="0.25">
      <c r="A1820" s="8">
        <v>40928</v>
      </c>
      <c r="B1820">
        <v>1811606.21</v>
      </c>
      <c r="C1820">
        <v>0</v>
      </c>
      <c r="D1820">
        <v>32.71</v>
      </c>
      <c r="E1820">
        <v>3.0470000000000002</v>
      </c>
      <c r="F1820">
        <v>130.27922580000001</v>
      </c>
      <c r="G1820">
        <v>6.1040000000000001</v>
      </c>
      <c r="N1820" s="8"/>
    </row>
    <row r="1821" spans="1:14" x14ac:dyDescent="0.25">
      <c r="A1821" s="8">
        <v>40935</v>
      </c>
      <c r="B1821">
        <v>1733983.09</v>
      </c>
      <c r="C1821">
        <v>0</v>
      </c>
      <c r="D1821">
        <v>34.32</v>
      </c>
      <c r="E1821">
        <v>3.0579999999999998</v>
      </c>
      <c r="F1821">
        <v>130.31445160000001</v>
      </c>
      <c r="G1821">
        <v>6.1040000000000001</v>
      </c>
      <c r="N1821" s="8"/>
    </row>
    <row r="1822" spans="1:14" x14ac:dyDescent="0.25">
      <c r="A1822" s="8">
        <v>40942</v>
      </c>
      <c r="B1822">
        <v>1927780.74</v>
      </c>
      <c r="C1822">
        <v>0</v>
      </c>
      <c r="D1822">
        <v>31.39</v>
      </c>
      <c r="E1822">
        <v>3.077</v>
      </c>
      <c r="F1822">
        <v>130.34967739999999</v>
      </c>
      <c r="G1822">
        <v>6.1040000000000001</v>
      </c>
      <c r="N1822" s="8"/>
    </row>
    <row r="1823" spans="1:14" x14ac:dyDescent="0.25">
      <c r="A1823" s="8">
        <v>40949</v>
      </c>
      <c r="B1823">
        <v>2069284.57</v>
      </c>
      <c r="C1823">
        <v>1</v>
      </c>
      <c r="D1823">
        <v>33.729999999999997</v>
      </c>
      <c r="E1823">
        <v>3.1160000000000001</v>
      </c>
      <c r="F1823">
        <v>130.3849032</v>
      </c>
      <c r="G1823">
        <v>6.1040000000000001</v>
      </c>
      <c r="N1823" s="8"/>
    </row>
    <row r="1824" spans="1:14" x14ac:dyDescent="0.25">
      <c r="A1824" s="8">
        <v>40956</v>
      </c>
      <c r="B1824">
        <v>2214477.06</v>
      </c>
      <c r="C1824">
        <v>0</v>
      </c>
      <c r="D1824">
        <v>36.57</v>
      </c>
      <c r="E1824">
        <v>3.1190000000000002</v>
      </c>
      <c r="F1824">
        <v>130.45462069999999</v>
      </c>
      <c r="G1824">
        <v>6.1040000000000001</v>
      </c>
      <c r="N1824" s="8"/>
    </row>
    <row r="1825" spans="1:14" x14ac:dyDescent="0.25">
      <c r="A1825" s="8">
        <v>40963</v>
      </c>
      <c r="B1825">
        <v>1929768.03</v>
      </c>
      <c r="C1825">
        <v>0</v>
      </c>
      <c r="D1825">
        <v>35.380000000000003</v>
      </c>
      <c r="E1825">
        <v>3.145</v>
      </c>
      <c r="F1825">
        <v>130.55020690000001</v>
      </c>
      <c r="G1825">
        <v>6.1040000000000001</v>
      </c>
      <c r="N1825" s="8"/>
    </row>
    <row r="1826" spans="1:14" x14ac:dyDescent="0.25">
      <c r="A1826" s="8">
        <v>40970</v>
      </c>
      <c r="B1826">
        <v>1969742.76</v>
      </c>
      <c r="C1826">
        <v>0</v>
      </c>
      <c r="D1826">
        <v>32.36</v>
      </c>
      <c r="E1826">
        <v>3.242</v>
      </c>
      <c r="F1826">
        <v>130.64579309999999</v>
      </c>
      <c r="G1826">
        <v>6.1040000000000001</v>
      </c>
      <c r="N1826" s="8"/>
    </row>
    <row r="1827" spans="1:14" x14ac:dyDescent="0.25">
      <c r="A1827" s="8">
        <v>40977</v>
      </c>
      <c r="B1827">
        <v>1986445.65</v>
      </c>
      <c r="C1827">
        <v>0</v>
      </c>
      <c r="D1827">
        <v>38.24</v>
      </c>
      <c r="E1827">
        <v>3.38</v>
      </c>
      <c r="F1827">
        <v>130.74137930000001</v>
      </c>
      <c r="G1827">
        <v>6.1040000000000001</v>
      </c>
      <c r="N1827" s="8"/>
    </row>
    <row r="1828" spans="1:14" x14ac:dyDescent="0.25">
      <c r="A1828" s="8">
        <v>40984</v>
      </c>
      <c r="B1828">
        <v>2025582.62</v>
      </c>
      <c r="C1828">
        <v>0</v>
      </c>
      <c r="D1828">
        <v>52.5</v>
      </c>
      <c r="E1828">
        <v>3.5289999999999999</v>
      </c>
      <c r="F1828">
        <v>130.82619349999999</v>
      </c>
      <c r="G1828">
        <v>6.1040000000000001</v>
      </c>
      <c r="N1828" s="8"/>
    </row>
    <row r="1829" spans="1:14" x14ac:dyDescent="0.25">
      <c r="A1829" s="8">
        <v>40991</v>
      </c>
      <c r="B1829">
        <v>1904421.74</v>
      </c>
      <c r="C1829">
        <v>0</v>
      </c>
      <c r="D1829">
        <v>47.83</v>
      </c>
      <c r="E1829">
        <v>3.6709999999999998</v>
      </c>
      <c r="F1829">
        <v>130.89664519999999</v>
      </c>
      <c r="G1829">
        <v>6.1040000000000001</v>
      </c>
      <c r="N1829" s="8"/>
    </row>
    <row r="1830" spans="1:14" x14ac:dyDescent="0.25">
      <c r="A1830" s="8">
        <v>40998</v>
      </c>
      <c r="B1830">
        <v>1948982.7</v>
      </c>
      <c r="C1830">
        <v>0</v>
      </c>
      <c r="D1830">
        <v>53.2</v>
      </c>
      <c r="E1830">
        <v>3.734</v>
      </c>
      <c r="F1830">
        <v>130.96709680000001</v>
      </c>
      <c r="G1830">
        <v>6.1040000000000001</v>
      </c>
      <c r="N1830" s="8"/>
    </row>
    <row r="1831" spans="1:14" x14ac:dyDescent="0.25">
      <c r="A1831" s="8">
        <v>41005</v>
      </c>
      <c r="B1831">
        <v>2271614.7599999998</v>
      </c>
      <c r="C1831">
        <v>0</v>
      </c>
      <c r="D1831">
        <v>48.85</v>
      </c>
      <c r="E1831">
        <v>3.7930000000000001</v>
      </c>
      <c r="F1831">
        <v>131.03754839999999</v>
      </c>
      <c r="G1831">
        <v>5.9649999999999999</v>
      </c>
      <c r="N1831" s="8"/>
    </row>
    <row r="1832" spans="1:14" x14ac:dyDescent="0.25">
      <c r="A1832" s="8">
        <v>41012</v>
      </c>
      <c r="B1832">
        <v>2057637.86</v>
      </c>
      <c r="C1832">
        <v>0</v>
      </c>
      <c r="D1832">
        <v>51.7</v>
      </c>
      <c r="E1832">
        <v>3.8330000000000002</v>
      </c>
      <c r="F1832">
        <v>131.108</v>
      </c>
      <c r="G1832">
        <v>5.9649999999999999</v>
      </c>
      <c r="N1832" s="8"/>
    </row>
    <row r="1833" spans="1:14" x14ac:dyDescent="0.25">
      <c r="A1833" s="8">
        <v>41019</v>
      </c>
      <c r="B1833">
        <v>1955689.12</v>
      </c>
      <c r="C1833">
        <v>0</v>
      </c>
      <c r="D1833">
        <v>50.24</v>
      </c>
      <c r="E1833">
        <v>3.8450000000000002</v>
      </c>
      <c r="F1833">
        <v>131.11733330000001</v>
      </c>
      <c r="G1833">
        <v>5.9649999999999999</v>
      </c>
      <c r="N1833" s="8"/>
    </row>
    <row r="1834" spans="1:14" x14ac:dyDescent="0.25">
      <c r="A1834" s="8">
        <v>41026</v>
      </c>
      <c r="B1834">
        <v>1970121.65</v>
      </c>
      <c r="C1834">
        <v>0</v>
      </c>
      <c r="D1834">
        <v>64.8</v>
      </c>
      <c r="E1834">
        <v>3.8420000000000001</v>
      </c>
      <c r="F1834">
        <v>131.12666669999999</v>
      </c>
      <c r="G1834">
        <v>5.9649999999999999</v>
      </c>
      <c r="N1834" s="8"/>
    </row>
    <row r="1835" spans="1:14" x14ac:dyDescent="0.25">
      <c r="A1835" s="8">
        <v>41033</v>
      </c>
      <c r="B1835">
        <v>1995994.51</v>
      </c>
      <c r="C1835">
        <v>0</v>
      </c>
      <c r="D1835">
        <v>54.41</v>
      </c>
      <c r="E1835">
        <v>3.831</v>
      </c>
      <c r="F1835">
        <v>131.136</v>
      </c>
      <c r="G1835">
        <v>5.9649999999999999</v>
      </c>
      <c r="N1835" s="8"/>
    </row>
    <row r="1836" spans="1:14" x14ac:dyDescent="0.25">
      <c r="A1836" s="8">
        <v>41040</v>
      </c>
      <c r="B1836">
        <v>2080764.17</v>
      </c>
      <c r="C1836">
        <v>0</v>
      </c>
      <c r="D1836">
        <v>56.47</v>
      </c>
      <c r="E1836">
        <v>3.8090000000000002</v>
      </c>
      <c r="F1836">
        <v>131.1453333</v>
      </c>
      <c r="G1836">
        <v>5.9649999999999999</v>
      </c>
      <c r="N1836" s="8"/>
    </row>
    <row r="1837" spans="1:14" x14ac:dyDescent="0.25">
      <c r="A1837" s="8">
        <v>41047</v>
      </c>
      <c r="B1837">
        <v>2131900.5499999998</v>
      </c>
      <c r="C1837">
        <v>0</v>
      </c>
      <c r="D1837">
        <v>65.17</v>
      </c>
      <c r="E1837">
        <v>3.8079999999999998</v>
      </c>
      <c r="F1837">
        <v>131.09832259999999</v>
      </c>
      <c r="G1837">
        <v>5.9649999999999999</v>
      </c>
      <c r="N1837" s="8"/>
    </row>
    <row r="1838" spans="1:14" x14ac:dyDescent="0.25">
      <c r="A1838" s="8">
        <v>41054</v>
      </c>
      <c r="B1838">
        <v>2043349.41</v>
      </c>
      <c r="C1838">
        <v>0</v>
      </c>
      <c r="D1838">
        <v>62.39</v>
      </c>
      <c r="E1838">
        <v>3.8010000000000002</v>
      </c>
      <c r="F1838">
        <v>131.02877419999999</v>
      </c>
      <c r="G1838">
        <v>5.9649999999999999</v>
      </c>
      <c r="N1838" s="8"/>
    </row>
    <row r="1839" spans="1:14" x14ac:dyDescent="0.25">
      <c r="A1839" s="8">
        <v>41061</v>
      </c>
      <c r="B1839">
        <v>2035431.39</v>
      </c>
      <c r="C1839">
        <v>0</v>
      </c>
      <c r="D1839">
        <v>61.11</v>
      </c>
      <c r="E1839">
        <v>3.7879999999999998</v>
      </c>
      <c r="F1839">
        <v>130.95922580000001</v>
      </c>
      <c r="G1839">
        <v>5.9649999999999999</v>
      </c>
      <c r="N1839" s="8"/>
    </row>
    <row r="1840" spans="1:14" x14ac:dyDescent="0.25">
      <c r="A1840" s="8">
        <v>41068</v>
      </c>
      <c r="B1840">
        <v>2182437.9</v>
      </c>
      <c r="C1840">
        <v>0</v>
      </c>
      <c r="D1840">
        <v>68.400000000000006</v>
      </c>
      <c r="E1840">
        <v>3.7759999999999998</v>
      </c>
      <c r="F1840">
        <v>130.88967740000001</v>
      </c>
      <c r="G1840">
        <v>5.9649999999999999</v>
      </c>
      <c r="N1840" s="8"/>
    </row>
    <row r="1841" spans="1:14" x14ac:dyDescent="0.25">
      <c r="A1841" s="8">
        <v>41075</v>
      </c>
      <c r="B1841">
        <v>2152229.11</v>
      </c>
      <c r="C1841">
        <v>0</v>
      </c>
      <c r="D1841">
        <v>65.97</v>
      </c>
      <c r="E1841">
        <v>3.7559999999999998</v>
      </c>
      <c r="F1841">
        <v>130.82953330000001</v>
      </c>
      <c r="G1841">
        <v>5.9649999999999999</v>
      </c>
      <c r="N1841" s="8"/>
    </row>
    <row r="1842" spans="1:14" x14ac:dyDescent="0.25">
      <c r="A1842" s="8">
        <v>41082</v>
      </c>
      <c r="B1842">
        <v>2094373</v>
      </c>
      <c r="C1842">
        <v>0</v>
      </c>
      <c r="D1842">
        <v>72.89</v>
      </c>
      <c r="E1842">
        <v>3.7370000000000001</v>
      </c>
      <c r="F1842">
        <v>130.7929</v>
      </c>
      <c r="G1842">
        <v>5.9649999999999999</v>
      </c>
      <c r="N1842" s="8"/>
    </row>
    <row r="1843" spans="1:14" x14ac:dyDescent="0.25">
      <c r="A1843" s="8">
        <v>41089</v>
      </c>
      <c r="B1843">
        <v>2037663.71</v>
      </c>
      <c r="C1843">
        <v>0</v>
      </c>
      <c r="D1843">
        <v>82</v>
      </c>
      <c r="E1843">
        <v>3.681</v>
      </c>
      <c r="F1843">
        <v>130.7562667</v>
      </c>
      <c r="G1843">
        <v>5.9649999999999999</v>
      </c>
      <c r="N1843" s="8"/>
    </row>
    <row r="1844" spans="1:14" x14ac:dyDescent="0.25">
      <c r="A1844" s="8">
        <v>41096</v>
      </c>
      <c r="B1844">
        <v>2184980.35</v>
      </c>
      <c r="C1844">
        <v>0</v>
      </c>
      <c r="D1844">
        <v>79.23</v>
      </c>
      <c r="E1844">
        <v>3.63</v>
      </c>
      <c r="F1844">
        <v>130.7196333</v>
      </c>
      <c r="G1844">
        <v>5.7649999999999997</v>
      </c>
      <c r="N1844" s="8"/>
    </row>
    <row r="1845" spans="1:14" x14ac:dyDescent="0.25">
      <c r="A1845" s="8">
        <v>41103</v>
      </c>
      <c r="B1845">
        <v>2002750.99</v>
      </c>
      <c r="C1845">
        <v>0</v>
      </c>
      <c r="D1845">
        <v>83.68</v>
      </c>
      <c r="E1845">
        <v>3.5950000000000002</v>
      </c>
      <c r="F1845">
        <v>130.68299999999999</v>
      </c>
      <c r="G1845">
        <v>5.7649999999999997</v>
      </c>
      <c r="N1845" s="8"/>
    </row>
    <row r="1846" spans="1:14" x14ac:dyDescent="0.25">
      <c r="A1846" s="8">
        <v>41110</v>
      </c>
      <c r="B1846">
        <v>2053089.32</v>
      </c>
      <c r="C1846">
        <v>0</v>
      </c>
      <c r="D1846">
        <v>75.69</v>
      </c>
      <c r="E1846">
        <v>3.556</v>
      </c>
      <c r="F1846">
        <v>130.70129030000001</v>
      </c>
      <c r="G1846">
        <v>5.7649999999999997</v>
      </c>
      <c r="N1846" s="8"/>
    </row>
    <row r="1847" spans="1:14" x14ac:dyDescent="0.25">
      <c r="A1847" s="8">
        <v>41117</v>
      </c>
      <c r="B1847">
        <v>1914430.53</v>
      </c>
      <c r="C1847">
        <v>0</v>
      </c>
      <c r="D1847">
        <v>80.42</v>
      </c>
      <c r="E1847">
        <v>3.5369999999999999</v>
      </c>
      <c r="F1847">
        <v>130.7195806</v>
      </c>
      <c r="G1847">
        <v>5.7649999999999997</v>
      </c>
      <c r="N1847" s="8"/>
    </row>
    <row r="1848" spans="1:14" x14ac:dyDescent="0.25">
      <c r="A1848" s="8">
        <v>41124</v>
      </c>
      <c r="B1848">
        <v>2044148.23</v>
      </c>
      <c r="C1848">
        <v>0</v>
      </c>
      <c r="D1848">
        <v>81.99</v>
      </c>
      <c r="E1848">
        <v>3.512</v>
      </c>
      <c r="F1848">
        <v>130.73787100000001</v>
      </c>
      <c r="G1848">
        <v>5.7649999999999997</v>
      </c>
      <c r="N1848" s="8"/>
    </row>
    <row r="1849" spans="1:14" x14ac:dyDescent="0.25">
      <c r="A1849" s="8">
        <v>41131</v>
      </c>
      <c r="B1849">
        <v>2041019.92</v>
      </c>
      <c r="C1849">
        <v>0</v>
      </c>
      <c r="D1849">
        <v>81.69</v>
      </c>
      <c r="E1849">
        <v>3.5089999999999999</v>
      </c>
      <c r="F1849">
        <v>130.7561613</v>
      </c>
      <c r="G1849">
        <v>5.7649999999999997</v>
      </c>
      <c r="N1849" s="8"/>
    </row>
    <row r="1850" spans="1:14" x14ac:dyDescent="0.25">
      <c r="A1850" s="8">
        <v>41138</v>
      </c>
      <c r="B1850">
        <v>2095769.18</v>
      </c>
      <c r="C1850">
        <v>0</v>
      </c>
      <c r="D1850">
        <v>79.400000000000006</v>
      </c>
      <c r="E1850">
        <v>3.5449999999999999</v>
      </c>
      <c r="F1850">
        <v>130.79096770000001</v>
      </c>
      <c r="G1850">
        <v>5.7649999999999997</v>
      </c>
      <c r="N1850" s="8"/>
    </row>
    <row r="1851" spans="1:14" x14ac:dyDescent="0.25">
      <c r="A1851" s="8">
        <v>41145</v>
      </c>
      <c r="B1851">
        <v>2059458.25</v>
      </c>
      <c r="C1851">
        <v>0</v>
      </c>
      <c r="D1851">
        <v>77.37</v>
      </c>
      <c r="E1851">
        <v>3.5819999999999999</v>
      </c>
      <c r="F1851">
        <v>130.8381613</v>
      </c>
      <c r="G1851">
        <v>5.7649999999999997</v>
      </c>
      <c r="N1851" s="8"/>
    </row>
    <row r="1852" spans="1:14" x14ac:dyDescent="0.25">
      <c r="A1852" s="8">
        <v>41152</v>
      </c>
      <c r="B1852">
        <v>2073855.42</v>
      </c>
      <c r="C1852">
        <v>0</v>
      </c>
      <c r="D1852">
        <v>79.180000000000007</v>
      </c>
      <c r="E1852">
        <v>3.6240000000000001</v>
      </c>
      <c r="F1852">
        <v>130.88535479999999</v>
      </c>
      <c r="G1852">
        <v>5.7649999999999997</v>
      </c>
      <c r="N1852" s="8"/>
    </row>
    <row r="1853" spans="1:14" x14ac:dyDescent="0.25">
      <c r="A1853" s="8">
        <v>41159</v>
      </c>
      <c r="B1853">
        <v>2165796.31</v>
      </c>
      <c r="C1853">
        <v>1</v>
      </c>
      <c r="D1853">
        <v>70.650000000000006</v>
      </c>
      <c r="E1853">
        <v>3.6890000000000001</v>
      </c>
      <c r="F1853">
        <v>130.9325484</v>
      </c>
      <c r="G1853">
        <v>5.7649999999999997</v>
      </c>
      <c r="N1853" s="8"/>
    </row>
    <row r="1854" spans="1:14" x14ac:dyDescent="0.25">
      <c r="A1854" s="8">
        <v>41166</v>
      </c>
      <c r="B1854">
        <v>1919917.03</v>
      </c>
      <c r="C1854">
        <v>0</v>
      </c>
      <c r="D1854">
        <v>68.55</v>
      </c>
      <c r="E1854">
        <v>3.7490000000000001</v>
      </c>
      <c r="F1854">
        <v>130.97766669999999</v>
      </c>
      <c r="G1854">
        <v>5.7649999999999997</v>
      </c>
      <c r="N1854" s="8"/>
    </row>
    <row r="1855" spans="1:14" x14ac:dyDescent="0.25">
      <c r="A1855" s="8">
        <v>41173</v>
      </c>
      <c r="B1855">
        <v>1938379.66</v>
      </c>
      <c r="C1855">
        <v>0</v>
      </c>
      <c r="D1855">
        <v>67.959999999999994</v>
      </c>
      <c r="E1855">
        <v>3.8210000000000002</v>
      </c>
      <c r="F1855">
        <v>131.01033330000001</v>
      </c>
      <c r="G1855">
        <v>5.7649999999999997</v>
      </c>
      <c r="N1855" s="8"/>
    </row>
    <row r="1856" spans="1:14" x14ac:dyDescent="0.25">
      <c r="A1856" s="8">
        <v>41180</v>
      </c>
      <c r="B1856">
        <v>1927664.11</v>
      </c>
      <c r="C1856">
        <v>0</v>
      </c>
      <c r="D1856">
        <v>64.8</v>
      </c>
      <c r="E1856">
        <v>3.8210000000000002</v>
      </c>
      <c r="F1856">
        <v>131.04300000000001</v>
      </c>
      <c r="G1856">
        <v>5.7649999999999997</v>
      </c>
      <c r="N1856" s="8"/>
    </row>
    <row r="1857" spans="1:14" x14ac:dyDescent="0.25">
      <c r="A1857" s="8">
        <v>41187</v>
      </c>
      <c r="B1857">
        <v>2041918.74</v>
      </c>
      <c r="C1857">
        <v>0</v>
      </c>
      <c r="D1857">
        <v>61.79</v>
      </c>
      <c r="E1857">
        <v>3.8149999999999999</v>
      </c>
      <c r="F1857">
        <v>131.0756667</v>
      </c>
      <c r="G1857">
        <v>5.6210000000000004</v>
      </c>
      <c r="N1857" s="8"/>
    </row>
    <row r="1858" spans="1:14" x14ac:dyDescent="0.25">
      <c r="A1858" s="8">
        <v>41194</v>
      </c>
      <c r="B1858">
        <v>1999079.44</v>
      </c>
      <c r="C1858">
        <v>0</v>
      </c>
      <c r="D1858">
        <v>55.1</v>
      </c>
      <c r="E1858">
        <v>3.7970000000000002</v>
      </c>
      <c r="F1858">
        <v>131.1083333</v>
      </c>
      <c r="G1858">
        <v>5.6210000000000004</v>
      </c>
      <c r="N1858" s="8"/>
    </row>
    <row r="1859" spans="1:14" x14ac:dyDescent="0.25">
      <c r="A1859" s="8">
        <v>41201</v>
      </c>
      <c r="B1859">
        <v>2018010.15</v>
      </c>
      <c r="C1859">
        <v>0</v>
      </c>
      <c r="D1859">
        <v>52.06</v>
      </c>
      <c r="E1859">
        <v>3.7810000000000001</v>
      </c>
      <c r="F1859">
        <v>131.14996769999999</v>
      </c>
      <c r="G1859">
        <v>5.6210000000000004</v>
      </c>
      <c r="N1859" s="8"/>
    </row>
    <row r="1860" spans="1:14" x14ac:dyDescent="0.25">
      <c r="A1860" s="8">
        <v>41208</v>
      </c>
      <c r="B1860">
        <v>2035189.66</v>
      </c>
      <c r="C1860">
        <v>0</v>
      </c>
      <c r="D1860">
        <v>46.97</v>
      </c>
      <c r="E1860">
        <v>3.7549999999999999</v>
      </c>
      <c r="F1860">
        <v>131.19309680000001</v>
      </c>
      <c r="G1860">
        <v>5.6210000000000004</v>
      </c>
      <c r="N1860" s="8"/>
    </row>
    <row r="1861" spans="1:14" x14ac:dyDescent="0.25">
      <c r="A1861" s="8">
        <v>40214</v>
      </c>
      <c r="B1861">
        <v>2623469.9500000002</v>
      </c>
      <c r="C1861">
        <v>0</v>
      </c>
      <c r="D1861">
        <v>27.31</v>
      </c>
      <c r="E1861">
        <v>2.7839999999999998</v>
      </c>
      <c r="F1861">
        <v>181.8711898</v>
      </c>
      <c r="G1861">
        <v>8.9920000000000009</v>
      </c>
      <c r="N1861" s="8"/>
    </row>
    <row r="1862" spans="1:14" x14ac:dyDescent="0.25">
      <c r="A1862" s="8">
        <v>40221</v>
      </c>
      <c r="B1862">
        <v>1704218.84</v>
      </c>
      <c r="C1862">
        <v>1</v>
      </c>
      <c r="D1862">
        <v>27.73</v>
      </c>
      <c r="E1862">
        <v>2.7730000000000001</v>
      </c>
      <c r="F1862">
        <v>181.98231699999999</v>
      </c>
      <c r="G1862">
        <v>8.9920000000000009</v>
      </c>
      <c r="N1862" s="8"/>
    </row>
    <row r="1863" spans="1:14" x14ac:dyDescent="0.25">
      <c r="A1863" s="8">
        <v>40228</v>
      </c>
      <c r="B1863">
        <v>2204556.7000000002</v>
      </c>
      <c r="C1863">
        <v>0</v>
      </c>
      <c r="D1863">
        <v>31.27</v>
      </c>
      <c r="E1863">
        <v>2.7450000000000001</v>
      </c>
      <c r="F1863">
        <v>182.0347816</v>
      </c>
      <c r="G1863">
        <v>8.9920000000000009</v>
      </c>
      <c r="N1863" s="8"/>
    </row>
    <row r="1864" spans="1:14" x14ac:dyDescent="0.25">
      <c r="A1864" s="8">
        <v>40235</v>
      </c>
      <c r="B1864">
        <v>2095591.63</v>
      </c>
      <c r="C1864">
        <v>0</v>
      </c>
      <c r="D1864">
        <v>34.89</v>
      </c>
      <c r="E1864">
        <v>2.754</v>
      </c>
      <c r="F1864">
        <v>182.0774691</v>
      </c>
      <c r="G1864">
        <v>8.9920000000000009</v>
      </c>
      <c r="N1864" s="8"/>
    </row>
    <row r="1865" spans="1:14" x14ac:dyDescent="0.25">
      <c r="A1865" s="8">
        <v>40242</v>
      </c>
      <c r="B1865">
        <v>2237544.75</v>
      </c>
      <c r="C1865">
        <v>0</v>
      </c>
      <c r="D1865">
        <v>37.130000000000003</v>
      </c>
      <c r="E1865">
        <v>2.7770000000000001</v>
      </c>
      <c r="F1865">
        <v>182.1201566</v>
      </c>
      <c r="G1865">
        <v>8.9920000000000009</v>
      </c>
      <c r="N1865" s="8"/>
    </row>
    <row r="1866" spans="1:14" x14ac:dyDescent="0.25">
      <c r="A1866" s="8">
        <v>40249</v>
      </c>
      <c r="B1866">
        <v>2156035.06</v>
      </c>
      <c r="C1866">
        <v>0</v>
      </c>
      <c r="D1866">
        <v>45.8</v>
      </c>
      <c r="E1866">
        <v>2.8180000000000001</v>
      </c>
      <c r="F1866">
        <v>182.1628441</v>
      </c>
      <c r="G1866">
        <v>8.9920000000000009</v>
      </c>
      <c r="N1866" s="8"/>
    </row>
    <row r="1867" spans="1:14" x14ac:dyDescent="0.25">
      <c r="A1867" s="8">
        <v>40256</v>
      </c>
      <c r="B1867">
        <v>2066219.3</v>
      </c>
      <c r="C1867">
        <v>0</v>
      </c>
      <c r="D1867">
        <v>48.79</v>
      </c>
      <c r="E1867">
        <v>2.8439999999999999</v>
      </c>
      <c r="F1867">
        <v>182.0779857</v>
      </c>
      <c r="G1867">
        <v>8.9920000000000009</v>
      </c>
      <c r="N1867" s="8"/>
    </row>
    <row r="1868" spans="1:14" x14ac:dyDescent="0.25">
      <c r="A1868" s="8">
        <v>40263</v>
      </c>
      <c r="B1868">
        <v>2050396.27</v>
      </c>
      <c r="C1868">
        <v>0</v>
      </c>
      <c r="D1868">
        <v>54.36</v>
      </c>
      <c r="E1868">
        <v>2.8540000000000001</v>
      </c>
      <c r="F1868">
        <v>181.97186970000001</v>
      </c>
      <c r="G1868">
        <v>8.9920000000000009</v>
      </c>
      <c r="N1868" s="8"/>
    </row>
    <row r="1869" spans="1:14" x14ac:dyDescent="0.25">
      <c r="A1869" s="8">
        <v>40270</v>
      </c>
      <c r="B1869">
        <v>2495630.5099999998</v>
      </c>
      <c r="C1869">
        <v>0</v>
      </c>
      <c r="D1869">
        <v>47.74</v>
      </c>
      <c r="E1869">
        <v>2.85</v>
      </c>
      <c r="F1869">
        <v>181.8657537</v>
      </c>
      <c r="G1869">
        <v>8.8989999999999991</v>
      </c>
      <c r="N1869" s="8"/>
    </row>
    <row r="1870" spans="1:14" x14ac:dyDescent="0.25">
      <c r="A1870" s="8">
        <v>40277</v>
      </c>
      <c r="B1870">
        <v>2258781.2799999998</v>
      </c>
      <c r="C1870">
        <v>0</v>
      </c>
      <c r="D1870">
        <v>65.45</v>
      </c>
      <c r="E1870">
        <v>2.8690000000000002</v>
      </c>
      <c r="F1870">
        <v>181.75963770000001</v>
      </c>
      <c r="G1870">
        <v>8.8989999999999991</v>
      </c>
      <c r="N1870" s="8"/>
    </row>
    <row r="1871" spans="1:14" x14ac:dyDescent="0.25">
      <c r="A1871" s="8">
        <v>40284</v>
      </c>
      <c r="B1871">
        <v>2121788.61</v>
      </c>
      <c r="C1871">
        <v>0</v>
      </c>
      <c r="D1871">
        <v>54.28</v>
      </c>
      <c r="E1871">
        <v>2.899</v>
      </c>
      <c r="F1871">
        <v>181.6924769</v>
      </c>
      <c r="G1871">
        <v>8.8989999999999991</v>
      </c>
      <c r="N1871" s="8"/>
    </row>
    <row r="1872" spans="1:14" x14ac:dyDescent="0.25">
      <c r="A1872" s="8">
        <v>40291</v>
      </c>
      <c r="B1872">
        <v>2138144.91</v>
      </c>
      <c r="C1872">
        <v>0</v>
      </c>
      <c r="D1872">
        <v>53.47</v>
      </c>
      <c r="E1872">
        <v>2.9020000000000001</v>
      </c>
      <c r="F1872">
        <v>181.6772564</v>
      </c>
      <c r="G1872">
        <v>8.8989999999999991</v>
      </c>
      <c r="N1872" s="8"/>
    </row>
    <row r="1873" spans="1:14" x14ac:dyDescent="0.25">
      <c r="A1873" s="8">
        <v>40298</v>
      </c>
      <c r="B1873">
        <v>2082355.12</v>
      </c>
      <c r="C1873">
        <v>0</v>
      </c>
      <c r="D1873">
        <v>53.15</v>
      </c>
      <c r="E1873">
        <v>2.9209999999999998</v>
      </c>
      <c r="F1873">
        <v>181.66203590000001</v>
      </c>
      <c r="G1873">
        <v>8.8989999999999991</v>
      </c>
      <c r="N1873" s="8"/>
    </row>
    <row r="1874" spans="1:14" x14ac:dyDescent="0.25">
      <c r="A1874" s="8">
        <v>40305</v>
      </c>
      <c r="B1874">
        <v>2370116.52</v>
      </c>
      <c r="C1874">
        <v>0</v>
      </c>
      <c r="D1874">
        <v>70.75</v>
      </c>
      <c r="E1874">
        <v>2.9660000000000002</v>
      </c>
      <c r="F1874">
        <v>181.64681540000001</v>
      </c>
      <c r="G1874">
        <v>8.8989999999999991</v>
      </c>
      <c r="N1874" s="8"/>
    </row>
    <row r="1875" spans="1:14" x14ac:dyDescent="0.25">
      <c r="A1875" s="8">
        <v>40312</v>
      </c>
      <c r="B1875">
        <v>2129771.13</v>
      </c>
      <c r="C1875">
        <v>0</v>
      </c>
      <c r="D1875">
        <v>54.26</v>
      </c>
      <c r="E1875">
        <v>2.9820000000000002</v>
      </c>
      <c r="F1875">
        <v>181.6612792</v>
      </c>
      <c r="G1875">
        <v>8.8989999999999991</v>
      </c>
      <c r="N1875" s="8"/>
    </row>
    <row r="1876" spans="1:14" x14ac:dyDescent="0.25">
      <c r="A1876" s="8">
        <v>40319</v>
      </c>
      <c r="B1876">
        <v>2108187.1</v>
      </c>
      <c r="C1876">
        <v>0</v>
      </c>
      <c r="D1876">
        <v>62.62</v>
      </c>
      <c r="E1876">
        <v>2.9580000000000002</v>
      </c>
      <c r="F1876">
        <v>181.85384859999999</v>
      </c>
      <c r="G1876">
        <v>8.8989999999999991</v>
      </c>
      <c r="N1876" s="8"/>
    </row>
    <row r="1877" spans="1:14" x14ac:dyDescent="0.25">
      <c r="A1877" s="8">
        <v>40326</v>
      </c>
      <c r="B1877">
        <v>2227152.16</v>
      </c>
      <c r="C1877">
        <v>0</v>
      </c>
      <c r="D1877">
        <v>69.27</v>
      </c>
      <c r="E1877">
        <v>2.899</v>
      </c>
      <c r="F1877">
        <v>182.04641810000001</v>
      </c>
      <c r="G1877">
        <v>8.8989999999999991</v>
      </c>
      <c r="N1877" s="8"/>
    </row>
    <row r="1878" spans="1:14" x14ac:dyDescent="0.25">
      <c r="A1878" s="8">
        <v>40333</v>
      </c>
      <c r="B1878">
        <v>2363601.4700000002</v>
      </c>
      <c r="C1878">
        <v>0</v>
      </c>
      <c r="D1878">
        <v>75.930000000000007</v>
      </c>
      <c r="E1878">
        <v>2.847</v>
      </c>
      <c r="F1878">
        <v>182.2389876</v>
      </c>
      <c r="G1878">
        <v>8.8989999999999991</v>
      </c>
      <c r="N1878" s="8"/>
    </row>
    <row r="1879" spans="1:14" x14ac:dyDescent="0.25">
      <c r="A1879" s="8">
        <v>40340</v>
      </c>
      <c r="B1879">
        <v>2249570.04</v>
      </c>
      <c r="C1879">
        <v>0</v>
      </c>
      <c r="D1879">
        <v>69.709999999999994</v>
      </c>
      <c r="E1879">
        <v>2.8090000000000002</v>
      </c>
      <c r="F1879">
        <v>182.43155709999999</v>
      </c>
      <c r="G1879">
        <v>8.8989999999999991</v>
      </c>
      <c r="N1879" s="8"/>
    </row>
    <row r="1880" spans="1:14" x14ac:dyDescent="0.25">
      <c r="A1880" s="8">
        <v>40347</v>
      </c>
      <c r="B1880">
        <v>2248645.59</v>
      </c>
      <c r="C1880">
        <v>0</v>
      </c>
      <c r="D1880">
        <v>72.62</v>
      </c>
      <c r="E1880">
        <v>2.78</v>
      </c>
      <c r="F1880">
        <v>182.4424199</v>
      </c>
      <c r="G1880">
        <v>8.8989999999999991</v>
      </c>
      <c r="N1880" s="8"/>
    </row>
    <row r="1881" spans="1:14" x14ac:dyDescent="0.25">
      <c r="A1881" s="8">
        <v>40354</v>
      </c>
      <c r="B1881">
        <v>2246179.91</v>
      </c>
      <c r="C1881">
        <v>0</v>
      </c>
      <c r="D1881">
        <v>79.319999999999993</v>
      </c>
      <c r="E1881">
        <v>2.8079999999999998</v>
      </c>
      <c r="F1881">
        <v>182.38059999999999</v>
      </c>
      <c r="G1881">
        <v>8.8989999999999991</v>
      </c>
      <c r="N1881" s="8"/>
    </row>
    <row r="1882" spans="1:14" x14ac:dyDescent="0.25">
      <c r="A1882" s="8">
        <v>40361</v>
      </c>
      <c r="B1882">
        <v>2334788.42</v>
      </c>
      <c r="C1882">
        <v>0</v>
      </c>
      <c r="D1882">
        <v>76.61</v>
      </c>
      <c r="E1882">
        <v>2.8149999999999999</v>
      </c>
      <c r="F1882">
        <v>182.3187801</v>
      </c>
      <c r="G1882">
        <v>8.7430000000000003</v>
      </c>
      <c r="N1882" s="8"/>
    </row>
    <row r="1883" spans="1:14" x14ac:dyDescent="0.25">
      <c r="A1883" s="8">
        <v>40368</v>
      </c>
      <c r="B1883">
        <v>2236209.13</v>
      </c>
      <c r="C1883">
        <v>0</v>
      </c>
      <c r="D1883">
        <v>82.45</v>
      </c>
      <c r="E1883">
        <v>2.7930000000000001</v>
      </c>
      <c r="F1883">
        <v>182.2569603</v>
      </c>
      <c r="G1883">
        <v>8.7430000000000003</v>
      </c>
      <c r="N1883" s="8"/>
    </row>
    <row r="1884" spans="1:14" x14ac:dyDescent="0.25">
      <c r="A1884" s="8">
        <v>40375</v>
      </c>
      <c r="B1884">
        <v>2130287.27</v>
      </c>
      <c r="C1884">
        <v>0</v>
      </c>
      <c r="D1884">
        <v>77.84</v>
      </c>
      <c r="E1884">
        <v>2.7829999999999999</v>
      </c>
      <c r="F1884">
        <v>182.26044110000001</v>
      </c>
      <c r="G1884">
        <v>8.7430000000000003</v>
      </c>
      <c r="N1884" s="8"/>
    </row>
    <row r="1885" spans="1:14" x14ac:dyDescent="0.25">
      <c r="A1885" s="8">
        <v>40382</v>
      </c>
      <c r="B1885">
        <v>2044155.39</v>
      </c>
      <c r="C1885">
        <v>0</v>
      </c>
      <c r="D1885">
        <v>81.459999999999994</v>
      </c>
      <c r="E1885">
        <v>2.7709999999999999</v>
      </c>
      <c r="F1885">
        <v>182.3509895</v>
      </c>
      <c r="G1885">
        <v>8.7430000000000003</v>
      </c>
      <c r="N1885" s="8"/>
    </row>
    <row r="1886" spans="1:14" x14ac:dyDescent="0.25">
      <c r="A1886" s="8">
        <v>40389</v>
      </c>
      <c r="B1886">
        <v>2054843.28</v>
      </c>
      <c r="C1886">
        <v>0</v>
      </c>
      <c r="D1886">
        <v>79.78</v>
      </c>
      <c r="E1886">
        <v>2.7810000000000001</v>
      </c>
      <c r="F1886">
        <v>182.44153779999999</v>
      </c>
      <c r="G1886">
        <v>8.7430000000000003</v>
      </c>
      <c r="N1886" s="8"/>
    </row>
    <row r="1887" spans="1:14" x14ac:dyDescent="0.25">
      <c r="A1887" s="8">
        <v>40396</v>
      </c>
      <c r="B1887">
        <v>2219813.5</v>
      </c>
      <c r="C1887">
        <v>0</v>
      </c>
      <c r="D1887">
        <v>77.17</v>
      </c>
      <c r="E1887">
        <v>2.7839999999999998</v>
      </c>
      <c r="F1887">
        <v>182.53208620000001</v>
      </c>
      <c r="G1887">
        <v>8.7430000000000003</v>
      </c>
      <c r="N1887" s="8"/>
    </row>
    <row r="1888" spans="1:14" x14ac:dyDescent="0.25">
      <c r="A1888" s="8">
        <v>40403</v>
      </c>
      <c r="B1888">
        <v>2052984.81</v>
      </c>
      <c r="C1888">
        <v>0</v>
      </c>
      <c r="D1888">
        <v>78.44</v>
      </c>
      <c r="E1888">
        <v>2.8050000000000002</v>
      </c>
      <c r="F1888">
        <v>182.6226346</v>
      </c>
      <c r="G1888">
        <v>8.7430000000000003</v>
      </c>
      <c r="N1888" s="8"/>
    </row>
    <row r="1889" spans="1:14" x14ac:dyDescent="0.25">
      <c r="A1889" s="8">
        <v>40410</v>
      </c>
      <c r="B1889">
        <v>2057138.31</v>
      </c>
      <c r="C1889">
        <v>0</v>
      </c>
      <c r="D1889">
        <v>76.010000000000005</v>
      </c>
      <c r="E1889">
        <v>2.7789999999999999</v>
      </c>
      <c r="F1889">
        <v>182.61652050000001</v>
      </c>
      <c r="G1889">
        <v>8.7430000000000003</v>
      </c>
      <c r="N1889" s="8"/>
    </row>
    <row r="1890" spans="1:14" x14ac:dyDescent="0.25">
      <c r="A1890" s="8">
        <v>40417</v>
      </c>
      <c r="B1890">
        <v>2020332.07</v>
      </c>
      <c r="C1890">
        <v>0</v>
      </c>
      <c r="D1890">
        <v>71.36</v>
      </c>
      <c r="E1890">
        <v>2.7549999999999999</v>
      </c>
      <c r="F1890">
        <v>182.61040629999999</v>
      </c>
      <c r="G1890">
        <v>8.7430000000000003</v>
      </c>
      <c r="N1890" s="8"/>
    </row>
    <row r="1891" spans="1:14" x14ac:dyDescent="0.25">
      <c r="A1891" s="8">
        <v>40424</v>
      </c>
      <c r="B1891">
        <v>2182563.66</v>
      </c>
      <c r="C1891">
        <v>0</v>
      </c>
      <c r="D1891">
        <v>78.37</v>
      </c>
      <c r="E1891">
        <v>2.7149999999999999</v>
      </c>
      <c r="F1891">
        <v>182.6042922</v>
      </c>
      <c r="G1891">
        <v>8.7430000000000003</v>
      </c>
      <c r="N1891" s="8"/>
    </row>
    <row r="1892" spans="1:14" x14ac:dyDescent="0.25">
      <c r="A1892" s="8">
        <v>40431</v>
      </c>
      <c r="B1892">
        <v>2191767.7599999998</v>
      </c>
      <c r="C1892">
        <v>1</v>
      </c>
      <c r="D1892">
        <v>70.87</v>
      </c>
      <c r="E1892">
        <v>2.6989999999999998</v>
      </c>
      <c r="F1892">
        <v>182.59817799999999</v>
      </c>
      <c r="G1892">
        <v>8.7430000000000003</v>
      </c>
      <c r="N1892" s="8"/>
    </row>
    <row r="1893" spans="1:14" x14ac:dyDescent="0.25">
      <c r="A1893" s="8">
        <v>40438</v>
      </c>
      <c r="B1893">
        <v>1953539.85</v>
      </c>
      <c r="C1893">
        <v>0</v>
      </c>
      <c r="D1893">
        <v>66.55</v>
      </c>
      <c r="E1893">
        <v>2.706</v>
      </c>
      <c r="F1893">
        <v>182.62250900000001</v>
      </c>
      <c r="G1893">
        <v>8.7430000000000003</v>
      </c>
      <c r="N1893" s="8"/>
    </row>
    <row r="1894" spans="1:14" x14ac:dyDescent="0.25">
      <c r="A1894" s="8">
        <v>40445</v>
      </c>
      <c r="B1894">
        <v>1879891.13</v>
      </c>
      <c r="C1894">
        <v>0</v>
      </c>
      <c r="D1894">
        <v>68.59</v>
      </c>
      <c r="E1894">
        <v>2.7130000000000001</v>
      </c>
      <c r="F1894">
        <v>182.6696737</v>
      </c>
      <c r="G1894">
        <v>8.7430000000000003</v>
      </c>
      <c r="N1894" s="8"/>
    </row>
    <row r="1895" spans="1:14" x14ac:dyDescent="0.25">
      <c r="A1895" s="8">
        <v>40452</v>
      </c>
      <c r="B1895">
        <v>1855703.66</v>
      </c>
      <c r="C1895">
        <v>0</v>
      </c>
      <c r="D1895">
        <v>70.58</v>
      </c>
      <c r="E1895">
        <v>2.7069999999999999</v>
      </c>
      <c r="F1895">
        <v>182.71683849999999</v>
      </c>
      <c r="G1895">
        <v>8.7240000000000002</v>
      </c>
      <c r="N1895" s="8"/>
    </row>
    <row r="1896" spans="1:14" x14ac:dyDescent="0.25">
      <c r="A1896" s="8">
        <v>40459</v>
      </c>
      <c r="B1896">
        <v>2091663.2</v>
      </c>
      <c r="C1896">
        <v>0</v>
      </c>
      <c r="D1896">
        <v>56.49</v>
      </c>
      <c r="E1896">
        <v>2.7639999999999998</v>
      </c>
      <c r="F1896">
        <v>182.76400319999999</v>
      </c>
      <c r="G1896">
        <v>8.7240000000000002</v>
      </c>
      <c r="N1896" s="8"/>
    </row>
    <row r="1897" spans="1:14" x14ac:dyDescent="0.25">
      <c r="A1897" s="8">
        <v>40466</v>
      </c>
      <c r="B1897">
        <v>1932162.63</v>
      </c>
      <c r="C1897">
        <v>0</v>
      </c>
      <c r="D1897">
        <v>58.61</v>
      </c>
      <c r="E1897">
        <v>2.8679999999999999</v>
      </c>
      <c r="F1897">
        <v>182.81062030000001</v>
      </c>
      <c r="G1897">
        <v>8.7240000000000002</v>
      </c>
      <c r="N1897" s="8"/>
    </row>
    <row r="1898" spans="1:14" x14ac:dyDescent="0.25">
      <c r="A1898" s="8">
        <v>40473</v>
      </c>
      <c r="B1898">
        <v>1936621.09</v>
      </c>
      <c r="C1898">
        <v>0</v>
      </c>
      <c r="D1898">
        <v>53.15</v>
      </c>
      <c r="E1898">
        <v>2.9169999999999998</v>
      </c>
      <c r="F1898">
        <v>182.85586850000001</v>
      </c>
      <c r="G1898">
        <v>8.7240000000000002</v>
      </c>
      <c r="N1898" s="8"/>
    </row>
    <row r="1899" spans="1:14" x14ac:dyDescent="0.25">
      <c r="A1899" s="8">
        <v>40480</v>
      </c>
      <c r="B1899">
        <v>1984768.34</v>
      </c>
      <c r="C1899">
        <v>0</v>
      </c>
      <c r="D1899">
        <v>61.3</v>
      </c>
      <c r="E1899">
        <v>2.9209999999999998</v>
      </c>
      <c r="F1899">
        <v>182.90111659999999</v>
      </c>
      <c r="G1899">
        <v>8.7240000000000002</v>
      </c>
      <c r="N1899" s="8"/>
    </row>
    <row r="1900" spans="1:14" x14ac:dyDescent="0.25">
      <c r="A1900" s="8">
        <v>40487</v>
      </c>
      <c r="B1900">
        <v>2078417.47</v>
      </c>
      <c r="C1900">
        <v>0</v>
      </c>
      <c r="D1900">
        <v>45.65</v>
      </c>
      <c r="E1900">
        <v>2.9169999999999998</v>
      </c>
      <c r="F1900">
        <v>182.9463648</v>
      </c>
      <c r="G1900">
        <v>8.7240000000000002</v>
      </c>
      <c r="N1900" s="8"/>
    </row>
    <row r="1901" spans="1:14" x14ac:dyDescent="0.25">
      <c r="A1901" s="8">
        <v>40494</v>
      </c>
      <c r="B1901">
        <v>2092189.06</v>
      </c>
      <c r="C1901">
        <v>0</v>
      </c>
      <c r="D1901">
        <v>46.14</v>
      </c>
      <c r="E1901">
        <v>2.931</v>
      </c>
      <c r="F1901">
        <v>182.99161290000001</v>
      </c>
      <c r="G1901">
        <v>8.7240000000000002</v>
      </c>
      <c r="N1901" s="8"/>
    </row>
    <row r="1902" spans="1:14" x14ac:dyDescent="0.25">
      <c r="A1902" s="8">
        <v>40501</v>
      </c>
      <c r="B1902">
        <v>1968462.58</v>
      </c>
      <c r="C1902">
        <v>0</v>
      </c>
      <c r="D1902">
        <v>50.02</v>
      </c>
      <c r="E1902">
        <v>3</v>
      </c>
      <c r="F1902">
        <v>182.89893850000001</v>
      </c>
      <c r="G1902">
        <v>8.7240000000000002</v>
      </c>
      <c r="N1902" s="8"/>
    </row>
    <row r="1903" spans="1:14" x14ac:dyDescent="0.25">
      <c r="A1903" s="8">
        <v>40508</v>
      </c>
      <c r="B1903">
        <v>2921709.71</v>
      </c>
      <c r="C1903">
        <v>1</v>
      </c>
      <c r="D1903">
        <v>46.15</v>
      </c>
      <c r="E1903">
        <v>3.0390000000000001</v>
      </c>
      <c r="F1903">
        <v>182.7832769</v>
      </c>
      <c r="G1903">
        <v>8.7240000000000002</v>
      </c>
      <c r="N1903" s="8"/>
    </row>
    <row r="1904" spans="1:14" x14ac:dyDescent="0.25">
      <c r="A1904" s="8">
        <v>40515</v>
      </c>
      <c r="B1904">
        <v>2258489.63</v>
      </c>
      <c r="C1904">
        <v>0</v>
      </c>
      <c r="D1904">
        <v>40.93</v>
      </c>
      <c r="E1904">
        <v>3.0459999999999998</v>
      </c>
      <c r="F1904">
        <v>182.66761539999999</v>
      </c>
      <c r="G1904">
        <v>8.7240000000000002</v>
      </c>
      <c r="N1904" s="8"/>
    </row>
    <row r="1905" spans="1:14" x14ac:dyDescent="0.25">
      <c r="A1905" s="8">
        <v>40522</v>
      </c>
      <c r="B1905">
        <v>2600519.2599999998</v>
      </c>
      <c r="C1905">
        <v>0</v>
      </c>
      <c r="D1905">
        <v>30.54</v>
      </c>
      <c r="E1905">
        <v>3.109</v>
      </c>
      <c r="F1905">
        <v>182.55195380000001</v>
      </c>
      <c r="G1905">
        <v>8.7240000000000002</v>
      </c>
      <c r="N1905" s="8"/>
    </row>
    <row r="1906" spans="1:14" x14ac:dyDescent="0.25">
      <c r="A1906" s="8">
        <v>40529</v>
      </c>
      <c r="B1906">
        <v>2762861.41</v>
      </c>
      <c r="C1906">
        <v>0</v>
      </c>
      <c r="D1906">
        <v>30.51</v>
      </c>
      <c r="E1906">
        <v>3.14</v>
      </c>
      <c r="F1906">
        <v>182.517732</v>
      </c>
      <c r="G1906">
        <v>8.7240000000000002</v>
      </c>
      <c r="N1906" s="8"/>
    </row>
    <row r="1907" spans="1:14" x14ac:dyDescent="0.25">
      <c r="A1907" s="8">
        <v>40536</v>
      </c>
      <c r="B1907">
        <v>3818686.45</v>
      </c>
      <c r="C1907">
        <v>0</v>
      </c>
      <c r="D1907">
        <v>30.59</v>
      </c>
      <c r="E1907">
        <v>3.141</v>
      </c>
      <c r="F1907">
        <v>182.54459</v>
      </c>
      <c r="G1907">
        <v>8.7240000000000002</v>
      </c>
      <c r="N1907" s="8"/>
    </row>
    <row r="1908" spans="1:14" x14ac:dyDescent="0.25">
      <c r="A1908" s="8">
        <v>40543</v>
      </c>
      <c r="B1908">
        <v>1623716.46</v>
      </c>
      <c r="C1908">
        <v>1</v>
      </c>
      <c r="D1908">
        <v>29.67</v>
      </c>
      <c r="E1908">
        <v>3.1789999999999998</v>
      </c>
      <c r="F1908">
        <v>182.57144790000001</v>
      </c>
      <c r="G1908">
        <v>8.7240000000000002</v>
      </c>
      <c r="N1908" s="8"/>
    </row>
    <row r="1909" spans="1:14" x14ac:dyDescent="0.25">
      <c r="A1909" s="8">
        <v>40550</v>
      </c>
      <c r="B1909">
        <v>1864746.1</v>
      </c>
      <c r="C1909">
        <v>0</v>
      </c>
      <c r="D1909">
        <v>34.32</v>
      </c>
      <c r="E1909">
        <v>3.1930000000000001</v>
      </c>
      <c r="F1909">
        <v>182.59830579999999</v>
      </c>
      <c r="G1909">
        <v>8.5489999999999995</v>
      </c>
      <c r="N1909" s="8"/>
    </row>
    <row r="1910" spans="1:14" x14ac:dyDescent="0.25">
      <c r="A1910" s="8">
        <v>40557</v>
      </c>
      <c r="B1910">
        <v>1699095.9</v>
      </c>
      <c r="C1910">
        <v>0</v>
      </c>
      <c r="D1910">
        <v>24.78</v>
      </c>
      <c r="E1910">
        <v>3.2050000000000001</v>
      </c>
      <c r="F1910">
        <v>182.65857819999999</v>
      </c>
      <c r="G1910">
        <v>8.5489999999999995</v>
      </c>
      <c r="N1910" s="8"/>
    </row>
    <row r="1911" spans="1:14" x14ac:dyDescent="0.25">
      <c r="A1911" s="8">
        <v>40564</v>
      </c>
      <c r="B1911">
        <v>1743188.87</v>
      </c>
      <c r="C1911">
        <v>0</v>
      </c>
      <c r="D1911">
        <v>30.55</v>
      </c>
      <c r="E1911">
        <v>3.2290000000000001</v>
      </c>
      <c r="F1911">
        <v>182.9193368</v>
      </c>
      <c r="G1911">
        <v>8.5489999999999995</v>
      </c>
      <c r="N1911" s="8"/>
    </row>
    <row r="1912" spans="1:14" x14ac:dyDescent="0.25">
      <c r="A1912" s="8">
        <v>40571</v>
      </c>
      <c r="B1912">
        <v>1613718.38</v>
      </c>
      <c r="C1912">
        <v>0</v>
      </c>
      <c r="D1912">
        <v>24.05</v>
      </c>
      <c r="E1912">
        <v>3.2370000000000001</v>
      </c>
      <c r="F1912">
        <v>183.18009549999999</v>
      </c>
      <c r="G1912">
        <v>8.5489999999999995</v>
      </c>
      <c r="N1912" s="8"/>
    </row>
    <row r="1913" spans="1:14" x14ac:dyDescent="0.25">
      <c r="A1913" s="8">
        <v>40578</v>
      </c>
      <c r="B1913">
        <v>1995891.87</v>
      </c>
      <c r="C1913">
        <v>0</v>
      </c>
      <c r="D1913">
        <v>28.73</v>
      </c>
      <c r="E1913">
        <v>3.2309999999999999</v>
      </c>
      <c r="F1913">
        <v>183.44085419999999</v>
      </c>
      <c r="G1913">
        <v>8.5489999999999995</v>
      </c>
      <c r="N1913" s="8"/>
    </row>
    <row r="1914" spans="1:14" x14ac:dyDescent="0.25">
      <c r="A1914" s="8">
        <v>40585</v>
      </c>
      <c r="B1914">
        <v>1980405.03</v>
      </c>
      <c r="C1914">
        <v>1</v>
      </c>
      <c r="D1914">
        <v>30.3</v>
      </c>
      <c r="E1914">
        <v>3.2389999999999999</v>
      </c>
      <c r="F1914">
        <v>183.70161289999999</v>
      </c>
      <c r="G1914">
        <v>8.5489999999999995</v>
      </c>
      <c r="N1914" s="8"/>
    </row>
    <row r="1915" spans="1:14" x14ac:dyDescent="0.25">
      <c r="A1915" s="8">
        <v>40592</v>
      </c>
      <c r="B1915">
        <v>2019031.67</v>
      </c>
      <c r="C1915">
        <v>0</v>
      </c>
      <c r="D1915">
        <v>40.700000000000003</v>
      </c>
      <c r="E1915">
        <v>3.2450000000000001</v>
      </c>
      <c r="F1915">
        <v>183.93713529999999</v>
      </c>
      <c r="G1915">
        <v>8.5489999999999995</v>
      </c>
      <c r="N1915" s="8"/>
    </row>
    <row r="1916" spans="1:14" x14ac:dyDescent="0.25">
      <c r="A1916" s="8">
        <v>40599</v>
      </c>
      <c r="B1916">
        <v>1875708.88</v>
      </c>
      <c r="C1916">
        <v>0</v>
      </c>
      <c r="D1916">
        <v>35.78</v>
      </c>
      <c r="E1916">
        <v>3.274</v>
      </c>
      <c r="F1916">
        <v>184.16256319999999</v>
      </c>
      <c r="G1916">
        <v>8.5489999999999995</v>
      </c>
      <c r="N1916" s="8"/>
    </row>
    <row r="1917" spans="1:14" x14ac:dyDescent="0.25">
      <c r="A1917" s="8">
        <v>40606</v>
      </c>
      <c r="B1917">
        <v>2041215.61</v>
      </c>
      <c r="C1917">
        <v>0</v>
      </c>
      <c r="D1917">
        <v>38.65</v>
      </c>
      <c r="E1917">
        <v>3.4329999999999998</v>
      </c>
      <c r="F1917">
        <v>184.38799109999999</v>
      </c>
      <c r="G1917">
        <v>8.5489999999999995</v>
      </c>
      <c r="N1917" s="8"/>
    </row>
    <row r="1918" spans="1:14" x14ac:dyDescent="0.25">
      <c r="A1918" s="8">
        <v>40613</v>
      </c>
      <c r="B1918">
        <v>1931104.67</v>
      </c>
      <c r="C1918">
        <v>0</v>
      </c>
      <c r="D1918">
        <v>45.01</v>
      </c>
      <c r="E1918">
        <v>3.5819999999999999</v>
      </c>
      <c r="F1918">
        <v>184.61341899999999</v>
      </c>
      <c r="G1918">
        <v>8.5489999999999995</v>
      </c>
      <c r="N1918" s="8"/>
    </row>
    <row r="1919" spans="1:14" x14ac:dyDescent="0.25">
      <c r="A1919" s="8">
        <v>40620</v>
      </c>
      <c r="B1919">
        <v>1932491.42</v>
      </c>
      <c r="C1919">
        <v>0</v>
      </c>
      <c r="D1919">
        <v>46.66</v>
      </c>
      <c r="E1919">
        <v>3.6309999999999998</v>
      </c>
      <c r="F1919">
        <v>184.809719</v>
      </c>
      <c r="G1919">
        <v>8.5489999999999995</v>
      </c>
      <c r="N1919" s="8"/>
    </row>
    <row r="1920" spans="1:14" x14ac:dyDescent="0.25">
      <c r="A1920" s="8">
        <v>40627</v>
      </c>
      <c r="B1920">
        <v>1879451.23</v>
      </c>
      <c r="C1920">
        <v>0</v>
      </c>
      <c r="D1920">
        <v>41.76</v>
      </c>
      <c r="E1920">
        <v>3.625</v>
      </c>
      <c r="F1920">
        <v>184.99436789999999</v>
      </c>
      <c r="G1920">
        <v>8.5489999999999995</v>
      </c>
      <c r="N1920" s="8"/>
    </row>
    <row r="1921" spans="1:14" x14ac:dyDescent="0.25">
      <c r="A1921" s="8">
        <v>40634</v>
      </c>
      <c r="B1921">
        <v>1869110.55</v>
      </c>
      <c r="C1921">
        <v>0</v>
      </c>
      <c r="D1921">
        <v>37.270000000000003</v>
      </c>
      <c r="E1921">
        <v>3.6379999999999999</v>
      </c>
      <c r="F1921">
        <v>185.17901670000001</v>
      </c>
      <c r="G1921">
        <v>8.5210000000000008</v>
      </c>
      <c r="N1921" s="8"/>
    </row>
    <row r="1922" spans="1:14" x14ac:dyDescent="0.25">
      <c r="A1922" s="8">
        <v>40641</v>
      </c>
      <c r="B1922">
        <v>2037798.88</v>
      </c>
      <c r="C1922">
        <v>0</v>
      </c>
      <c r="D1922">
        <v>48.71</v>
      </c>
      <c r="E1922">
        <v>3.72</v>
      </c>
      <c r="F1922">
        <v>185.36366559999999</v>
      </c>
      <c r="G1922">
        <v>8.5210000000000008</v>
      </c>
      <c r="N1922" s="8"/>
    </row>
    <row r="1923" spans="1:14" x14ac:dyDescent="0.25">
      <c r="A1923" s="8">
        <v>40648</v>
      </c>
      <c r="B1923">
        <v>1974960.86</v>
      </c>
      <c r="C1923">
        <v>0</v>
      </c>
      <c r="D1923">
        <v>53.69</v>
      </c>
      <c r="E1923">
        <v>3.8210000000000002</v>
      </c>
      <c r="F1923">
        <v>185.5339821</v>
      </c>
      <c r="G1923">
        <v>8.5210000000000008</v>
      </c>
      <c r="N1923" s="8"/>
    </row>
    <row r="1924" spans="1:14" x14ac:dyDescent="0.25">
      <c r="A1924" s="8">
        <v>40655</v>
      </c>
      <c r="B1924">
        <v>2256461.39</v>
      </c>
      <c r="C1924">
        <v>0</v>
      </c>
      <c r="D1924">
        <v>53.04</v>
      </c>
      <c r="E1924">
        <v>3.8919999999999999</v>
      </c>
      <c r="F1924">
        <v>185.6684673</v>
      </c>
      <c r="G1924">
        <v>8.5210000000000008</v>
      </c>
      <c r="N1924" s="8"/>
    </row>
    <row r="1925" spans="1:14" x14ac:dyDescent="0.25">
      <c r="A1925" s="8">
        <v>40662</v>
      </c>
      <c r="B1925">
        <v>1930617.64</v>
      </c>
      <c r="C1925">
        <v>0</v>
      </c>
      <c r="D1925">
        <v>66.180000000000007</v>
      </c>
      <c r="E1925">
        <v>3.9620000000000002</v>
      </c>
      <c r="F1925">
        <v>185.8029526</v>
      </c>
      <c r="G1925">
        <v>8.5210000000000008</v>
      </c>
      <c r="N1925" s="8"/>
    </row>
    <row r="1926" spans="1:14" x14ac:dyDescent="0.25">
      <c r="A1926" s="8">
        <v>40669</v>
      </c>
      <c r="B1926">
        <v>2095599.93</v>
      </c>
      <c r="C1926">
        <v>0</v>
      </c>
      <c r="D1926">
        <v>58.21</v>
      </c>
      <c r="E1926">
        <v>4.0460000000000003</v>
      </c>
      <c r="F1926">
        <v>185.9374378</v>
      </c>
      <c r="G1926">
        <v>8.5210000000000008</v>
      </c>
      <c r="N1926" s="8"/>
    </row>
    <row r="1927" spans="1:14" x14ac:dyDescent="0.25">
      <c r="A1927" s="8">
        <v>40676</v>
      </c>
      <c r="B1927">
        <v>2004330.3</v>
      </c>
      <c r="C1927">
        <v>0</v>
      </c>
      <c r="D1927">
        <v>60.38</v>
      </c>
      <c r="E1927">
        <v>4.0659999999999998</v>
      </c>
      <c r="F1927">
        <v>186.07192309999999</v>
      </c>
      <c r="G1927">
        <v>8.5210000000000008</v>
      </c>
      <c r="N1927" s="8"/>
    </row>
    <row r="1928" spans="1:14" x14ac:dyDescent="0.25">
      <c r="A1928" s="8">
        <v>40683</v>
      </c>
      <c r="B1928">
        <v>1959967.8</v>
      </c>
      <c r="C1928">
        <v>0</v>
      </c>
      <c r="D1928">
        <v>62.28</v>
      </c>
      <c r="E1928">
        <v>4.0620000000000003</v>
      </c>
      <c r="F1928">
        <v>185.96611540000001</v>
      </c>
      <c r="G1928">
        <v>8.5210000000000008</v>
      </c>
      <c r="N1928" s="8"/>
    </row>
    <row r="1929" spans="1:14" x14ac:dyDescent="0.25">
      <c r="A1929" s="8">
        <v>40690</v>
      </c>
      <c r="B1929">
        <v>2080694.24</v>
      </c>
      <c r="C1929">
        <v>0</v>
      </c>
      <c r="D1929">
        <v>69.7</v>
      </c>
      <c r="E1929">
        <v>3.9849999999999999</v>
      </c>
      <c r="F1929">
        <v>185.86030769999999</v>
      </c>
      <c r="G1929">
        <v>8.5210000000000008</v>
      </c>
      <c r="N1929" s="8"/>
    </row>
    <row r="1930" spans="1:14" x14ac:dyDescent="0.25">
      <c r="A1930" s="8">
        <v>40697</v>
      </c>
      <c r="B1930">
        <v>2079899.47</v>
      </c>
      <c r="C1930">
        <v>0</v>
      </c>
      <c r="D1930">
        <v>76.38</v>
      </c>
      <c r="E1930">
        <v>3.9220000000000002</v>
      </c>
      <c r="F1930">
        <v>185.75450000000001</v>
      </c>
      <c r="G1930">
        <v>8.5210000000000008</v>
      </c>
      <c r="N1930" s="8"/>
    </row>
    <row r="1931" spans="1:14" x14ac:dyDescent="0.25">
      <c r="A1931" s="8">
        <v>40704</v>
      </c>
      <c r="B1931">
        <v>2132446</v>
      </c>
      <c r="C1931">
        <v>0</v>
      </c>
      <c r="D1931">
        <v>73.88</v>
      </c>
      <c r="E1931">
        <v>3.8809999999999998</v>
      </c>
      <c r="F1931">
        <v>185.64869229999999</v>
      </c>
      <c r="G1931">
        <v>8.5210000000000008</v>
      </c>
      <c r="N1931" s="8"/>
    </row>
    <row r="1932" spans="1:14" x14ac:dyDescent="0.25">
      <c r="A1932" s="8">
        <v>40711</v>
      </c>
      <c r="B1932">
        <v>2082083.34</v>
      </c>
      <c r="C1932">
        <v>0</v>
      </c>
      <c r="D1932">
        <v>69.319999999999993</v>
      </c>
      <c r="E1932">
        <v>3.8420000000000001</v>
      </c>
      <c r="F1932">
        <v>185.67193330000001</v>
      </c>
      <c r="G1932">
        <v>8.5210000000000008</v>
      </c>
      <c r="N1932" s="8"/>
    </row>
    <row r="1933" spans="1:14" x14ac:dyDescent="0.25">
      <c r="A1933" s="8">
        <v>40718</v>
      </c>
      <c r="B1933">
        <v>2069523.52</v>
      </c>
      <c r="C1933">
        <v>0</v>
      </c>
      <c r="D1933">
        <v>74.849999999999994</v>
      </c>
      <c r="E1933">
        <v>3.8039999999999998</v>
      </c>
      <c r="F1933">
        <v>185.79196089999999</v>
      </c>
      <c r="G1933">
        <v>8.5210000000000008</v>
      </c>
      <c r="N1933" s="8"/>
    </row>
    <row r="1934" spans="1:14" x14ac:dyDescent="0.25">
      <c r="A1934" s="8">
        <v>40725</v>
      </c>
      <c r="B1934">
        <v>2074668.19</v>
      </c>
      <c r="C1934">
        <v>0</v>
      </c>
      <c r="D1934">
        <v>74.040000000000006</v>
      </c>
      <c r="E1934">
        <v>3.7480000000000002</v>
      </c>
      <c r="F1934">
        <v>185.91198850000001</v>
      </c>
      <c r="G1934">
        <v>8.625</v>
      </c>
      <c r="N1934" s="8"/>
    </row>
    <row r="1935" spans="1:14" x14ac:dyDescent="0.25">
      <c r="A1935" s="8">
        <v>40732</v>
      </c>
      <c r="B1935">
        <v>2063401.06</v>
      </c>
      <c r="C1935">
        <v>0</v>
      </c>
      <c r="D1935">
        <v>77.489999999999995</v>
      </c>
      <c r="E1935">
        <v>3.7109999999999999</v>
      </c>
      <c r="F1935">
        <v>186.032016</v>
      </c>
      <c r="G1935">
        <v>8.625</v>
      </c>
      <c r="N1935" s="8"/>
    </row>
    <row r="1936" spans="1:14" x14ac:dyDescent="0.25">
      <c r="A1936" s="8">
        <v>40739</v>
      </c>
      <c r="B1936">
        <v>1953544.76</v>
      </c>
      <c r="C1936">
        <v>0</v>
      </c>
      <c r="D1936">
        <v>78.47</v>
      </c>
      <c r="E1936">
        <v>3.76</v>
      </c>
      <c r="F1936">
        <v>186.13998079999999</v>
      </c>
      <c r="G1936">
        <v>8.625</v>
      </c>
      <c r="N1936" s="8"/>
    </row>
    <row r="1937" spans="1:14" x14ac:dyDescent="0.25">
      <c r="A1937" s="8">
        <v>40746</v>
      </c>
      <c r="B1937">
        <v>1882070.88</v>
      </c>
      <c r="C1937">
        <v>0</v>
      </c>
      <c r="D1937">
        <v>82.33</v>
      </c>
      <c r="E1937">
        <v>3.8109999999999999</v>
      </c>
      <c r="F1937">
        <v>186.21778850000001</v>
      </c>
      <c r="G1937">
        <v>8.625</v>
      </c>
      <c r="N1937" s="8"/>
    </row>
    <row r="1938" spans="1:14" x14ac:dyDescent="0.25">
      <c r="A1938" s="8">
        <v>40753</v>
      </c>
      <c r="B1938">
        <v>1871021.01</v>
      </c>
      <c r="C1938">
        <v>0</v>
      </c>
      <c r="D1938">
        <v>81.31</v>
      </c>
      <c r="E1938">
        <v>3.8290000000000002</v>
      </c>
      <c r="F1938">
        <v>186.29559620000001</v>
      </c>
      <c r="G1938">
        <v>8.625</v>
      </c>
      <c r="N1938" s="8"/>
    </row>
    <row r="1939" spans="1:14" x14ac:dyDescent="0.25">
      <c r="A1939" s="8">
        <v>40760</v>
      </c>
      <c r="B1939">
        <v>2066020.69</v>
      </c>
      <c r="C1939">
        <v>0</v>
      </c>
      <c r="D1939">
        <v>78.22</v>
      </c>
      <c r="E1939">
        <v>3.8420000000000001</v>
      </c>
      <c r="F1939">
        <v>186.37340380000001</v>
      </c>
      <c r="G1939">
        <v>8.625</v>
      </c>
      <c r="N1939" s="8"/>
    </row>
    <row r="1940" spans="1:14" x14ac:dyDescent="0.25">
      <c r="A1940" s="8">
        <v>40767</v>
      </c>
      <c r="B1940">
        <v>1928773.82</v>
      </c>
      <c r="C1940">
        <v>0</v>
      </c>
      <c r="D1940">
        <v>77</v>
      </c>
      <c r="E1940">
        <v>3.8119999999999998</v>
      </c>
      <c r="F1940">
        <v>186.4512115</v>
      </c>
      <c r="G1940">
        <v>8.625</v>
      </c>
      <c r="N1940" s="8"/>
    </row>
    <row r="1941" spans="1:14" x14ac:dyDescent="0.25">
      <c r="A1941" s="8">
        <v>40774</v>
      </c>
      <c r="B1941">
        <v>1896873.99</v>
      </c>
      <c r="C1941">
        <v>0</v>
      </c>
      <c r="D1941">
        <v>72.98</v>
      </c>
      <c r="E1941">
        <v>3.7469999999999999</v>
      </c>
      <c r="F1941">
        <v>186.5093071</v>
      </c>
      <c r="G1941">
        <v>8.625</v>
      </c>
      <c r="N1941" s="8"/>
    </row>
    <row r="1942" spans="1:14" x14ac:dyDescent="0.25">
      <c r="A1942" s="8">
        <v>40781</v>
      </c>
      <c r="B1942">
        <v>2273470.62</v>
      </c>
      <c r="C1942">
        <v>0</v>
      </c>
      <c r="D1942">
        <v>72.55</v>
      </c>
      <c r="E1942">
        <v>3.7040000000000002</v>
      </c>
      <c r="F1942">
        <v>186.5641172</v>
      </c>
      <c r="G1942">
        <v>8.625</v>
      </c>
      <c r="N1942" s="8"/>
    </row>
    <row r="1943" spans="1:14" x14ac:dyDescent="0.25">
      <c r="A1943" s="8">
        <v>40788</v>
      </c>
      <c r="B1943">
        <v>1750891.47</v>
      </c>
      <c r="C1943">
        <v>0</v>
      </c>
      <c r="D1943">
        <v>70.63</v>
      </c>
      <c r="E1943">
        <v>3.7029999999999998</v>
      </c>
      <c r="F1943">
        <v>186.61892739999999</v>
      </c>
      <c r="G1943">
        <v>8.625</v>
      </c>
      <c r="N1943" s="8"/>
    </row>
    <row r="1944" spans="1:14" x14ac:dyDescent="0.25">
      <c r="A1944" s="8">
        <v>40795</v>
      </c>
      <c r="B1944">
        <v>2202742.9</v>
      </c>
      <c r="C1944">
        <v>1</v>
      </c>
      <c r="D1944">
        <v>71.48</v>
      </c>
      <c r="E1944">
        <v>3.738</v>
      </c>
      <c r="F1944">
        <v>186.67373760000001</v>
      </c>
      <c r="G1944">
        <v>8.625</v>
      </c>
      <c r="N1944" s="8"/>
    </row>
    <row r="1945" spans="1:14" x14ac:dyDescent="0.25">
      <c r="A1945" s="8">
        <v>40802</v>
      </c>
      <c r="B1945">
        <v>1864637.89</v>
      </c>
      <c r="C1945">
        <v>0</v>
      </c>
      <c r="D1945">
        <v>69.17</v>
      </c>
      <c r="E1945">
        <v>3.742</v>
      </c>
      <c r="F1945">
        <v>186.80240000000001</v>
      </c>
      <c r="G1945">
        <v>8.625</v>
      </c>
      <c r="N1945" s="8"/>
    </row>
    <row r="1946" spans="1:14" x14ac:dyDescent="0.25">
      <c r="A1946" s="8">
        <v>40809</v>
      </c>
      <c r="B1946">
        <v>1871555.64</v>
      </c>
      <c r="C1946">
        <v>0</v>
      </c>
      <c r="D1946">
        <v>63.75</v>
      </c>
      <c r="E1946">
        <v>3.7109999999999999</v>
      </c>
      <c r="F1946">
        <v>187.02953210000001</v>
      </c>
      <c r="G1946">
        <v>8.625</v>
      </c>
      <c r="N1946" s="8"/>
    </row>
    <row r="1947" spans="1:14" x14ac:dyDescent="0.25">
      <c r="A1947" s="8">
        <v>40816</v>
      </c>
      <c r="B1947">
        <v>1809989.29</v>
      </c>
      <c r="C1947">
        <v>0</v>
      </c>
      <c r="D1947">
        <v>70.66</v>
      </c>
      <c r="E1947">
        <v>3.645</v>
      </c>
      <c r="F1947">
        <v>187.25666409999999</v>
      </c>
      <c r="G1947">
        <v>8.625</v>
      </c>
      <c r="N1947" s="8"/>
    </row>
    <row r="1948" spans="1:14" x14ac:dyDescent="0.25">
      <c r="A1948" s="8">
        <v>40823</v>
      </c>
      <c r="B1948">
        <v>2078796.76</v>
      </c>
      <c r="C1948">
        <v>0</v>
      </c>
      <c r="D1948">
        <v>55.82</v>
      </c>
      <c r="E1948">
        <v>3.5830000000000002</v>
      </c>
      <c r="F1948">
        <v>187.4837962</v>
      </c>
      <c r="G1948">
        <v>8.5229999999999997</v>
      </c>
      <c r="N1948" s="8"/>
    </row>
    <row r="1949" spans="1:14" x14ac:dyDescent="0.25">
      <c r="A1949" s="8">
        <v>40830</v>
      </c>
      <c r="B1949">
        <v>1890870.75</v>
      </c>
      <c r="C1949">
        <v>0</v>
      </c>
      <c r="D1949">
        <v>63.82</v>
      </c>
      <c r="E1949">
        <v>3.5409999999999999</v>
      </c>
      <c r="F1949">
        <v>187.69174810000001</v>
      </c>
      <c r="G1949">
        <v>8.5229999999999997</v>
      </c>
      <c r="N1949" s="8"/>
    </row>
    <row r="1950" spans="1:14" x14ac:dyDescent="0.25">
      <c r="A1950" s="8">
        <v>40837</v>
      </c>
      <c r="B1950">
        <v>2009004.59</v>
      </c>
      <c r="C1950">
        <v>0</v>
      </c>
      <c r="D1950">
        <v>59.6</v>
      </c>
      <c r="E1950">
        <v>3.57</v>
      </c>
      <c r="F1950">
        <v>187.78461970000001</v>
      </c>
      <c r="G1950">
        <v>8.5229999999999997</v>
      </c>
      <c r="N1950" s="8"/>
    </row>
    <row r="1951" spans="1:14" x14ac:dyDescent="0.25">
      <c r="A1951" s="8">
        <v>40844</v>
      </c>
      <c r="B1951">
        <v>2056846.12</v>
      </c>
      <c r="C1951">
        <v>0</v>
      </c>
      <c r="D1951">
        <v>51.78</v>
      </c>
      <c r="E1951">
        <v>3.569</v>
      </c>
      <c r="F1951">
        <v>187.8774913</v>
      </c>
      <c r="G1951">
        <v>8.5229999999999997</v>
      </c>
      <c r="N1951" s="8"/>
    </row>
    <row r="1952" spans="1:14" x14ac:dyDescent="0.25">
      <c r="A1952" s="8">
        <v>40851</v>
      </c>
      <c r="B1952">
        <v>2174056.71</v>
      </c>
      <c r="C1952">
        <v>0</v>
      </c>
      <c r="D1952">
        <v>43.92</v>
      </c>
      <c r="E1952">
        <v>3.5510000000000002</v>
      </c>
      <c r="F1952">
        <v>187.9703629</v>
      </c>
      <c r="G1952">
        <v>8.5229999999999997</v>
      </c>
      <c r="N1952" s="8"/>
    </row>
    <row r="1953" spans="1:14" x14ac:dyDescent="0.25">
      <c r="A1953" s="8">
        <v>40858</v>
      </c>
      <c r="B1953">
        <v>2081534.65</v>
      </c>
      <c r="C1953">
        <v>0</v>
      </c>
      <c r="D1953">
        <v>47.65</v>
      </c>
      <c r="E1953">
        <v>3.53</v>
      </c>
      <c r="F1953">
        <v>188.06323449999999</v>
      </c>
      <c r="G1953">
        <v>8.5229999999999997</v>
      </c>
      <c r="N1953" s="8"/>
    </row>
    <row r="1954" spans="1:14" x14ac:dyDescent="0.25">
      <c r="A1954" s="8">
        <v>40865</v>
      </c>
      <c r="B1954">
        <v>1969360.72</v>
      </c>
      <c r="C1954">
        <v>0</v>
      </c>
      <c r="D1954">
        <v>51.34</v>
      </c>
      <c r="E1954">
        <v>3.53</v>
      </c>
      <c r="F1954">
        <v>188.1983654</v>
      </c>
      <c r="G1954">
        <v>8.5229999999999997</v>
      </c>
      <c r="N1954" s="8"/>
    </row>
    <row r="1955" spans="1:14" x14ac:dyDescent="0.25">
      <c r="A1955" s="8">
        <v>40872</v>
      </c>
      <c r="B1955">
        <v>2685351.81</v>
      </c>
      <c r="C1955">
        <v>1</v>
      </c>
      <c r="D1955">
        <v>48.71</v>
      </c>
      <c r="E1955">
        <v>3.492</v>
      </c>
      <c r="F1955">
        <v>188.35040000000001</v>
      </c>
      <c r="G1955">
        <v>8.5229999999999997</v>
      </c>
      <c r="N1955" s="8"/>
    </row>
    <row r="1956" spans="1:14" x14ac:dyDescent="0.25">
      <c r="A1956" s="8">
        <v>40879</v>
      </c>
      <c r="B1956">
        <v>2143080.5699999998</v>
      </c>
      <c r="C1956">
        <v>0</v>
      </c>
      <c r="D1956">
        <v>50.19</v>
      </c>
      <c r="E1956">
        <v>3.452</v>
      </c>
      <c r="F1956">
        <v>188.50243459999999</v>
      </c>
      <c r="G1956">
        <v>8.5229999999999997</v>
      </c>
      <c r="N1956" s="8"/>
    </row>
    <row r="1957" spans="1:14" x14ac:dyDescent="0.25">
      <c r="A1957" s="8">
        <v>40886</v>
      </c>
      <c r="B1957">
        <v>2470581.29</v>
      </c>
      <c r="C1957">
        <v>0</v>
      </c>
      <c r="D1957">
        <v>46.57</v>
      </c>
      <c r="E1957">
        <v>3.415</v>
      </c>
      <c r="F1957">
        <v>188.65446919999999</v>
      </c>
      <c r="G1957">
        <v>8.5229999999999997</v>
      </c>
      <c r="N1957" s="8"/>
    </row>
    <row r="1958" spans="1:14" x14ac:dyDescent="0.25">
      <c r="A1958" s="8">
        <v>40893</v>
      </c>
      <c r="B1958">
        <v>2594363.09</v>
      </c>
      <c r="C1958">
        <v>0</v>
      </c>
      <c r="D1958">
        <v>39.93</v>
      </c>
      <c r="E1958">
        <v>3.4129999999999998</v>
      </c>
      <c r="F1958">
        <v>188.7979349</v>
      </c>
      <c r="G1958">
        <v>8.5229999999999997</v>
      </c>
      <c r="N1958" s="8"/>
    </row>
    <row r="1959" spans="1:14" x14ac:dyDescent="0.25">
      <c r="A1959" s="8">
        <v>40900</v>
      </c>
      <c r="B1959">
        <v>3369068.99</v>
      </c>
      <c r="C1959">
        <v>0</v>
      </c>
      <c r="D1959">
        <v>42.27</v>
      </c>
      <c r="E1959">
        <v>3.3889999999999998</v>
      </c>
      <c r="F1959">
        <v>188.9299752</v>
      </c>
      <c r="G1959">
        <v>8.5229999999999997</v>
      </c>
      <c r="N1959" s="8"/>
    </row>
    <row r="1960" spans="1:14" x14ac:dyDescent="0.25">
      <c r="A1960" s="8">
        <v>40907</v>
      </c>
      <c r="B1960">
        <v>1914148.89</v>
      </c>
      <c r="C1960">
        <v>1</v>
      </c>
      <c r="D1960">
        <v>37.79</v>
      </c>
      <c r="E1960">
        <v>3.3889999999999998</v>
      </c>
      <c r="F1960">
        <v>189.0620155</v>
      </c>
      <c r="G1960">
        <v>8.5229999999999997</v>
      </c>
      <c r="N1960" s="8"/>
    </row>
    <row r="1961" spans="1:14" x14ac:dyDescent="0.25">
      <c r="A1961" s="8">
        <v>40914</v>
      </c>
      <c r="B1961">
        <v>1859144.96</v>
      </c>
      <c r="C1961">
        <v>0</v>
      </c>
      <c r="D1961">
        <v>35.880000000000003</v>
      </c>
      <c r="E1961">
        <v>3.4220000000000002</v>
      </c>
      <c r="F1961">
        <v>189.1940558</v>
      </c>
      <c r="G1961">
        <v>8.4239999999999995</v>
      </c>
      <c r="N1961" s="8"/>
    </row>
    <row r="1962" spans="1:14" x14ac:dyDescent="0.25">
      <c r="A1962" s="8">
        <v>40921</v>
      </c>
      <c r="B1962">
        <v>1696248.27</v>
      </c>
      <c r="C1962">
        <v>0</v>
      </c>
      <c r="D1962">
        <v>41.18</v>
      </c>
      <c r="E1962">
        <v>3.5129999999999999</v>
      </c>
      <c r="F1962">
        <v>189.32609619999999</v>
      </c>
      <c r="G1962">
        <v>8.4239999999999995</v>
      </c>
      <c r="N1962" s="8"/>
    </row>
    <row r="1963" spans="1:14" x14ac:dyDescent="0.25">
      <c r="A1963" s="8">
        <v>40928</v>
      </c>
      <c r="B1963">
        <v>1789113.32</v>
      </c>
      <c r="C1963">
        <v>0</v>
      </c>
      <c r="D1963">
        <v>31.85</v>
      </c>
      <c r="E1963">
        <v>3.5329999999999999</v>
      </c>
      <c r="F1963">
        <v>189.4214733</v>
      </c>
      <c r="G1963">
        <v>8.4239999999999995</v>
      </c>
      <c r="N1963" s="8"/>
    </row>
    <row r="1964" spans="1:14" x14ac:dyDescent="0.25">
      <c r="A1964" s="8">
        <v>40935</v>
      </c>
      <c r="B1964">
        <v>1595362.27</v>
      </c>
      <c r="C1964">
        <v>0</v>
      </c>
      <c r="D1964">
        <v>37.93</v>
      </c>
      <c r="E1964">
        <v>3.5670000000000002</v>
      </c>
      <c r="F1964">
        <v>189.5168505</v>
      </c>
      <c r="G1964">
        <v>8.4239999999999995</v>
      </c>
      <c r="N1964" s="8"/>
    </row>
    <row r="1965" spans="1:14" x14ac:dyDescent="0.25">
      <c r="A1965" s="8">
        <v>40942</v>
      </c>
      <c r="B1965">
        <v>1877410.36</v>
      </c>
      <c r="C1965">
        <v>0</v>
      </c>
      <c r="D1965">
        <v>42.96</v>
      </c>
      <c r="E1965">
        <v>3.617</v>
      </c>
      <c r="F1965">
        <v>189.61222770000001</v>
      </c>
      <c r="G1965">
        <v>8.4239999999999995</v>
      </c>
      <c r="N1965" s="8"/>
    </row>
    <row r="1966" spans="1:14" x14ac:dyDescent="0.25">
      <c r="A1966" s="8">
        <v>40949</v>
      </c>
      <c r="B1966">
        <v>2077256.24</v>
      </c>
      <c r="C1966">
        <v>1</v>
      </c>
      <c r="D1966">
        <v>37</v>
      </c>
      <c r="E1966">
        <v>3.64</v>
      </c>
      <c r="F1966">
        <v>189.70760480000001</v>
      </c>
      <c r="G1966">
        <v>8.4239999999999995</v>
      </c>
      <c r="N1966" s="8"/>
    </row>
    <row r="1967" spans="1:14" x14ac:dyDescent="0.25">
      <c r="A1967" s="8">
        <v>40956</v>
      </c>
      <c r="B1967">
        <v>2020550.99</v>
      </c>
      <c r="C1967">
        <v>0</v>
      </c>
      <c r="D1967">
        <v>36.85</v>
      </c>
      <c r="E1967">
        <v>3.6949999999999998</v>
      </c>
      <c r="F1967">
        <v>189.84248339999999</v>
      </c>
      <c r="G1967">
        <v>8.4239999999999995</v>
      </c>
      <c r="N1967" s="8"/>
    </row>
    <row r="1968" spans="1:14" x14ac:dyDescent="0.25">
      <c r="A1968" s="8">
        <v>40963</v>
      </c>
      <c r="B1968">
        <v>1875040.16</v>
      </c>
      <c r="C1968">
        <v>0</v>
      </c>
      <c r="D1968">
        <v>42.86</v>
      </c>
      <c r="E1968">
        <v>3.7389999999999999</v>
      </c>
      <c r="F1968">
        <v>190.0069881</v>
      </c>
      <c r="G1968">
        <v>8.4239999999999995</v>
      </c>
      <c r="N1968" s="8"/>
    </row>
    <row r="1969" spans="1:14" x14ac:dyDescent="0.25">
      <c r="A1969" s="8">
        <v>40970</v>
      </c>
      <c r="B1969">
        <v>1926004.99</v>
      </c>
      <c r="C1969">
        <v>0</v>
      </c>
      <c r="D1969">
        <v>41.55</v>
      </c>
      <c r="E1969">
        <v>3.8159999999999998</v>
      </c>
      <c r="F1969">
        <v>190.17149269999999</v>
      </c>
      <c r="G1969">
        <v>8.4239999999999995</v>
      </c>
      <c r="N1969" s="8"/>
    </row>
    <row r="1970" spans="1:14" x14ac:dyDescent="0.25">
      <c r="A1970" s="8">
        <v>40977</v>
      </c>
      <c r="B1970">
        <v>2020839.31</v>
      </c>
      <c r="C1970">
        <v>0</v>
      </c>
      <c r="D1970">
        <v>45.52</v>
      </c>
      <c r="E1970">
        <v>3.8479999999999999</v>
      </c>
      <c r="F1970">
        <v>190.3359973</v>
      </c>
      <c r="G1970">
        <v>8.4239999999999995</v>
      </c>
      <c r="N1970" s="8"/>
    </row>
    <row r="1971" spans="1:14" x14ac:dyDescent="0.25">
      <c r="A1971" s="8">
        <v>40984</v>
      </c>
      <c r="B1971">
        <v>1941040.5</v>
      </c>
      <c r="C1971">
        <v>0</v>
      </c>
      <c r="D1971">
        <v>50.56</v>
      </c>
      <c r="E1971">
        <v>3.8620000000000001</v>
      </c>
      <c r="F1971">
        <v>190.4618964</v>
      </c>
      <c r="G1971">
        <v>8.4239999999999995</v>
      </c>
      <c r="N1971" s="8"/>
    </row>
    <row r="1972" spans="1:14" x14ac:dyDescent="0.25">
      <c r="A1972" s="8">
        <v>40991</v>
      </c>
      <c r="B1972">
        <v>1893447.71</v>
      </c>
      <c r="C1972">
        <v>0</v>
      </c>
      <c r="D1972">
        <v>59.45</v>
      </c>
      <c r="E1972">
        <v>3.9</v>
      </c>
      <c r="F1972">
        <v>190.5363213</v>
      </c>
      <c r="G1972">
        <v>8.4239999999999995</v>
      </c>
      <c r="N1972" s="8"/>
    </row>
    <row r="1973" spans="1:14" x14ac:dyDescent="0.25">
      <c r="A1973" s="8">
        <v>40998</v>
      </c>
      <c r="B1973">
        <v>1905033.01</v>
      </c>
      <c r="C1973">
        <v>0</v>
      </c>
      <c r="D1973">
        <v>50.04</v>
      </c>
      <c r="E1973">
        <v>3.9529999999999998</v>
      </c>
      <c r="F1973">
        <v>190.61074629999999</v>
      </c>
      <c r="G1973">
        <v>8.4239999999999995</v>
      </c>
      <c r="N1973" s="8"/>
    </row>
    <row r="1974" spans="1:14" x14ac:dyDescent="0.25">
      <c r="A1974" s="8">
        <v>41005</v>
      </c>
      <c r="B1974">
        <v>2376022.2599999998</v>
      </c>
      <c r="C1974">
        <v>0</v>
      </c>
      <c r="D1974">
        <v>49.73</v>
      </c>
      <c r="E1974">
        <v>3.996</v>
      </c>
      <c r="F1974">
        <v>190.68517120000001</v>
      </c>
      <c r="G1974">
        <v>8.5670000000000002</v>
      </c>
      <c r="N1974" s="8"/>
    </row>
    <row r="1975" spans="1:14" x14ac:dyDescent="0.25">
      <c r="A1975" s="8">
        <v>41012</v>
      </c>
      <c r="B1975">
        <v>1912909.69</v>
      </c>
      <c r="C1975">
        <v>0</v>
      </c>
      <c r="D1975">
        <v>51.83</v>
      </c>
      <c r="E1975">
        <v>4.0439999999999996</v>
      </c>
      <c r="F1975">
        <v>190.7595962</v>
      </c>
      <c r="G1975">
        <v>8.5670000000000002</v>
      </c>
      <c r="N1975" s="8"/>
    </row>
    <row r="1976" spans="1:14" x14ac:dyDescent="0.25">
      <c r="A1976" s="8">
        <v>41019</v>
      </c>
      <c r="B1976">
        <v>1875686.44</v>
      </c>
      <c r="C1976">
        <v>0</v>
      </c>
      <c r="D1976">
        <v>63.13</v>
      </c>
      <c r="E1976">
        <v>4.0270000000000001</v>
      </c>
      <c r="F1976">
        <v>190.81380129999999</v>
      </c>
      <c r="G1976">
        <v>8.5670000000000002</v>
      </c>
      <c r="N1976" s="8"/>
    </row>
    <row r="1977" spans="1:14" x14ac:dyDescent="0.25">
      <c r="A1977" s="8">
        <v>41026</v>
      </c>
      <c r="B1977">
        <v>1784029.95</v>
      </c>
      <c r="C1977">
        <v>0</v>
      </c>
      <c r="D1977">
        <v>53.2</v>
      </c>
      <c r="E1977">
        <v>4.0039999999999996</v>
      </c>
      <c r="F1977">
        <v>190.86800640000001</v>
      </c>
      <c r="G1977">
        <v>8.5670000000000002</v>
      </c>
      <c r="N1977" s="8"/>
    </row>
    <row r="1978" spans="1:14" x14ac:dyDescent="0.25">
      <c r="A1978" s="8">
        <v>41033</v>
      </c>
      <c r="B1978">
        <v>1949354.29</v>
      </c>
      <c r="C1978">
        <v>0</v>
      </c>
      <c r="D1978">
        <v>55.21</v>
      </c>
      <c r="E1978">
        <v>3.9510000000000001</v>
      </c>
      <c r="F1978">
        <v>190.9222115</v>
      </c>
      <c r="G1978">
        <v>8.5670000000000002</v>
      </c>
      <c r="N1978" s="8"/>
    </row>
    <row r="1979" spans="1:14" x14ac:dyDescent="0.25">
      <c r="A1979" s="8">
        <v>41040</v>
      </c>
      <c r="B1979">
        <v>1987531.05</v>
      </c>
      <c r="C1979">
        <v>0</v>
      </c>
      <c r="D1979">
        <v>61.24</v>
      </c>
      <c r="E1979">
        <v>3.8889999999999998</v>
      </c>
      <c r="F1979">
        <v>190.97641669999999</v>
      </c>
      <c r="G1979">
        <v>8.5670000000000002</v>
      </c>
      <c r="N1979" s="8"/>
    </row>
    <row r="1980" spans="1:14" x14ac:dyDescent="0.25">
      <c r="A1980" s="8">
        <v>41047</v>
      </c>
      <c r="B1980">
        <v>1932233.17</v>
      </c>
      <c r="C1980">
        <v>0</v>
      </c>
      <c r="D1980">
        <v>66.3</v>
      </c>
      <c r="E1980">
        <v>3.8479999999999999</v>
      </c>
      <c r="F1980">
        <v>190.99644789999999</v>
      </c>
      <c r="G1980">
        <v>8.5670000000000002</v>
      </c>
      <c r="N1980" s="8"/>
    </row>
    <row r="1981" spans="1:14" x14ac:dyDescent="0.25">
      <c r="A1981" s="8">
        <v>41054</v>
      </c>
      <c r="B1981">
        <v>2030869.61</v>
      </c>
      <c r="C1981">
        <v>0</v>
      </c>
      <c r="D1981">
        <v>67.209999999999994</v>
      </c>
      <c r="E1981">
        <v>3.798</v>
      </c>
      <c r="F1981">
        <v>191.00280960000001</v>
      </c>
      <c r="G1981">
        <v>8.5670000000000002</v>
      </c>
      <c r="N1981" s="8"/>
    </row>
    <row r="1982" spans="1:14" x14ac:dyDescent="0.25">
      <c r="A1982" s="8">
        <v>41061</v>
      </c>
      <c r="B1982">
        <v>2049485.49</v>
      </c>
      <c r="C1982">
        <v>0</v>
      </c>
      <c r="D1982">
        <v>74.48</v>
      </c>
      <c r="E1982">
        <v>3.742</v>
      </c>
      <c r="F1982">
        <v>191.0091712</v>
      </c>
      <c r="G1982">
        <v>8.5670000000000002</v>
      </c>
      <c r="N1982" s="8"/>
    </row>
    <row r="1983" spans="1:14" x14ac:dyDescent="0.25">
      <c r="A1983" s="8">
        <v>41068</v>
      </c>
      <c r="B1983">
        <v>2099615.88</v>
      </c>
      <c r="C1983">
        <v>0</v>
      </c>
      <c r="D1983">
        <v>64.3</v>
      </c>
      <c r="E1983">
        <v>3.6890000000000001</v>
      </c>
      <c r="F1983">
        <v>191.01553290000001</v>
      </c>
      <c r="G1983">
        <v>8.5670000000000002</v>
      </c>
      <c r="N1983" s="8"/>
    </row>
    <row r="1984" spans="1:14" x14ac:dyDescent="0.25">
      <c r="A1984" s="8">
        <v>41075</v>
      </c>
      <c r="B1984">
        <v>1905733.68</v>
      </c>
      <c r="C1984">
        <v>0</v>
      </c>
      <c r="D1984">
        <v>71.930000000000007</v>
      </c>
      <c r="E1984">
        <v>3.62</v>
      </c>
      <c r="F1984">
        <v>191.02997310000001</v>
      </c>
      <c r="G1984">
        <v>8.5670000000000002</v>
      </c>
      <c r="N1984" s="8"/>
    </row>
    <row r="1985" spans="1:14" x14ac:dyDescent="0.25">
      <c r="A1985" s="8">
        <v>41082</v>
      </c>
      <c r="B1985">
        <v>1660228.88</v>
      </c>
      <c r="C1985">
        <v>0</v>
      </c>
      <c r="D1985">
        <v>74.22</v>
      </c>
      <c r="E1985">
        <v>3.5640000000000001</v>
      </c>
      <c r="F1985">
        <v>191.06460960000001</v>
      </c>
      <c r="G1985">
        <v>8.5670000000000002</v>
      </c>
      <c r="N1985" s="8"/>
    </row>
    <row r="1986" spans="1:14" x14ac:dyDescent="0.25">
      <c r="A1986" s="8">
        <v>41089</v>
      </c>
      <c r="B1986">
        <v>1591835.02</v>
      </c>
      <c r="C1986">
        <v>0</v>
      </c>
      <c r="D1986">
        <v>75.22</v>
      </c>
      <c r="E1986">
        <v>3.5059999999999998</v>
      </c>
      <c r="F1986">
        <v>191.09924620000001</v>
      </c>
      <c r="G1986">
        <v>8.5670000000000002</v>
      </c>
      <c r="N1986" s="8"/>
    </row>
    <row r="1987" spans="1:14" x14ac:dyDescent="0.25">
      <c r="A1987" s="8">
        <v>41096</v>
      </c>
      <c r="B1987">
        <v>1862128.95</v>
      </c>
      <c r="C1987">
        <v>0</v>
      </c>
      <c r="D1987">
        <v>82.99</v>
      </c>
      <c r="E1987">
        <v>3.4750000000000001</v>
      </c>
      <c r="F1987">
        <v>191.13388269999999</v>
      </c>
      <c r="G1987">
        <v>8.6839999999999993</v>
      </c>
      <c r="N1987" s="8"/>
    </row>
    <row r="1988" spans="1:14" x14ac:dyDescent="0.25">
      <c r="A1988" s="8">
        <v>41103</v>
      </c>
      <c r="B1988">
        <v>1544422.35</v>
      </c>
      <c r="C1988">
        <v>0</v>
      </c>
      <c r="D1988">
        <v>79.97</v>
      </c>
      <c r="E1988">
        <v>3.5230000000000001</v>
      </c>
      <c r="F1988">
        <v>191.16851919999999</v>
      </c>
      <c r="G1988">
        <v>8.6839999999999993</v>
      </c>
      <c r="N1988" s="8"/>
    </row>
    <row r="1989" spans="1:14" x14ac:dyDescent="0.25">
      <c r="A1989" s="8">
        <v>41110</v>
      </c>
      <c r="B1989">
        <v>1553250.16</v>
      </c>
      <c r="C1989">
        <v>0</v>
      </c>
      <c r="D1989">
        <v>78.89</v>
      </c>
      <c r="E1989">
        <v>3.5670000000000002</v>
      </c>
      <c r="F1989">
        <v>191.16704279999999</v>
      </c>
      <c r="G1989">
        <v>8.6839999999999993</v>
      </c>
      <c r="N1989" s="8"/>
    </row>
    <row r="1990" spans="1:14" x14ac:dyDescent="0.25">
      <c r="A1990" s="8">
        <v>41117</v>
      </c>
      <c r="B1990">
        <v>1479514.66</v>
      </c>
      <c r="C1990">
        <v>0</v>
      </c>
      <c r="D1990">
        <v>77.2</v>
      </c>
      <c r="E1990">
        <v>3.6469999999999998</v>
      </c>
      <c r="F1990">
        <v>191.16556639999999</v>
      </c>
      <c r="G1990">
        <v>8.6839999999999993</v>
      </c>
      <c r="N1990" s="8"/>
    </row>
    <row r="1991" spans="1:14" x14ac:dyDescent="0.25">
      <c r="A1991" s="8">
        <v>41124</v>
      </c>
      <c r="B1991">
        <v>1656886.46</v>
      </c>
      <c r="C1991">
        <v>0</v>
      </c>
      <c r="D1991">
        <v>76.58</v>
      </c>
      <c r="E1991">
        <v>3.6539999999999999</v>
      </c>
      <c r="F1991">
        <v>191.16408999999999</v>
      </c>
      <c r="G1991">
        <v>8.6839999999999993</v>
      </c>
      <c r="N1991" s="8"/>
    </row>
    <row r="1992" spans="1:14" x14ac:dyDescent="0.25">
      <c r="A1992" s="8">
        <v>41131</v>
      </c>
      <c r="B1992">
        <v>1648570.03</v>
      </c>
      <c r="C1992">
        <v>0</v>
      </c>
      <c r="D1992">
        <v>78.650000000000006</v>
      </c>
      <c r="E1992">
        <v>3.722</v>
      </c>
      <c r="F1992">
        <v>191.16261349999999</v>
      </c>
      <c r="G1992">
        <v>8.6839999999999993</v>
      </c>
      <c r="N1992" s="8"/>
    </row>
    <row r="1993" spans="1:14" x14ac:dyDescent="0.25">
      <c r="A1993" s="8">
        <v>41138</v>
      </c>
      <c r="B1993">
        <v>1660433.3</v>
      </c>
      <c r="C1993">
        <v>0</v>
      </c>
      <c r="D1993">
        <v>75.709999999999994</v>
      </c>
      <c r="E1993">
        <v>3.8069999999999999</v>
      </c>
      <c r="F1993">
        <v>191.22849189999999</v>
      </c>
      <c r="G1993">
        <v>8.6839999999999993</v>
      </c>
      <c r="N1993" s="8"/>
    </row>
    <row r="1994" spans="1:14" x14ac:dyDescent="0.25">
      <c r="A1994" s="8">
        <v>41145</v>
      </c>
      <c r="B1994">
        <v>1621841.33</v>
      </c>
      <c r="C1994">
        <v>0</v>
      </c>
      <c r="D1994">
        <v>72.62</v>
      </c>
      <c r="E1994">
        <v>3.8340000000000001</v>
      </c>
      <c r="F1994">
        <v>191.3448865</v>
      </c>
      <c r="G1994">
        <v>8.6839999999999993</v>
      </c>
      <c r="N1994" s="8"/>
    </row>
    <row r="1995" spans="1:14" x14ac:dyDescent="0.25">
      <c r="A1995" s="8">
        <v>41152</v>
      </c>
      <c r="B1995">
        <v>1613342.19</v>
      </c>
      <c r="C1995">
        <v>0</v>
      </c>
      <c r="D1995">
        <v>75.09</v>
      </c>
      <c r="E1995">
        <v>3.867</v>
      </c>
      <c r="F1995">
        <v>191.46128100000001</v>
      </c>
      <c r="G1995">
        <v>8.6839999999999993</v>
      </c>
      <c r="N1995" s="8"/>
    </row>
    <row r="1996" spans="1:14" x14ac:dyDescent="0.25">
      <c r="A1996" s="8">
        <v>41159</v>
      </c>
      <c r="B1996">
        <v>1904512.34</v>
      </c>
      <c r="C1996">
        <v>1</v>
      </c>
      <c r="D1996">
        <v>75.7</v>
      </c>
      <c r="E1996">
        <v>3.911</v>
      </c>
      <c r="F1996">
        <v>191.57767559999999</v>
      </c>
      <c r="G1996">
        <v>8.6839999999999993</v>
      </c>
      <c r="N1996" s="8"/>
    </row>
    <row r="1997" spans="1:14" x14ac:dyDescent="0.25">
      <c r="A1997" s="8">
        <v>41166</v>
      </c>
      <c r="B1997">
        <v>1554794.22</v>
      </c>
      <c r="C1997">
        <v>0</v>
      </c>
      <c r="D1997">
        <v>67.87</v>
      </c>
      <c r="E1997">
        <v>3.948</v>
      </c>
      <c r="F1997">
        <v>191.69985</v>
      </c>
      <c r="G1997">
        <v>8.6839999999999993</v>
      </c>
      <c r="N1997" s="8"/>
    </row>
    <row r="1998" spans="1:14" x14ac:dyDescent="0.25">
      <c r="A1998" s="8">
        <v>41173</v>
      </c>
      <c r="B1998">
        <v>1565352.46</v>
      </c>
      <c r="C1998">
        <v>0</v>
      </c>
      <c r="D1998">
        <v>65.319999999999993</v>
      </c>
      <c r="E1998">
        <v>4.0380000000000003</v>
      </c>
      <c r="F1998">
        <v>191.85670379999999</v>
      </c>
      <c r="G1998">
        <v>8.6839999999999993</v>
      </c>
      <c r="N1998" s="8"/>
    </row>
    <row r="1999" spans="1:14" x14ac:dyDescent="0.25">
      <c r="A1999" s="8">
        <v>41180</v>
      </c>
      <c r="B1999">
        <v>1522512.2</v>
      </c>
      <c r="C1999">
        <v>0</v>
      </c>
      <c r="D1999">
        <v>64.88</v>
      </c>
      <c r="E1999">
        <v>3.9969999999999999</v>
      </c>
      <c r="F1999">
        <v>192.01355770000001</v>
      </c>
      <c r="G1999">
        <v>8.6839999999999993</v>
      </c>
      <c r="N1999" s="8"/>
    </row>
    <row r="2000" spans="1:14" x14ac:dyDescent="0.25">
      <c r="A2000" s="8">
        <v>41187</v>
      </c>
      <c r="B2000">
        <v>1687592.16</v>
      </c>
      <c r="C2000">
        <v>0</v>
      </c>
      <c r="D2000">
        <v>64.89</v>
      </c>
      <c r="E2000">
        <v>3.9849999999999999</v>
      </c>
      <c r="F2000">
        <v>192.1704115</v>
      </c>
      <c r="G2000">
        <v>8.6669999999999998</v>
      </c>
      <c r="N2000" s="8"/>
    </row>
    <row r="2001" spans="1:14" x14ac:dyDescent="0.25">
      <c r="A2001" s="8">
        <v>41194</v>
      </c>
      <c r="B2001">
        <v>1639585.61</v>
      </c>
      <c r="C2001">
        <v>0</v>
      </c>
      <c r="D2001">
        <v>54.47</v>
      </c>
      <c r="E2001">
        <v>4</v>
      </c>
      <c r="F2001">
        <v>192.32726539999999</v>
      </c>
      <c r="G2001">
        <v>8.6669999999999998</v>
      </c>
      <c r="N2001" s="8"/>
    </row>
    <row r="2002" spans="1:14" x14ac:dyDescent="0.25">
      <c r="A2002" s="8">
        <v>41201</v>
      </c>
      <c r="B2002">
        <v>1590274.72</v>
      </c>
      <c r="C2002">
        <v>0</v>
      </c>
      <c r="D2002">
        <v>56.47</v>
      </c>
      <c r="E2002">
        <v>3.9689999999999999</v>
      </c>
      <c r="F2002">
        <v>192.3308542</v>
      </c>
      <c r="G2002">
        <v>8.6669999999999998</v>
      </c>
      <c r="N2002" s="8"/>
    </row>
    <row r="2003" spans="1:14" x14ac:dyDescent="0.25">
      <c r="A2003" s="8">
        <v>41208</v>
      </c>
      <c r="B2003">
        <v>1704357.62</v>
      </c>
      <c r="C2003">
        <v>0</v>
      </c>
      <c r="D2003">
        <v>58.85</v>
      </c>
      <c r="E2003">
        <v>3.8820000000000001</v>
      </c>
      <c r="F2003">
        <v>192.3088989</v>
      </c>
      <c r="G2003">
        <v>8.6669999999999998</v>
      </c>
      <c r="N2003" s="8"/>
    </row>
    <row r="2004" spans="1:14" x14ac:dyDescent="0.25">
      <c r="A2004" s="8">
        <v>40214</v>
      </c>
      <c r="B2004">
        <v>652122.43999999994</v>
      </c>
      <c r="C2004">
        <v>0</v>
      </c>
      <c r="D2004">
        <v>19.829999999999998</v>
      </c>
      <c r="E2004">
        <v>2.9540000000000002</v>
      </c>
      <c r="F2004">
        <v>131.5279032</v>
      </c>
      <c r="G2004">
        <v>8.35</v>
      </c>
      <c r="N2004" s="8"/>
    </row>
    <row r="2005" spans="1:14" x14ac:dyDescent="0.25">
      <c r="A2005" s="8">
        <v>40221</v>
      </c>
      <c r="B2005">
        <v>682447.1</v>
      </c>
      <c r="C2005">
        <v>1</v>
      </c>
      <c r="D2005">
        <v>22</v>
      </c>
      <c r="E2005">
        <v>2.94</v>
      </c>
      <c r="F2005">
        <v>131.58661290000001</v>
      </c>
      <c r="G2005">
        <v>8.35</v>
      </c>
      <c r="N2005" s="8"/>
    </row>
    <row r="2006" spans="1:14" x14ac:dyDescent="0.25">
      <c r="A2006" s="8">
        <v>40228</v>
      </c>
      <c r="B2006">
        <v>660838.75</v>
      </c>
      <c r="C2006">
        <v>0</v>
      </c>
      <c r="D2006">
        <v>27.54</v>
      </c>
      <c r="E2006">
        <v>2.9089999999999998</v>
      </c>
      <c r="F2006">
        <v>131.637</v>
      </c>
      <c r="G2006">
        <v>8.35</v>
      </c>
      <c r="N2006" s="8"/>
    </row>
    <row r="2007" spans="1:14" x14ac:dyDescent="0.25">
      <c r="A2007" s="8">
        <v>40235</v>
      </c>
      <c r="B2007">
        <v>564883.19999999995</v>
      </c>
      <c r="C2007">
        <v>0</v>
      </c>
      <c r="D2007">
        <v>29.87</v>
      </c>
      <c r="E2007">
        <v>2.91</v>
      </c>
      <c r="F2007">
        <v>131.68600000000001</v>
      </c>
      <c r="G2007">
        <v>8.35</v>
      </c>
      <c r="N2007" s="8"/>
    </row>
    <row r="2008" spans="1:14" x14ac:dyDescent="0.25">
      <c r="A2008" s="8">
        <v>40242</v>
      </c>
      <c r="B2008">
        <v>605325.43000000005</v>
      </c>
      <c r="C2008">
        <v>0</v>
      </c>
      <c r="D2008">
        <v>31.79</v>
      </c>
      <c r="E2008">
        <v>2.919</v>
      </c>
      <c r="F2008">
        <v>131.73500000000001</v>
      </c>
      <c r="G2008">
        <v>8.35</v>
      </c>
      <c r="N2008" s="8"/>
    </row>
    <row r="2009" spans="1:14" x14ac:dyDescent="0.25">
      <c r="A2009" s="8">
        <v>40249</v>
      </c>
      <c r="B2009">
        <v>604173.59</v>
      </c>
      <c r="C2009">
        <v>0</v>
      </c>
      <c r="D2009">
        <v>41.39</v>
      </c>
      <c r="E2009">
        <v>2.9380000000000002</v>
      </c>
      <c r="F2009">
        <v>131.78399999999999</v>
      </c>
      <c r="G2009">
        <v>8.35</v>
      </c>
      <c r="N2009" s="8"/>
    </row>
    <row r="2010" spans="1:14" x14ac:dyDescent="0.25">
      <c r="A2010" s="8">
        <v>40256</v>
      </c>
      <c r="B2010">
        <v>593710.67000000004</v>
      </c>
      <c r="C2010">
        <v>0</v>
      </c>
      <c r="D2010">
        <v>44.69</v>
      </c>
      <c r="E2010">
        <v>2.96</v>
      </c>
      <c r="F2010">
        <v>131.8242903</v>
      </c>
      <c r="G2010">
        <v>8.35</v>
      </c>
      <c r="N2010" s="8"/>
    </row>
    <row r="2011" spans="1:14" x14ac:dyDescent="0.25">
      <c r="A2011" s="8">
        <v>40263</v>
      </c>
      <c r="B2011">
        <v>592111.49</v>
      </c>
      <c r="C2011">
        <v>0</v>
      </c>
      <c r="D2011">
        <v>39.53</v>
      </c>
      <c r="E2011">
        <v>2.9630000000000001</v>
      </c>
      <c r="F2011">
        <v>131.86312899999999</v>
      </c>
      <c r="G2011">
        <v>8.35</v>
      </c>
      <c r="N2011" s="8"/>
    </row>
    <row r="2012" spans="1:14" x14ac:dyDescent="0.25">
      <c r="A2012" s="8">
        <v>40270</v>
      </c>
      <c r="B2012">
        <v>718470.71</v>
      </c>
      <c r="C2012">
        <v>0</v>
      </c>
      <c r="D2012">
        <v>45.27</v>
      </c>
      <c r="E2012">
        <v>2.9569999999999999</v>
      </c>
      <c r="F2012">
        <v>131.9019677</v>
      </c>
      <c r="G2012">
        <v>8.1850000000000005</v>
      </c>
      <c r="N2012" s="8"/>
    </row>
    <row r="2013" spans="1:14" x14ac:dyDescent="0.25">
      <c r="A2013" s="8">
        <v>40277</v>
      </c>
      <c r="B2013">
        <v>634605.77</v>
      </c>
      <c r="C2013">
        <v>0</v>
      </c>
      <c r="D2013">
        <v>57.77</v>
      </c>
      <c r="E2013">
        <v>2.992</v>
      </c>
      <c r="F2013">
        <v>131.94080650000001</v>
      </c>
      <c r="G2013">
        <v>8.1850000000000005</v>
      </c>
      <c r="N2013" s="8"/>
    </row>
    <row r="2014" spans="1:14" x14ac:dyDescent="0.25">
      <c r="A2014" s="8">
        <v>40284</v>
      </c>
      <c r="B2014">
        <v>641208.65</v>
      </c>
      <c r="C2014">
        <v>0</v>
      </c>
      <c r="D2014">
        <v>49.63</v>
      </c>
      <c r="E2014">
        <v>3.01</v>
      </c>
      <c r="F2014">
        <v>131.98089999999999</v>
      </c>
      <c r="G2014">
        <v>8.1850000000000005</v>
      </c>
      <c r="N2014" s="8"/>
    </row>
    <row r="2015" spans="1:14" x14ac:dyDescent="0.25">
      <c r="A2015" s="8">
        <v>40291</v>
      </c>
      <c r="B2015">
        <v>643097.59999999998</v>
      </c>
      <c r="C2015">
        <v>0</v>
      </c>
      <c r="D2015">
        <v>46.54</v>
      </c>
      <c r="E2015">
        <v>3.0209999999999999</v>
      </c>
      <c r="F2015">
        <v>132.0226667</v>
      </c>
      <c r="G2015">
        <v>8.1850000000000005</v>
      </c>
      <c r="N2015" s="8"/>
    </row>
    <row r="2016" spans="1:14" x14ac:dyDescent="0.25">
      <c r="A2016" s="8">
        <v>40298</v>
      </c>
      <c r="B2016">
        <v>570791.11</v>
      </c>
      <c r="C2016">
        <v>0</v>
      </c>
      <c r="D2016">
        <v>49.09</v>
      </c>
      <c r="E2016">
        <v>3.0419999999999998</v>
      </c>
      <c r="F2016">
        <v>132.06443329999999</v>
      </c>
      <c r="G2016">
        <v>8.1850000000000005</v>
      </c>
      <c r="N2016" s="8"/>
    </row>
    <row r="2017" spans="1:14" x14ac:dyDescent="0.25">
      <c r="A2017" s="8">
        <v>40305</v>
      </c>
      <c r="B2017">
        <v>661348.88</v>
      </c>
      <c r="C2017">
        <v>0</v>
      </c>
      <c r="D2017">
        <v>63.16</v>
      </c>
      <c r="E2017">
        <v>3.0950000000000002</v>
      </c>
      <c r="F2017">
        <v>132.1062</v>
      </c>
      <c r="G2017">
        <v>8.1850000000000005</v>
      </c>
      <c r="N2017" s="8"/>
    </row>
    <row r="2018" spans="1:14" x14ac:dyDescent="0.25">
      <c r="A2018" s="8">
        <v>40312</v>
      </c>
      <c r="B2018">
        <v>594385.19999999995</v>
      </c>
      <c r="C2018">
        <v>0</v>
      </c>
      <c r="D2018">
        <v>47.13</v>
      </c>
      <c r="E2018">
        <v>3.1120000000000001</v>
      </c>
      <c r="F2018">
        <v>132.152129</v>
      </c>
      <c r="G2018">
        <v>8.1850000000000005</v>
      </c>
      <c r="N2018" s="8"/>
    </row>
    <row r="2019" spans="1:14" x14ac:dyDescent="0.25">
      <c r="A2019" s="8">
        <v>40319</v>
      </c>
      <c r="B2019">
        <v>616598.1</v>
      </c>
      <c r="C2019">
        <v>0</v>
      </c>
      <c r="D2019">
        <v>59.09</v>
      </c>
      <c r="E2019">
        <v>3.0960000000000001</v>
      </c>
      <c r="F2019">
        <v>132.2230323</v>
      </c>
      <c r="G2019">
        <v>8.1850000000000005</v>
      </c>
      <c r="N2019" s="8"/>
    </row>
    <row r="2020" spans="1:14" x14ac:dyDescent="0.25">
      <c r="A2020" s="8">
        <v>40326</v>
      </c>
      <c r="B2020">
        <v>744772.88</v>
      </c>
      <c r="C2020">
        <v>0</v>
      </c>
      <c r="D2020">
        <v>70.61</v>
      </c>
      <c r="E2020">
        <v>3.0459999999999998</v>
      </c>
      <c r="F2020">
        <v>132.2939355</v>
      </c>
      <c r="G2020">
        <v>8.1850000000000005</v>
      </c>
      <c r="N2020" s="8"/>
    </row>
    <row r="2021" spans="1:14" x14ac:dyDescent="0.25">
      <c r="A2021" s="8">
        <v>40333</v>
      </c>
      <c r="B2021">
        <v>693192.5</v>
      </c>
      <c r="C2021">
        <v>0</v>
      </c>
      <c r="D2021">
        <v>69.989999999999995</v>
      </c>
      <c r="E2021">
        <v>3.0059999999999998</v>
      </c>
      <c r="F2021">
        <v>132.36483870000001</v>
      </c>
      <c r="G2021">
        <v>8.1850000000000005</v>
      </c>
      <c r="N2021" s="8"/>
    </row>
    <row r="2022" spans="1:14" x14ac:dyDescent="0.25">
      <c r="A2022" s="8">
        <v>40340</v>
      </c>
      <c r="B2022">
        <v>619337.29</v>
      </c>
      <c r="C2022">
        <v>0</v>
      </c>
      <c r="D2022">
        <v>61.04</v>
      </c>
      <c r="E2022">
        <v>2.972</v>
      </c>
      <c r="F2022">
        <v>132.43574190000001</v>
      </c>
      <c r="G2022">
        <v>8.1850000000000005</v>
      </c>
      <c r="N2022" s="8"/>
    </row>
    <row r="2023" spans="1:14" x14ac:dyDescent="0.25">
      <c r="A2023" s="8">
        <v>40347</v>
      </c>
      <c r="B2023">
        <v>652329.53</v>
      </c>
      <c r="C2023">
        <v>0</v>
      </c>
      <c r="D2023">
        <v>65.83</v>
      </c>
      <c r="E2023">
        <v>2.9420000000000002</v>
      </c>
      <c r="F2023">
        <v>132.47333330000001</v>
      </c>
      <c r="G2023">
        <v>8.1850000000000005</v>
      </c>
      <c r="N2023" s="8"/>
    </row>
    <row r="2024" spans="1:14" x14ac:dyDescent="0.25">
      <c r="A2024" s="8">
        <v>40354</v>
      </c>
      <c r="B2024">
        <v>672194.03</v>
      </c>
      <c r="C2024">
        <v>0</v>
      </c>
      <c r="D2024">
        <v>72.790000000000006</v>
      </c>
      <c r="E2024">
        <v>2.9580000000000002</v>
      </c>
      <c r="F2024">
        <v>132.49760000000001</v>
      </c>
      <c r="G2024">
        <v>8.1850000000000005</v>
      </c>
      <c r="N2024" s="8"/>
    </row>
    <row r="2025" spans="1:14" x14ac:dyDescent="0.25">
      <c r="A2025" s="8">
        <v>40361</v>
      </c>
      <c r="B2025">
        <v>709337.11</v>
      </c>
      <c r="C2025">
        <v>0</v>
      </c>
      <c r="D2025">
        <v>66.13</v>
      </c>
      <c r="E2025">
        <v>2.9580000000000002</v>
      </c>
      <c r="F2025">
        <v>132.5218667</v>
      </c>
      <c r="G2025">
        <v>8.0990000000000002</v>
      </c>
      <c r="N2025" s="8"/>
    </row>
    <row r="2026" spans="1:14" x14ac:dyDescent="0.25">
      <c r="A2026" s="8">
        <v>40368</v>
      </c>
      <c r="B2026">
        <v>691497.62</v>
      </c>
      <c r="C2026">
        <v>0</v>
      </c>
      <c r="D2026">
        <v>77.33</v>
      </c>
      <c r="E2026">
        <v>2.94</v>
      </c>
      <c r="F2026">
        <v>132.54613330000001</v>
      </c>
      <c r="G2026">
        <v>8.0990000000000002</v>
      </c>
      <c r="N2026" s="8"/>
    </row>
    <row r="2027" spans="1:14" x14ac:dyDescent="0.25">
      <c r="A2027" s="8">
        <v>40375</v>
      </c>
      <c r="B2027">
        <v>633203.68999999994</v>
      </c>
      <c r="C2027">
        <v>0</v>
      </c>
      <c r="D2027">
        <v>72.83</v>
      </c>
      <c r="E2027">
        <v>2.9329999999999998</v>
      </c>
      <c r="F2027">
        <v>132.5667742</v>
      </c>
      <c r="G2027">
        <v>8.0990000000000002</v>
      </c>
      <c r="N2027" s="8"/>
    </row>
    <row r="2028" spans="1:14" x14ac:dyDescent="0.25">
      <c r="A2028" s="8">
        <v>40382</v>
      </c>
      <c r="B2028">
        <v>598553.43000000005</v>
      </c>
      <c r="C2028">
        <v>0</v>
      </c>
      <c r="D2028">
        <v>73.2</v>
      </c>
      <c r="E2028">
        <v>2.9239999999999999</v>
      </c>
      <c r="F2028">
        <v>132.5825806</v>
      </c>
      <c r="G2028">
        <v>8.0990000000000002</v>
      </c>
      <c r="N2028" s="8"/>
    </row>
    <row r="2029" spans="1:14" x14ac:dyDescent="0.25">
      <c r="A2029" s="8">
        <v>40389</v>
      </c>
      <c r="B2029">
        <v>619224.06000000006</v>
      </c>
      <c r="C2029">
        <v>0</v>
      </c>
      <c r="D2029">
        <v>72.040000000000006</v>
      </c>
      <c r="E2029">
        <v>2.9319999999999999</v>
      </c>
      <c r="F2029">
        <v>132.5983871</v>
      </c>
      <c r="G2029">
        <v>8.0990000000000002</v>
      </c>
      <c r="N2029" s="8"/>
    </row>
    <row r="2030" spans="1:14" x14ac:dyDescent="0.25">
      <c r="A2030" s="8">
        <v>40396</v>
      </c>
      <c r="B2030">
        <v>639651.24</v>
      </c>
      <c r="C2030">
        <v>0</v>
      </c>
      <c r="D2030">
        <v>72.7</v>
      </c>
      <c r="E2030">
        <v>2.9420000000000002</v>
      </c>
      <c r="F2030">
        <v>132.6141935</v>
      </c>
      <c r="G2030">
        <v>8.0990000000000002</v>
      </c>
      <c r="N2030" s="8"/>
    </row>
    <row r="2031" spans="1:14" x14ac:dyDescent="0.25">
      <c r="A2031" s="8">
        <v>40403</v>
      </c>
      <c r="B2031">
        <v>622437.07999999996</v>
      </c>
      <c r="C2031">
        <v>0</v>
      </c>
      <c r="D2031">
        <v>72.17</v>
      </c>
      <c r="E2031">
        <v>2.923</v>
      </c>
      <c r="F2031">
        <v>132.63</v>
      </c>
      <c r="G2031">
        <v>8.0990000000000002</v>
      </c>
      <c r="N2031" s="8"/>
    </row>
    <row r="2032" spans="1:14" x14ac:dyDescent="0.25">
      <c r="A2032" s="8">
        <v>40410</v>
      </c>
      <c r="B2032">
        <v>637090.43999999994</v>
      </c>
      <c r="C2032">
        <v>0</v>
      </c>
      <c r="D2032">
        <v>71.099999999999994</v>
      </c>
      <c r="E2032">
        <v>2.9129999999999998</v>
      </c>
      <c r="F2032">
        <v>132.66161289999999</v>
      </c>
      <c r="G2032">
        <v>8.0990000000000002</v>
      </c>
      <c r="N2032" s="8"/>
    </row>
    <row r="2033" spans="1:14" x14ac:dyDescent="0.25">
      <c r="A2033" s="8">
        <v>40417</v>
      </c>
      <c r="B2033">
        <v>649791.15</v>
      </c>
      <c r="C2033">
        <v>0</v>
      </c>
      <c r="D2033">
        <v>65.069999999999993</v>
      </c>
      <c r="E2033">
        <v>2.8849999999999998</v>
      </c>
      <c r="F2033">
        <v>132.69322579999999</v>
      </c>
      <c r="G2033">
        <v>8.0990000000000002</v>
      </c>
      <c r="N2033" s="8"/>
    </row>
    <row r="2034" spans="1:14" x14ac:dyDescent="0.25">
      <c r="A2034" s="8">
        <v>40424</v>
      </c>
      <c r="B2034">
        <v>638647.21</v>
      </c>
      <c r="C2034">
        <v>0</v>
      </c>
      <c r="D2034">
        <v>73.17</v>
      </c>
      <c r="E2034">
        <v>2.86</v>
      </c>
      <c r="F2034">
        <v>132.72483869999999</v>
      </c>
      <c r="G2034">
        <v>8.0990000000000002</v>
      </c>
      <c r="N2034" s="8"/>
    </row>
    <row r="2035" spans="1:14" x14ac:dyDescent="0.25">
      <c r="A2035" s="8">
        <v>40431</v>
      </c>
      <c r="B2035">
        <v>641965.19999999995</v>
      </c>
      <c r="C2035">
        <v>1</v>
      </c>
      <c r="D2035">
        <v>62.36</v>
      </c>
      <c r="E2035">
        <v>2.8370000000000002</v>
      </c>
      <c r="F2035">
        <v>132.75645159999999</v>
      </c>
      <c r="G2035">
        <v>8.0990000000000002</v>
      </c>
      <c r="N2035" s="8"/>
    </row>
    <row r="2036" spans="1:14" x14ac:dyDescent="0.25">
      <c r="A2036" s="8">
        <v>40438</v>
      </c>
      <c r="B2036">
        <v>583210.87</v>
      </c>
      <c r="C2036">
        <v>0</v>
      </c>
      <c r="D2036">
        <v>57.94</v>
      </c>
      <c r="E2036">
        <v>2.8460000000000001</v>
      </c>
      <c r="F2036">
        <v>132.76706669999999</v>
      </c>
      <c r="G2036">
        <v>8.0990000000000002</v>
      </c>
      <c r="N2036" s="8"/>
    </row>
    <row r="2037" spans="1:14" x14ac:dyDescent="0.25">
      <c r="A2037" s="8">
        <v>40445</v>
      </c>
      <c r="B2037">
        <v>548542.47</v>
      </c>
      <c r="C2037">
        <v>0</v>
      </c>
      <c r="D2037">
        <v>62.53</v>
      </c>
      <c r="E2037">
        <v>2.8370000000000002</v>
      </c>
      <c r="F2037">
        <v>132.76193330000001</v>
      </c>
      <c r="G2037">
        <v>8.0990000000000002</v>
      </c>
      <c r="N2037" s="8"/>
    </row>
    <row r="2038" spans="1:14" x14ac:dyDescent="0.25">
      <c r="A2038" s="8">
        <v>40452</v>
      </c>
      <c r="B2038">
        <v>566945.94999999995</v>
      </c>
      <c r="C2038">
        <v>0</v>
      </c>
      <c r="D2038">
        <v>59.69</v>
      </c>
      <c r="E2038">
        <v>2.84</v>
      </c>
      <c r="F2038">
        <v>132.7568</v>
      </c>
      <c r="G2038">
        <v>8.0670000000000002</v>
      </c>
      <c r="N2038" s="8"/>
    </row>
    <row r="2039" spans="1:14" x14ac:dyDescent="0.25">
      <c r="A2039" s="8">
        <v>40459</v>
      </c>
      <c r="B2039">
        <v>591603.79</v>
      </c>
      <c r="C2039">
        <v>0</v>
      </c>
      <c r="D2039">
        <v>52.19</v>
      </c>
      <c r="E2039">
        <v>2.903</v>
      </c>
      <c r="F2039">
        <v>132.75166669999999</v>
      </c>
      <c r="G2039">
        <v>8.0670000000000002</v>
      </c>
      <c r="N2039" s="8"/>
    </row>
    <row r="2040" spans="1:14" x14ac:dyDescent="0.25">
      <c r="A2040" s="8">
        <v>40466</v>
      </c>
      <c r="B2040">
        <v>577011.26</v>
      </c>
      <c r="C2040">
        <v>0</v>
      </c>
      <c r="D2040">
        <v>49.96</v>
      </c>
      <c r="E2040">
        <v>2.9990000000000001</v>
      </c>
      <c r="F2040">
        <v>132.7633548</v>
      </c>
      <c r="G2040">
        <v>8.0670000000000002</v>
      </c>
      <c r="N2040" s="8"/>
    </row>
    <row r="2041" spans="1:14" x14ac:dyDescent="0.25">
      <c r="A2041" s="8">
        <v>40473</v>
      </c>
      <c r="B2041">
        <v>600395.73</v>
      </c>
      <c r="C2041">
        <v>0</v>
      </c>
      <c r="D2041">
        <v>47.1</v>
      </c>
      <c r="E2041">
        <v>3.0489999999999999</v>
      </c>
      <c r="F2041">
        <v>132.8170968</v>
      </c>
      <c r="G2041">
        <v>8.0670000000000002</v>
      </c>
      <c r="N2041" s="8"/>
    </row>
    <row r="2042" spans="1:14" x14ac:dyDescent="0.25">
      <c r="A2042" s="8">
        <v>40480</v>
      </c>
      <c r="B2042">
        <v>598301.5</v>
      </c>
      <c r="C2042">
        <v>0</v>
      </c>
      <c r="D2042">
        <v>55.09</v>
      </c>
      <c r="E2042">
        <v>3.0550000000000002</v>
      </c>
      <c r="F2042">
        <v>132.87083870000001</v>
      </c>
      <c r="G2042">
        <v>8.0670000000000002</v>
      </c>
      <c r="N2042" s="8"/>
    </row>
    <row r="2043" spans="1:14" x14ac:dyDescent="0.25">
      <c r="A2043" s="8">
        <v>40487</v>
      </c>
      <c r="B2043">
        <v>612987.64</v>
      </c>
      <c r="C2043">
        <v>0</v>
      </c>
      <c r="D2043">
        <v>40.29</v>
      </c>
      <c r="E2043">
        <v>3.0489999999999999</v>
      </c>
      <c r="F2043">
        <v>132.92458060000001</v>
      </c>
      <c r="G2043">
        <v>8.0670000000000002</v>
      </c>
      <c r="N2043" s="8"/>
    </row>
    <row r="2044" spans="1:14" x14ac:dyDescent="0.25">
      <c r="A2044" s="8">
        <v>40494</v>
      </c>
      <c r="B2044">
        <v>619639.74</v>
      </c>
      <c r="C2044">
        <v>0</v>
      </c>
      <c r="D2044">
        <v>39.630000000000003</v>
      </c>
      <c r="E2044">
        <v>3.0649999999999999</v>
      </c>
      <c r="F2044">
        <v>132.97832260000001</v>
      </c>
      <c r="G2044">
        <v>8.0670000000000002</v>
      </c>
      <c r="N2044" s="8"/>
    </row>
    <row r="2045" spans="1:14" x14ac:dyDescent="0.25">
      <c r="A2045" s="8">
        <v>40501</v>
      </c>
      <c r="B2045">
        <v>608200.81000000006</v>
      </c>
      <c r="C2045">
        <v>0</v>
      </c>
      <c r="D2045">
        <v>44.1</v>
      </c>
      <c r="E2045">
        <v>3.1379999999999999</v>
      </c>
      <c r="F2045">
        <v>132.91720000000001</v>
      </c>
      <c r="G2045">
        <v>8.0670000000000002</v>
      </c>
      <c r="N2045" s="8"/>
    </row>
    <row r="2046" spans="1:14" x14ac:dyDescent="0.25">
      <c r="A2046" s="8">
        <v>40508</v>
      </c>
      <c r="B2046">
        <v>1120018.92</v>
      </c>
      <c r="C2046">
        <v>1</v>
      </c>
      <c r="D2046">
        <v>40.71</v>
      </c>
      <c r="E2046">
        <v>3.1859999999999999</v>
      </c>
      <c r="F2046">
        <v>132.8369333</v>
      </c>
      <c r="G2046">
        <v>8.0670000000000002</v>
      </c>
      <c r="N2046" s="8"/>
    </row>
    <row r="2047" spans="1:14" x14ac:dyDescent="0.25">
      <c r="A2047" s="8">
        <v>40515</v>
      </c>
      <c r="B2047">
        <v>754134.95</v>
      </c>
      <c r="C2047">
        <v>0</v>
      </c>
      <c r="D2047">
        <v>36</v>
      </c>
      <c r="E2047">
        <v>3.2</v>
      </c>
      <c r="F2047">
        <v>132.75666670000001</v>
      </c>
      <c r="G2047">
        <v>8.0670000000000002</v>
      </c>
      <c r="N2047" s="8"/>
    </row>
    <row r="2048" spans="1:14" x14ac:dyDescent="0.25">
      <c r="A2048" s="8">
        <v>40522</v>
      </c>
      <c r="B2048">
        <v>847294.04</v>
      </c>
      <c r="C2048">
        <v>0</v>
      </c>
      <c r="D2048">
        <v>23.97</v>
      </c>
      <c r="E2048">
        <v>3.2549999999999999</v>
      </c>
      <c r="F2048">
        <v>132.6764</v>
      </c>
      <c r="G2048">
        <v>8.0670000000000002</v>
      </c>
      <c r="N2048" s="8"/>
    </row>
    <row r="2049" spans="1:14" x14ac:dyDescent="0.25">
      <c r="A2049" s="8">
        <v>40529</v>
      </c>
      <c r="B2049">
        <v>983825.15</v>
      </c>
      <c r="C2049">
        <v>0</v>
      </c>
      <c r="D2049">
        <v>25.3</v>
      </c>
      <c r="E2049">
        <v>3.3010000000000002</v>
      </c>
      <c r="F2049">
        <v>132.6804516</v>
      </c>
      <c r="G2049">
        <v>8.0670000000000002</v>
      </c>
      <c r="N2049" s="8"/>
    </row>
    <row r="2050" spans="1:14" x14ac:dyDescent="0.25">
      <c r="A2050" s="8">
        <v>40536</v>
      </c>
      <c r="B2050">
        <v>1368318.17</v>
      </c>
      <c r="C2050">
        <v>0</v>
      </c>
      <c r="D2050">
        <v>25.07</v>
      </c>
      <c r="E2050">
        <v>3.3090000000000002</v>
      </c>
      <c r="F2050">
        <v>132.74774189999999</v>
      </c>
      <c r="G2050">
        <v>8.0670000000000002</v>
      </c>
      <c r="N2050" s="8"/>
    </row>
    <row r="2051" spans="1:14" x14ac:dyDescent="0.25">
      <c r="A2051" s="8">
        <v>40543</v>
      </c>
      <c r="B2051">
        <v>543754.17000000004</v>
      </c>
      <c r="C2051">
        <v>1</v>
      </c>
      <c r="D2051">
        <v>26.54</v>
      </c>
      <c r="E2051">
        <v>3.3359999999999999</v>
      </c>
      <c r="F2051">
        <v>132.81503230000001</v>
      </c>
      <c r="G2051">
        <v>8.0670000000000002</v>
      </c>
      <c r="N2051" s="8"/>
    </row>
    <row r="2052" spans="1:14" x14ac:dyDescent="0.25">
      <c r="A2052" s="8">
        <v>40550</v>
      </c>
      <c r="B2052">
        <v>509640.77</v>
      </c>
      <c r="C2052">
        <v>0</v>
      </c>
      <c r="D2052">
        <v>30.53</v>
      </c>
      <c r="E2052">
        <v>3.351</v>
      </c>
      <c r="F2052">
        <v>132.88232260000001</v>
      </c>
      <c r="G2052">
        <v>7.7709999999999999</v>
      </c>
      <c r="N2052" s="8"/>
    </row>
    <row r="2053" spans="1:14" x14ac:dyDescent="0.25">
      <c r="A2053" s="8">
        <v>40557</v>
      </c>
      <c r="B2053">
        <v>479424.2</v>
      </c>
      <c r="C2053">
        <v>0</v>
      </c>
      <c r="D2053">
        <v>19.53</v>
      </c>
      <c r="E2053">
        <v>3.367</v>
      </c>
      <c r="F2053">
        <v>132.9510645</v>
      </c>
      <c r="G2053">
        <v>7.7709999999999999</v>
      </c>
      <c r="N2053" s="8"/>
    </row>
    <row r="2054" spans="1:14" x14ac:dyDescent="0.25">
      <c r="A2054" s="8">
        <v>40564</v>
      </c>
      <c r="B2054">
        <v>487311.03</v>
      </c>
      <c r="C2054">
        <v>0</v>
      </c>
      <c r="D2054">
        <v>21.84</v>
      </c>
      <c r="E2054">
        <v>3.391</v>
      </c>
      <c r="F2054">
        <v>133.02851609999999</v>
      </c>
      <c r="G2054">
        <v>7.7709999999999999</v>
      </c>
      <c r="N2054" s="8"/>
    </row>
    <row r="2055" spans="1:14" x14ac:dyDescent="0.25">
      <c r="A2055" s="8">
        <v>40571</v>
      </c>
      <c r="B2055">
        <v>481119.6</v>
      </c>
      <c r="C2055">
        <v>0</v>
      </c>
      <c r="D2055">
        <v>19.61</v>
      </c>
      <c r="E2055">
        <v>3.4020000000000001</v>
      </c>
      <c r="F2055">
        <v>133.10596770000001</v>
      </c>
      <c r="G2055">
        <v>7.7709999999999999</v>
      </c>
      <c r="N2055" s="8"/>
    </row>
    <row r="2056" spans="1:14" x14ac:dyDescent="0.25">
      <c r="A2056" s="8">
        <v>40578</v>
      </c>
      <c r="B2056">
        <v>556550.85</v>
      </c>
      <c r="C2056">
        <v>0</v>
      </c>
      <c r="D2056">
        <v>20.69</v>
      </c>
      <c r="E2056">
        <v>3.4</v>
      </c>
      <c r="F2056">
        <v>133.18341939999999</v>
      </c>
      <c r="G2056">
        <v>7.7709999999999999</v>
      </c>
      <c r="N2056" s="8"/>
    </row>
    <row r="2057" spans="1:14" x14ac:dyDescent="0.25">
      <c r="A2057" s="8">
        <v>40585</v>
      </c>
      <c r="B2057">
        <v>582864.35</v>
      </c>
      <c r="C2057">
        <v>1</v>
      </c>
      <c r="D2057">
        <v>21.64</v>
      </c>
      <c r="E2057">
        <v>3.4159999999999999</v>
      </c>
      <c r="F2057">
        <v>133.26087100000001</v>
      </c>
      <c r="G2057">
        <v>7.7709999999999999</v>
      </c>
      <c r="N2057" s="8"/>
    </row>
    <row r="2058" spans="1:14" x14ac:dyDescent="0.25">
      <c r="A2058" s="8">
        <v>40592</v>
      </c>
      <c r="B2058">
        <v>649993.5</v>
      </c>
      <c r="C2058">
        <v>0</v>
      </c>
      <c r="D2058">
        <v>33.06</v>
      </c>
      <c r="E2058">
        <v>3.42</v>
      </c>
      <c r="F2058">
        <v>133.37014289999999</v>
      </c>
      <c r="G2058">
        <v>7.7709999999999999</v>
      </c>
      <c r="N2058" s="8"/>
    </row>
    <row r="2059" spans="1:14" x14ac:dyDescent="0.25">
      <c r="A2059" s="8">
        <v>40599</v>
      </c>
      <c r="B2059">
        <v>547564.09</v>
      </c>
      <c r="C2059">
        <v>0</v>
      </c>
      <c r="D2059">
        <v>20.87</v>
      </c>
      <c r="E2059">
        <v>3.452</v>
      </c>
      <c r="F2059">
        <v>133.4921429</v>
      </c>
      <c r="G2059">
        <v>7.7709999999999999</v>
      </c>
      <c r="N2059" s="8"/>
    </row>
    <row r="2060" spans="1:14" x14ac:dyDescent="0.25">
      <c r="A2060" s="8">
        <v>40606</v>
      </c>
      <c r="B2060">
        <v>573374.49</v>
      </c>
      <c r="C2060">
        <v>0</v>
      </c>
      <c r="D2060">
        <v>28.16</v>
      </c>
      <c r="E2060">
        <v>3.605</v>
      </c>
      <c r="F2060">
        <v>133.61414289999999</v>
      </c>
      <c r="G2060">
        <v>7.7709999999999999</v>
      </c>
      <c r="N2060" s="8"/>
    </row>
    <row r="2061" spans="1:14" x14ac:dyDescent="0.25">
      <c r="A2061" s="8">
        <v>40613</v>
      </c>
      <c r="B2061">
        <v>537035.28</v>
      </c>
      <c r="C2061">
        <v>0</v>
      </c>
      <c r="D2061">
        <v>34.270000000000003</v>
      </c>
      <c r="E2061">
        <v>3.7519999999999998</v>
      </c>
      <c r="F2061">
        <v>133.7361429</v>
      </c>
      <c r="G2061">
        <v>7.7709999999999999</v>
      </c>
      <c r="N2061" s="8"/>
    </row>
    <row r="2062" spans="1:14" x14ac:dyDescent="0.25">
      <c r="A2062" s="8">
        <v>40620</v>
      </c>
      <c r="B2062">
        <v>551553.99</v>
      </c>
      <c r="C2062">
        <v>0</v>
      </c>
      <c r="D2062">
        <v>40.229999999999997</v>
      </c>
      <c r="E2062">
        <v>3.7959999999999998</v>
      </c>
      <c r="F2062">
        <v>133.8492258</v>
      </c>
      <c r="G2062">
        <v>7.7709999999999999</v>
      </c>
      <c r="N2062" s="8"/>
    </row>
    <row r="2063" spans="1:14" x14ac:dyDescent="0.25">
      <c r="A2063" s="8">
        <v>40627</v>
      </c>
      <c r="B2063">
        <v>527389.28</v>
      </c>
      <c r="C2063">
        <v>0</v>
      </c>
      <c r="D2063">
        <v>32.630000000000003</v>
      </c>
      <c r="E2063">
        <v>3.7890000000000001</v>
      </c>
      <c r="F2063">
        <v>133.95874190000001</v>
      </c>
      <c r="G2063">
        <v>7.7709999999999999</v>
      </c>
      <c r="N2063" s="8"/>
    </row>
    <row r="2064" spans="1:14" x14ac:dyDescent="0.25">
      <c r="A2064" s="8">
        <v>40634</v>
      </c>
      <c r="B2064">
        <v>542556.05000000005</v>
      </c>
      <c r="C2064">
        <v>0</v>
      </c>
      <c r="D2064">
        <v>30.34</v>
      </c>
      <c r="E2064">
        <v>3.8109999999999999</v>
      </c>
      <c r="F2064">
        <v>134.06825810000001</v>
      </c>
      <c r="G2064">
        <v>7.6580000000000004</v>
      </c>
      <c r="N2064" s="8"/>
    </row>
    <row r="2065" spans="1:14" x14ac:dyDescent="0.25">
      <c r="A2065" s="8">
        <v>40641</v>
      </c>
      <c r="B2065">
        <v>587370.81000000006</v>
      </c>
      <c r="C2065">
        <v>0</v>
      </c>
      <c r="D2065">
        <v>40.94</v>
      </c>
      <c r="E2065">
        <v>3.895</v>
      </c>
      <c r="F2065">
        <v>134.17777419999999</v>
      </c>
      <c r="G2065">
        <v>7.6580000000000004</v>
      </c>
      <c r="N2065" s="8"/>
    </row>
    <row r="2066" spans="1:14" x14ac:dyDescent="0.25">
      <c r="A2066" s="8">
        <v>40648</v>
      </c>
      <c r="B2066">
        <v>607691.36</v>
      </c>
      <c r="C2066">
        <v>0</v>
      </c>
      <c r="D2066">
        <v>48.63</v>
      </c>
      <c r="E2066">
        <v>3.9809999999999999</v>
      </c>
      <c r="F2066">
        <v>134.2784667</v>
      </c>
      <c r="G2066">
        <v>7.6580000000000004</v>
      </c>
      <c r="N2066" s="8"/>
    </row>
    <row r="2067" spans="1:14" x14ac:dyDescent="0.25">
      <c r="A2067" s="8">
        <v>40655</v>
      </c>
      <c r="B2067">
        <v>655318.26</v>
      </c>
      <c r="C2067">
        <v>0</v>
      </c>
      <c r="D2067">
        <v>41.37</v>
      </c>
      <c r="E2067">
        <v>4.0609999999999999</v>
      </c>
      <c r="F2067">
        <v>134.3571</v>
      </c>
      <c r="G2067">
        <v>7.6580000000000004</v>
      </c>
      <c r="N2067" s="8"/>
    </row>
    <row r="2068" spans="1:14" x14ac:dyDescent="0.25">
      <c r="A2068" s="8">
        <v>40662</v>
      </c>
      <c r="B2068">
        <v>560764.41</v>
      </c>
      <c r="C2068">
        <v>0</v>
      </c>
      <c r="D2068">
        <v>55.46</v>
      </c>
      <c r="E2068">
        <v>4.117</v>
      </c>
      <c r="F2068">
        <v>134.43573330000001</v>
      </c>
      <c r="G2068">
        <v>7.6580000000000004</v>
      </c>
      <c r="N2068" s="8"/>
    </row>
    <row r="2069" spans="1:14" x14ac:dyDescent="0.25">
      <c r="A2069" s="8">
        <v>40669</v>
      </c>
      <c r="B2069">
        <v>630522.67000000004</v>
      </c>
      <c r="C2069">
        <v>0</v>
      </c>
      <c r="D2069">
        <v>49.87</v>
      </c>
      <c r="E2069">
        <v>4.1920000000000002</v>
      </c>
      <c r="F2069">
        <v>134.51436670000001</v>
      </c>
      <c r="G2069">
        <v>7.6580000000000004</v>
      </c>
      <c r="N2069" s="8"/>
    </row>
    <row r="2070" spans="1:14" x14ac:dyDescent="0.25">
      <c r="A2070" s="8">
        <v>40676</v>
      </c>
      <c r="B2070">
        <v>630482.91</v>
      </c>
      <c r="C2070">
        <v>0</v>
      </c>
      <c r="D2070">
        <v>57.07</v>
      </c>
      <c r="E2070">
        <v>4.2110000000000003</v>
      </c>
      <c r="F2070">
        <v>134.59299999999999</v>
      </c>
      <c r="G2070">
        <v>7.6580000000000004</v>
      </c>
      <c r="N2070" s="8"/>
    </row>
    <row r="2071" spans="1:14" x14ac:dyDescent="0.25">
      <c r="A2071" s="8">
        <v>40683</v>
      </c>
      <c r="B2071">
        <v>593941.9</v>
      </c>
      <c r="C2071">
        <v>0</v>
      </c>
      <c r="D2071">
        <v>57.19</v>
      </c>
      <c r="E2071">
        <v>4.202</v>
      </c>
      <c r="F2071">
        <v>134.68038709999999</v>
      </c>
      <c r="G2071">
        <v>7.6580000000000004</v>
      </c>
      <c r="N2071" s="8"/>
    </row>
    <row r="2072" spans="1:14" x14ac:dyDescent="0.25">
      <c r="A2072" s="8">
        <v>40690</v>
      </c>
      <c r="B2072">
        <v>636193.24</v>
      </c>
      <c r="C2072">
        <v>0</v>
      </c>
      <c r="D2072">
        <v>65.87</v>
      </c>
      <c r="E2072">
        <v>4.1340000000000003</v>
      </c>
      <c r="F2072">
        <v>134.76777419999999</v>
      </c>
      <c r="G2072">
        <v>7.6580000000000004</v>
      </c>
      <c r="N2072" s="8"/>
    </row>
    <row r="2073" spans="1:14" x14ac:dyDescent="0.25">
      <c r="A2073" s="8">
        <v>40697</v>
      </c>
      <c r="B2073">
        <v>695396.19</v>
      </c>
      <c r="C2073">
        <v>0</v>
      </c>
      <c r="D2073">
        <v>69.8</v>
      </c>
      <c r="E2073">
        <v>4.069</v>
      </c>
      <c r="F2073">
        <v>134.85516129999999</v>
      </c>
      <c r="G2073">
        <v>7.6580000000000004</v>
      </c>
      <c r="N2073" s="8"/>
    </row>
    <row r="2074" spans="1:14" x14ac:dyDescent="0.25">
      <c r="A2074" s="8">
        <v>40704</v>
      </c>
      <c r="B2074">
        <v>642679.81000000006</v>
      </c>
      <c r="C2074">
        <v>0</v>
      </c>
      <c r="D2074">
        <v>69.86</v>
      </c>
      <c r="E2074">
        <v>4.0250000000000004</v>
      </c>
      <c r="F2074">
        <v>134.94254839999999</v>
      </c>
      <c r="G2074">
        <v>7.6580000000000004</v>
      </c>
      <c r="N2074" s="8"/>
    </row>
    <row r="2075" spans="1:14" x14ac:dyDescent="0.25">
      <c r="A2075" s="8">
        <v>40711</v>
      </c>
      <c r="B2075">
        <v>639928.85</v>
      </c>
      <c r="C2075">
        <v>0</v>
      </c>
      <c r="D2075">
        <v>63.9</v>
      </c>
      <c r="E2075">
        <v>3.9889999999999999</v>
      </c>
      <c r="F2075">
        <v>135.08373330000001</v>
      </c>
      <c r="G2075">
        <v>7.6580000000000004</v>
      </c>
      <c r="N2075" s="8"/>
    </row>
    <row r="2076" spans="1:14" x14ac:dyDescent="0.25">
      <c r="A2076" s="8">
        <v>40718</v>
      </c>
      <c r="B2076">
        <v>656594.94999999995</v>
      </c>
      <c r="C2076">
        <v>0</v>
      </c>
      <c r="D2076">
        <v>69.959999999999994</v>
      </c>
      <c r="E2076">
        <v>3.964</v>
      </c>
      <c r="F2076">
        <v>135.26526670000001</v>
      </c>
      <c r="G2076">
        <v>7.6580000000000004</v>
      </c>
      <c r="N2076" s="8"/>
    </row>
    <row r="2077" spans="1:14" x14ac:dyDescent="0.25">
      <c r="A2077" s="8">
        <v>40725</v>
      </c>
      <c r="B2077">
        <v>674669.16</v>
      </c>
      <c r="C2077">
        <v>0</v>
      </c>
      <c r="D2077">
        <v>67.430000000000007</v>
      </c>
      <c r="E2077">
        <v>3.9159999999999999</v>
      </c>
      <c r="F2077">
        <v>135.4468</v>
      </c>
      <c r="G2077">
        <v>7.806</v>
      </c>
      <c r="N2077" s="8"/>
    </row>
    <row r="2078" spans="1:14" x14ac:dyDescent="0.25">
      <c r="A2078" s="8">
        <v>40732</v>
      </c>
      <c r="B2078">
        <v>635118.48</v>
      </c>
      <c r="C2078">
        <v>0</v>
      </c>
      <c r="D2078">
        <v>73.47</v>
      </c>
      <c r="E2078">
        <v>3.8860000000000001</v>
      </c>
      <c r="F2078">
        <v>135.62833330000001</v>
      </c>
      <c r="G2078">
        <v>7.806</v>
      </c>
      <c r="N2078" s="8"/>
    </row>
    <row r="2079" spans="1:14" x14ac:dyDescent="0.25">
      <c r="A2079" s="8">
        <v>40739</v>
      </c>
      <c r="B2079">
        <v>624114.56000000006</v>
      </c>
      <c r="C2079">
        <v>0</v>
      </c>
      <c r="D2079">
        <v>73.34</v>
      </c>
      <c r="E2079">
        <v>3.915</v>
      </c>
      <c r="F2079">
        <v>135.7837419</v>
      </c>
      <c r="G2079">
        <v>7.806</v>
      </c>
      <c r="N2079" s="8"/>
    </row>
    <row r="2080" spans="1:14" x14ac:dyDescent="0.25">
      <c r="A2080" s="8">
        <v>40746</v>
      </c>
      <c r="B2080">
        <v>607475.43999999994</v>
      </c>
      <c r="C2080">
        <v>0</v>
      </c>
      <c r="D2080">
        <v>79.97</v>
      </c>
      <c r="E2080">
        <v>3.972</v>
      </c>
      <c r="F2080">
        <v>135.87383869999999</v>
      </c>
      <c r="G2080">
        <v>7.806</v>
      </c>
      <c r="N2080" s="8"/>
    </row>
    <row r="2081" spans="1:14" x14ac:dyDescent="0.25">
      <c r="A2081" s="8">
        <v>40753</v>
      </c>
      <c r="B2081">
        <v>577511.02</v>
      </c>
      <c r="C2081">
        <v>0</v>
      </c>
      <c r="D2081">
        <v>74.67</v>
      </c>
      <c r="E2081">
        <v>4.0039999999999996</v>
      </c>
      <c r="F2081">
        <v>135.96393549999999</v>
      </c>
      <c r="G2081">
        <v>7.806</v>
      </c>
      <c r="N2081" s="8"/>
    </row>
    <row r="2082" spans="1:14" x14ac:dyDescent="0.25">
      <c r="A2082" s="8">
        <v>40760</v>
      </c>
      <c r="B2082">
        <v>607961.21</v>
      </c>
      <c r="C2082">
        <v>0</v>
      </c>
      <c r="D2082">
        <v>73.63</v>
      </c>
      <c r="E2082">
        <v>4.0199999999999996</v>
      </c>
      <c r="F2082">
        <v>136.05403229999999</v>
      </c>
      <c r="G2082">
        <v>7.806</v>
      </c>
      <c r="N2082" s="8"/>
    </row>
    <row r="2083" spans="1:14" x14ac:dyDescent="0.25">
      <c r="A2083" s="8">
        <v>40767</v>
      </c>
      <c r="B2083">
        <v>590836.37</v>
      </c>
      <c r="C2083">
        <v>0</v>
      </c>
      <c r="D2083">
        <v>70.63</v>
      </c>
      <c r="E2083">
        <v>3.9950000000000001</v>
      </c>
      <c r="F2083">
        <v>136.14412899999999</v>
      </c>
      <c r="G2083">
        <v>7.806</v>
      </c>
      <c r="N2083" s="8"/>
    </row>
    <row r="2084" spans="1:14" x14ac:dyDescent="0.25">
      <c r="A2084" s="8">
        <v>40774</v>
      </c>
      <c r="B2084">
        <v>599488.98</v>
      </c>
      <c r="C2084">
        <v>0</v>
      </c>
      <c r="D2084">
        <v>70.41</v>
      </c>
      <c r="E2084">
        <v>3.9420000000000002</v>
      </c>
      <c r="F2084">
        <v>136.18312900000001</v>
      </c>
      <c r="G2084">
        <v>7.806</v>
      </c>
      <c r="N2084" s="8"/>
    </row>
    <row r="2085" spans="1:14" x14ac:dyDescent="0.25">
      <c r="A2085" s="8">
        <v>40781</v>
      </c>
      <c r="B2085">
        <v>605413.17000000004</v>
      </c>
      <c r="C2085">
        <v>0</v>
      </c>
      <c r="D2085">
        <v>69.19</v>
      </c>
      <c r="E2085">
        <v>3.9060000000000001</v>
      </c>
      <c r="F2085">
        <v>136.21361289999999</v>
      </c>
      <c r="G2085">
        <v>7.806</v>
      </c>
      <c r="N2085" s="8"/>
    </row>
    <row r="2086" spans="1:14" x14ac:dyDescent="0.25">
      <c r="A2086" s="8">
        <v>40788</v>
      </c>
      <c r="B2086">
        <v>649159.68000000005</v>
      </c>
      <c r="C2086">
        <v>0</v>
      </c>
      <c r="D2086">
        <v>67.63</v>
      </c>
      <c r="E2086">
        <v>3.879</v>
      </c>
      <c r="F2086">
        <v>136.24409679999999</v>
      </c>
      <c r="G2086">
        <v>7.806</v>
      </c>
      <c r="N2086" s="8"/>
    </row>
    <row r="2087" spans="1:14" x14ac:dyDescent="0.25">
      <c r="A2087" s="8">
        <v>40795</v>
      </c>
      <c r="B2087">
        <v>607593.51</v>
      </c>
      <c r="C2087">
        <v>1</v>
      </c>
      <c r="D2087">
        <v>67.59</v>
      </c>
      <c r="E2087">
        <v>3.93</v>
      </c>
      <c r="F2087">
        <v>136.27458060000001</v>
      </c>
      <c r="G2087">
        <v>7.806</v>
      </c>
      <c r="N2087" s="8"/>
    </row>
    <row r="2088" spans="1:14" x14ac:dyDescent="0.25">
      <c r="A2088" s="8">
        <v>40802</v>
      </c>
      <c r="B2088">
        <v>545052.34</v>
      </c>
      <c r="C2088">
        <v>0</v>
      </c>
      <c r="D2088">
        <v>62.1</v>
      </c>
      <c r="E2088">
        <v>3.9369999999999998</v>
      </c>
      <c r="F2088">
        <v>136.31450000000001</v>
      </c>
      <c r="G2088">
        <v>7.806</v>
      </c>
      <c r="N2088" s="8"/>
    </row>
    <row r="2089" spans="1:14" x14ac:dyDescent="0.25">
      <c r="A2089" s="8">
        <v>40809</v>
      </c>
      <c r="B2089">
        <v>545570.86</v>
      </c>
      <c r="C2089">
        <v>0</v>
      </c>
      <c r="D2089">
        <v>59</v>
      </c>
      <c r="E2089">
        <v>3.899</v>
      </c>
      <c r="F2089">
        <v>136.36699999999999</v>
      </c>
      <c r="G2089">
        <v>7.806</v>
      </c>
      <c r="N2089" s="8"/>
    </row>
    <row r="2090" spans="1:14" x14ac:dyDescent="0.25">
      <c r="A2090" s="8">
        <v>40816</v>
      </c>
      <c r="B2090">
        <v>521297.31</v>
      </c>
      <c r="C2090">
        <v>0</v>
      </c>
      <c r="D2090">
        <v>64.87</v>
      </c>
      <c r="E2090">
        <v>3.8580000000000001</v>
      </c>
      <c r="F2090">
        <v>136.4195</v>
      </c>
      <c r="G2090">
        <v>7.806</v>
      </c>
      <c r="N2090" s="8"/>
    </row>
    <row r="2091" spans="1:14" x14ac:dyDescent="0.25">
      <c r="A2091" s="8">
        <v>40823</v>
      </c>
      <c r="B2091">
        <v>579068.88</v>
      </c>
      <c r="C2091">
        <v>0</v>
      </c>
      <c r="D2091">
        <v>51.24</v>
      </c>
      <c r="E2091">
        <v>3.7749999999999999</v>
      </c>
      <c r="F2091">
        <v>136.47200000000001</v>
      </c>
      <c r="G2091">
        <v>7.8659999999999997</v>
      </c>
      <c r="N2091" s="8"/>
    </row>
    <row r="2092" spans="1:14" x14ac:dyDescent="0.25">
      <c r="A2092" s="8">
        <v>40830</v>
      </c>
      <c r="B2092">
        <v>537300.93999999994</v>
      </c>
      <c r="C2092">
        <v>0</v>
      </c>
      <c r="D2092">
        <v>61.3</v>
      </c>
      <c r="E2092">
        <v>3.7440000000000002</v>
      </c>
      <c r="F2092">
        <v>136.51509680000001</v>
      </c>
      <c r="G2092">
        <v>7.8659999999999997</v>
      </c>
      <c r="N2092" s="8"/>
    </row>
    <row r="2093" spans="1:14" x14ac:dyDescent="0.25">
      <c r="A2093" s="8">
        <v>40837</v>
      </c>
      <c r="B2093">
        <v>603318.89</v>
      </c>
      <c r="C2093">
        <v>0</v>
      </c>
      <c r="D2093">
        <v>51.67</v>
      </c>
      <c r="E2093">
        <v>3.7570000000000001</v>
      </c>
      <c r="F2093">
        <v>136.5017742</v>
      </c>
      <c r="G2093">
        <v>7.8659999999999997</v>
      </c>
      <c r="N2093" s="8"/>
    </row>
    <row r="2094" spans="1:14" x14ac:dyDescent="0.25">
      <c r="A2094" s="8">
        <v>40844</v>
      </c>
      <c r="B2094">
        <v>589842.68999999994</v>
      </c>
      <c r="C2094">
        <v>0</v>
      </c>
      <c r="D2094">
        <v>45.54</v>
      </c>
      <c r="E2094">
        <v>3.7570000000000001</v>
      </c>
      <c r="F2094">
        <v>136.48845159999999</v>
      </c>
      <c r="G2094">
        <v>7.8659999999999997</v>
      </c>
      <c r="N2094" s="8"/>
    </row>
    <row r="2095" spans="1:14" x14ac:dyDescent="0.25">
      <c r="A2095" s="8">
        <v>40851</v>
      </c>
      <c r="B2095">
        <v>615121.78</v>
      </c>
      <c r="C2095">
        <v>0</v>
      </c>
      <c r="D2095">
        <v>43.39</v>
      </c>
      <c r="E2095">
        <v>3.738</v>
      </c>
      <c r="F2095">
        <v>136.47512900000001</v>
      </c>
      <c r="G2095">
        <v>7.8659999999999997</v>
      </c>
      <c r="N2095" s="8"/>
    </row>
    <row r="2096" spans="1:14" x14ac:dyDescent="0.25">
      <c r="A2096" s="8">
        <v>40858</v>
      </c>
      <c r="B2096">
        <v>618949.81999999995</v>
      </c>
      <c r="C2096">
        <v>0</v>
      </c>
      <c r="D2096">
        <v>47.13</v>
      </c>
      <c r="E2096">
        <v>3.7189999999999999</v>
      </c>
      <c r="F2096">
        <v>136.46180649999999</v>
      </c>
      <c r="G2096">
        <v>7.8659999999999997</v>
      </c>
      <c r="N2096" s="8"/>
    </row>
    <row r="2097" spans="1:14" x14ac:dyDescent="0.25">
      <c r="A2097" s="8">
        <v>40865</v>
      </c>
      <c r="B2097">
        <v>597856.51</v>
      </c>
      <c r="C2097">
        <v>0</v>
      </c>
      <c r="D2097">
        <v>46.53</v>
      </c>
      <c r="E2097">
        <v>3.7170000000000001</v>
      </c>
      <c r="F2097">
        <v>136.46666669999999</v>
      </c>
      <c r="G2097">
        <v>7.8659999999999997</v>
      </c>
      <c r="N2097" s="8"/>
    </row>
    <row r="2098" spans="1:14" x14ac:dyDescent="0.25">
      <c r="A2098" s="8">
        <v>40872</v>
      </c>
      <c r="B2098">
        <v>1066478.1000000001</v>
      </c>
      <c r="C2098">
        <v>1</v>
      </c>
      <c r="D2098">
        <v>41.1</v>
      </c>
      <c r="E2098">
        <v>3.6890000000000001</v>
      </c>
      <c r="F2098">
        <v>136.47880000000001</v>
      </c>
      <c r="G2098">
        <v>7.8659999999999997</v>
      </c>
      <c r="N2098" s="8"/>
    </row>
    <row r="2099" spans="1:14" x14ac:dyDescent="0.25">
      <c r="A2099" s="8">
        <v>40879</v>
      </c>
      <c r="B2099">
        <v>699028.66</v>
      </c>
      <c r="C2099">
        <v>0</v>
      </c>
      <c r="D2099">
        <v>45.67</v>
      </c>
      <c r="E2099">
        <v>3.6659999999999999</v>
      </c>
      <c r="F2099">
        <v>136.49093329999999</v>
      </c>
      <c r="G2099">
        <v>7.8659999999999997</v>
      </c>
      <c r="N2099" s="8"/>
    </row>
    <row r="2100" spans="1:14" x14ac:dyDescent="0.25">
      <c r="A2100" s="8">
        <v>40886</v>
      </c>
      <c r="B2100">
        <v>764565.55</v>
      </c>
      <c r="C2100">
        <v>0</v>
      </c>
      <c r="D2100">
        <v>38.53</v>
      </c>
      <c r="E2100">
        <v>3.6269999999999998</v>
      </c>
      <c r="F2100">
        <v>136.50306670000001</v>
      </c>
      <c r="G2100">
        <v>7.8659999999999997</v>
      </c>
      <c r="N2100" s="8"/>
    </row>
    <row r="2101" spans="1:14" x14ac:dyDescent="0.25">
      <c r="A2101" s="8">
        <v>40893</v>
      </c>
      <c r="B2101">
        <v>870415.49</v>
      </c>
      <c r="C2101">
        <v>0</v>
      </c>
      <c r="D2101">
        <v>35.49</v>
      </c>
      <c r="E2101">
        <v>3.6110000000000002</v>
      </c>
      <c r="F2101">
        <v>136.53351610000001</v>
      </c>
      <c r="G2101">
        <v>7.8659999999999997</v>
      </c>
      <c r="N2101" s="8"/>
    </row>
    <row r="2102" spans="1:14" x14ac:dyDescent="0.25">
      <c r="A2102" s="8">
        <v>40900</v>
      </c>
      <c r="B2102">
        <v>1182691.8700000001</v>
      </c>
      <c r="C2102">
        <v>0</v>
      </c>
      <c r="D2102">
        <v>34.93</v>
      </c>
      <c r="E2102">
        <v>3.5870000000000002</v>
      </c>
      <c r="F2102">
        <v>136.58838710000001</v>
      </c>
      <c r="G2102">
        <v>7.8659999999999997</v>
      </c>
      <c r="N2102" s="8"/>
    </row>
    <row r="2103" spans="1:14" x14ac:dyDescent="0.25">
      <c r="A2103" s="8">
        <v>40907</v>
      </c>
      <c r="B2103">
        <v>603460.79</v>
      </c>
      <c r="C2103">
        <v>1</v>
      </c>
      <c r="D2103">
        <v>31.44</v>
      </c>
      <c r="E2103">
        <v>3.5659999999999998</v>
      </c>
      <c r="F2103">
        <v>136.6432581</v>
      </c>
      <c r="G2103">
        <v>7.8659999999999997</v>
      </c>
      <c r="N2103" s="8"/>
    </row>
    <row r="2104" spans="1:14" x14ac:dyDescent="0.25">
      <c r="A2104" s="8">
        <v>40914</v>
      </c>
      <c r="B2104">
        <v>516087.65</v>
      </c>
      <c r="C2104">
        <v>0</v>
      </c>
      <c r="D2104">
        <v>30.24</v>
      </c>
      <c r="E2104">
        <v>3.585</v>
      </c>
      <c r="F2104">
        <v>136.69812899999999</v>
      </c>
      <c r="G2104">
        <v>7.9429999999999996</v>
      </c>
      <c r="N2104" s="8"/>
    </row>
    <row r="2105" spans="1:14" x14ac:dyDescent="0.25">
      <c r="A2105" s="8">
        <v>40921</v>
      </c>
      <c r="B2105">
        <v>454183.42</v>
      </c>
      <c r="C2105">
        <v>0</v>
      </c>
      <c r="D2105">
        <v>36.26</v>
      </c>
      <c r="E2105">
        <v>3.6659999999999999</v>
      </c>
      <c r="F2105">
        <v>136.75299999999999</v>
      </c>
      <c r="G2105">
        <v>7.9429999999999996</v>
      </c>
      <c r="N2105" s="8"/>
    </row>
    <row r="2106" spans="1:14" x14ac:dyDescent="0.25">
      <c r="A2106" s="8">
        <v>40928</v>
      </c>
      <c r="B2106">
        <v>492721.85</v>
      </c>
      <c r="C2106">
        <v>0</v>
      </c>
      <c r="D2106">
        <v>21.39</v>
      </c>
      <c r="E2106">
        <v>3.7050000000000001</v>
      </c>
      <c r="F2106">
        <v>136.85641939999999</v>
      </c>
      <c r="G2106">
        <v>7.9429999999999996</v>
      </c>
      <c r="N2106" s="8"/>
    </row>
    <row r="2107" spans="1:14" x14ac:dyDescent="0.25">
      <c r="A2107" s="8">
        <v>40935</v>
      </c>
      <c r="B2107">
        <v>466045.63</v>
      </c>
      <c r="C2107">
        <v>0</v>
      </c>
      <c r="D2107">
        <v>30.87</v>
      </c>
      <c r="E2107">
        <v>3.7370000000000001</v>
      </c>
      <c r="F2107">
        <v>136.95983870000001</v>
      </c>
      <c r="G2107">
        <v>7.9429999999999996</v>
      </c>
      <c r="N2107" s="8"/>
    </row>
    <row r="2108" spans="1:14" x14ac:dyDescent="0.25">
      <c r="A2108" s="8">
        <v>40942</v>
      </c>
      <c r="B2108">
        <v>523831.64</v>
      </c>
      <c r="C2108">
        <v>0</v>
      </c>
      <c r="D2108">
        <v>35.299999999999997</v>
      </c>
      <c r="E2108">
        <v>3.7959999999999998</v>
      </c>
      <c r="F2108">
        <v>137.06325810000001</v>
      </c>
      <c r="G2108">
        <v>7.9429999999999996</v>
      </c>
      <c r="N2108" s="8"/>
    </row>
    <row r="2109" spans="1:14" x14ac:dyDescent="0.25">
      <c r="A2109" s="8">
        <v>40949</v>
      </c>
      <c r="B2109">
        <v>628218.22</v>
      </c>
      <c r="C2109">
        <v>1</v>
      </c>
      <c r="D2109">
        <v>31.91</v>
      </c>
      <c r="E2109">
        <v>3.8260000000000001</v>
      </c>
      <c r="F2109">
        <v>137.1666774</v>
      </c>
      <c r="G2109">
        <v>7.9429999999999996</v>
      </c>
      <c r="N2109" s="8"/>
    </row>
    <row r="2110" spans="1:14" x14ac:dyDescent="0.25">
      <c r="A2110" s="8">
        <v>40956</v>
      </c>
      <c r="B2110">
        <v>598502.82999999996</v>
      </c>
      <c r="C2110">
        <v>0</v>
      </c>
      <c r="D2110">
        <v>30.26</v>
      </c>
      <c r="E2110">
        <v>3.8740000000000001</v>
      </c>
      <c r="F2110">
        <v>137.25831030000001</v>
      </c>
      <c r="G2110">
        <v>7.9429999999999996</v>
      </c>
      <c r="N2110" s="8"/>
    </row>
    <row r="2111" spans="1:14" x14ac:dyDescent="0.25">
      <c r="A2111" s="8">
        <v>40963</v>
      </c>
      <c r="B2111">
        <v>561137.06000000006</v>
      </c>
      <c r="C2111">
        <v>0</v>
      </c>
      <c r="D2111">
        <v>33.18</v>
      </c>
      <c r="E2111">
        <v>3.9169999999999998</v>
      </c>
      <c r="F2111">
        <v>137.34110340000001</v>
      </c>
      <c r="G2111">
        <v>7.9429999999999996</v>
      </c>
      <c r="N2111" s="8"/>
    </row>
    <row r="2112" spans="1:14" x14ac:dyDescent="0.25">
      <c r="A2112" s="8">
        <v>40970</v>
      </c>
      <c r="B2112">
        <v>541292.64</v>
      </c>
      <c r="C2112">
        <v>0</v>
      </c>
      <c r="D2112">
        <v>33.24</v>
      </c>
      <c r="E2112">
        <v>3.9830000000000001</v>
      </c>
      <c r="F2112">
        <v>137.42389660000001</v>
      </c>
      <c r="G2112">
        <v>7.9429999999999996</v>
      </c>
      <c r="N2112" s="8"/>
    </row>
    <row r="2113" spans="1:14" x14ac:dyDescent="0.25">
      <c r="A2113" s="8">
        <v>40977</v>
      </c>
      <c r="B2113">
        <v>545120.67000000004</v>
      </c>
      <c r="C2113">
        <v>0</v>
      </c>
      <c r="D2113">
        <v>36.97</v>
      </c>
      <c r="E2113">
        <v>4.0209999999999999</v>
      </c>
      <c r="F2113">
        <v>137.50668970000001</v>
      </c>
      <c r="G2113">
        <v>7.9429999999999996</v>
      </c>
      <c r="N2113" s="8"/>
    </row>
    <row r="2114" spans="1:14" x14ac:dyDescent="0.25">
      <c r="A2114" s="8">
        <v>40984</v>
      </c>
      <c r="B2114">
        <v>570611.23</v>
      </c>
      <c r="C2114">
        <v>0</v>
      </c>
      <c r="D2114">
        <v>47.42</v>
      </c>
      <c r="E2114">
        <v>4.0209999999999999</v>
      </c>
      <c r="F2114">
        <v>137.58438709999999</v>
      </c>
      <c r="G2114">
        <v>7.9429999999999996</v>
      </c>
      <c r="N2114" s="8"/>
    </row>
    <row r="2115" spans="1:14" x14ac:dyDescent="0.25">
      <c r="A2115" s="8">
        <v>40991</v>
      </c>
      <c r="B2115">
        <v>565481.88</v>
      </c>
      <c r="C2115">
        <v>0</v>
      </c>
      <c r="D2115">
        <v>58.92</v>
      </c>
      <c r="E2115">
        <v>4.0540000000000003</v>
      </c>
      <c r="F2115">
        <v>137.65529029999999</v>
      </c>
      <c r="G2115">
        <v>7.9429999999999996</v>
      </c>
      <c r="N2115" s="8"/>
    </row>
    <row r="2116" spans="1:14" x14ac:dyDescent="0.25">
      <c r="A2116" s="8">
        <v>40998</v>
      </c>
      <c r="B2116">
        <v>557547.25</v>
      </c>
      <c r="C2116">
        <v>0</v>
      </c>
      <c r="D2116">
        <v>42.65</v>
      </c>
      <c r="E2116">
        <v>4.0979999999999999</v>
      </c>
      <c r="F2116">
        <v>137.72619349999999</v>
      </c>
      <c r="G2116">
        <v>7.9429999999999996</v>
      </c>
      <c r="N2116" s="8"/>
    </row>
    <row r="2117" spans="1:14" x14ac:dyDescent="0.25">
      <c r="A2117" s="8">
        <v>41005</v>
      </c>
      <c r="B2117">
        <v>659950.36</v>
      </c>
      <c r="C2117">
        <v>0</v>
      </c>
      <c r="D2117">
        <v>40.01</v>
      </c>
      <c r="E2117">
        <v>4.1429999999999998</v>
      </c>
      <c r="F2117">
        <v>137.79709679999999</v>
      </c>
      <c r="G2117">
        <v>8.15</v>
      </c>
      <c r="N2117" s="8"/>
    </row>
    <row r="2118" spans="1:14" x14ac:dyDescent="0.25">
      <c r="A2118" s="8">
        <v>41012</v>
      </c>
      <c r="B2118">
        <v>558585.13</v>
      </c>
      <c r="C2118">
        <v>0</v>
      </c>
      <c r="D2118">
        <v>43.52</v>
      </c>
      <c r="E2118">
        <v>4.1870000000000003</v>
      </c>
      <c r="F2118">
        <v>137.86799999999999</v>
      </c>
      <c r="G2118">
        <v>8.15</v>
      </c>
      <c r="N2118" s="8"/>
    </row>
    <row r="2119" spans="1:14" x14ac:dyDescent="0.25">
      <c r="A2119" s="8">
        <v>41019</v>
      </c>
      <c r="B2119">
        <v>534780.56999999995</v>
      </c>
      <c r="C2119">
        <v>0</v>
      </c>
      <c r="D2119">
        <v>54.47</v>
      </c>
      <c r="E2119">
        <v>4.17</v>
      </c>
      <c r="F2119">
        <v>137.92306669999999</v>
      </c>
      <c r="G2119">
        <v>8.15</v>
      </c>
      <c r="N2119" s="8"/>
    </row>
    <row r="2120" spans="1:14" x14ac:dyDescent="0.25">
      <c r="A2120" s="8">
        <v>41026</v>
      </c>
      <c r="B2120">
        <v>527402.62</v>
      </c>
      <c r="C2120">
        <v>0</v>
      </c>
      <c r="D2120">
        <v>41.57</v>
      </c>
      <c r="E2120">
        <v>4.1630000000000003</v>
      </c>
      <c r="F2120">
        <v>137.9781333</v>
      </c>
      <c r="G2120">
        <v>8.15</v>
      </c>
      <c r="N2120" s="8"/>
    </row>
    <row r="2121" spans="1:14" x14ac:dyDescent="0.25">
      <c r="A2121" s="8">
        <v>41033</v>
      </c>
      <c r="B2121">
        <v>577868.38</v>
      </c>
      <c r="C2121">
        <v>0</v>
      </c>
      <c r="D2121">
        <v>51.04</v>
      </c>
      <c r="E2121">
        <v>4.1239999999999997</v>
      </c>
      <c r="F2121">
        <v>138.03319999999999</v>
      </c>
      <c r="G2121">
        <v>8.15</v>
      </c>
      <c r="N2121" s="8"/>
    </row>
    <row r="2122" spans="1:14" x14ac:dyDescent="0.25">
      <c r="A2122" s="8">
        <v>41040</v>
      </c>
      <c r="B2122">
        <v>579539.94999999995</v>
      </c>
      <c r="C2122">
        <v>0</v>
      </c>
      <c r="D2122">
        <v>54.23</v>
      </c>
      <c r="E2122">
        <v>4.0549999999999997</v>
      </c>
      <c r="F2122">
        <v>138.08826669999999</v>
      </c>
      <c r="G2122">
        <v>8.15</v>
      </c>
      <c r="N2122" s="8"/>
    </row>
    <row r="2123" spans="1:14" x14ac:dyDescent="0.25">
      <c r="A2123" s="8">
        <v>41047</v>
      </c>
      <c r="B2123">
        <v>600050.98</v>
      </c>
      <c r="C2123">
        <v>0</v>
      </c>
      <c r="D2123">
        <v>58.84</v>
      </c>
      <c r="E2123">
        <v>4.0289999999999999</v>
      </c>
      <c r="F2123">
        <v>138.1065806</v>
      </c>
      <c r="G2123">
        <v>8.15</v>
      </c>
      <c r="N2123" s="8"/>
    </row>
    <row r="2124" spans="1:14" x14ac:dyDescent="0.25">
      <c r="A2124" s="8">
        <v>41054</v>
      </c>
      <c r="B2124">
        <v>693780.42</v>
      </c>
      <c r="C2124">
        <v>0</v>
      </c>
      <c r="D2124">
        <v>67.97</v>
      </c>
      <c r="E2124">
        <v>3.9790000000000001</v>
      </c>
      <c r="F2124">
        <v>138.11019350000001</v>
      </c>
      <c r="G2124">
        <v>8.15</v>
      </c>
      <c r="N2124" s="8"/>
    </row>
    <row r="2125" spans="1:14" x14ac:dyDescent="0.25">
      <c r="A2125" s="8">
        <v>41061</v>
      </c>
      <c r="B2125">
        <v>663971.26</v>
      </c>
      <c r="C2125">
        <v>0</v>
      </c>
      <c r="D2125">
        <v>67.61</v>
      </c>
      <c r="E2125">
        <v>3.915</v>
      </c>
      <c r="F2125">
        <v>138.11380650000001</v>
      </c>
      <c r="G2125">
        <v>8.15</v>
      </c>
      <c r="N2125" s="8"/>
    </row>
    <row r="2126" spans="1:14" x14ac:dyDescent="0.25">
      <c r="A2126" s="8">
        <v>41068</v>
      </c>
      <c r="B2126">
        <v>611390.67000000004</v>
      </c>
      <c r="C2126">
        <v>0</v>
      </c>
      <c r="D2126">
        <v>59.35</v>
      </c>
      <c r="E2126">
        <v>3.871</v>
      </c>
      <c r="F2126">
        <v>138.11741939999999</v>
      </c>
      <c r="G2126">
        <v>8.15</v>
      </c>
      <c r="N2126" s="8"/>
    </row>
    <row r="2127" spans="1:14" x14ac:dyDescent="0.25">
      <c r="A2127" s="8">
        <v>41075</v>
      </c>
      <c r="B2127">
        <v>636737.65</v>
      </c>
      <c r="C2127">
        <v>0</v>
      </c>
      <c r="D2127">
        <v>67.7</v>
      </c>
      <c r="E2127">
        <v>3.786</v>
      </c>
      <c r="F2127">
        <v>138.12953329999999</v>
      </c>
      <c r="G2127">
        <v>8.15</v>
      </c>
      <c r="N2127" s="8"/>
    </row>
    <row r="2128" spans="1:14" x14ac:dyDescent="0.25">
      <c r="A2128" s="8">
        <v>41082</v>
      </c>
      <c r="B2128">
        <v>687085.6</v>
      </c>
      <c r="C2128">
        <v>0</v>
      </c>
      <c r="D2128">
        <v>74.28</v>
      </c>
      <c r="E2128">
        <v>3.722</v>
      </c>
      <c r="F2128">
        <v>138.16290000000001</v>
      </c>
      <c r="G2128">
        <v>8.15</v>
      </c>
      <c r="N2128" s="8"/>
    </row>
    <row r="2129" spans="1:14" x14ac:dyDescent="0.25">
      <c r="A2129" s="8">
        <v>41089</v>
      </c>
      <c r="B2129">
        <v>624099.48</v>
      </c>
      <c r="C2129">
        <v>0</v>
      </c>
      <c r="D2129">
        <v>68.91</v>
      </c>
      <c r="E2129">
        <v>3.6669999999999998</v>
      </c>
      <c r="F2129">
        <v>138.1962667</v>
      </c>
      <c r="G2129">
        <v>8.15</v>
      </c>
      <c r="N2129" s="8"/>
    </row>
    <row r="2130" spans="1:14" x14ac:dyDescent="0.25">
      <c r="A2130" s="8">
        <v>41096</v>
      </c>
      <c r="B2130">
        <v>678024.75</v>
      </c>
      <c r="C2130">
        <v>0</v>
      </c>
      <c r="D2130">
        <v>74.64</v>
      </c>
      <c r="E2130">
        <v>3.6459999999999999</v>
      </c>
      <c r="F2130">
        <v>138.22963329999999</v>
      </c>
      <c r="G2130">
        <v>8.1929999999999996</v>
      </c>
      <c r="N2130" s="8"/>
    </row>
    <row r="2131" spans="1:14" x14ac:dyDescent="0.25">
      <c r="A2131" s="8">
        <v>41103</v>
      </c>
      <c r="B2131">
        <v>591335.5</v>
      </c>
      <c r="C2131">
        <v>0</v>
      </c>
      <c r="D2131">
        <v>72.62</v>
      </c>
      <c r="E2131">
        <v>3.6890000000000001</v>
      </c>
      <c r="F2131">
        <v>138.26300000000001</v>
      </c>
      <c r="G2131">
        <v>8.1929999999999996</v>
      </c>
      <c r="N2131" s="8"/>
    </row>
    <row r="2132" spans="1:14" x14ac:dyDescent="0.25">
      <c r="A2132" s="8">
        <v>41110</v>
      </c>
      <c r="B2132">
        <v>592369.22</v>
      </c>
      <c r="C2132">
        <v>0</v>
      </c>
      <c r="D2132">
        <v>75.31</v>
      </c>
      <c r="E2132">
        <v>3.7320000000000002</v>
      </c>
      <c r="F2132">
        <v>138.2331935</v>
      </c>
      <c r="G2132">
        <v>8.1929999999999996</v>
      </c>
      <c r="N2132" s="8"/>
    </row>
    <row r="2133" spans="1:14" x14ac:dyDescent="0.25">
      <c r="A2133" s="8">
        <v>41117</v>
      </c>
      <c r="B2133">
        <v>571190.82999999996</v>
      </c>
      <c r="C2133">
        <v>0</v>
      </c>
      <c r="D2133">
        <v>73.900000000000006</v>
      </c>
      <c r="E2133">
        <v>3.82</v>
      </c>
      <c r="F2133">
        <v>138.20338709999999</v>
      </c>
      <c r="G2133">
        <v>8.1929999999999996</v>
      </c>
      <c r="N2133" s="8"/>
    </row>
    <row r="2134" spans="1:14" x14ac:dyDescent="0.25">
      <c r="A2134" s="8">
        <v>41124</v>
      </c>
      <c r="B2134">
        <v>590739.62</v>
      </c>
      <c r="C2134">
        <v>0</v>
      </c>
      <c r="D2134">
        <v>73.13</v>
      </c>
      <c r="E2134">
        <v>3.819</v>
      </c>
      <c r="F2134">
        <v>138.17358060000001</v>
      </c>
      <c r="G2134">
        <v>8.1929999999999996</v>
      </c>
      <c r="N2134" s="8"/>
    </row>
    <row r="2135" spans="1:14" x14ac:dyDescent="0.25">
      <c r="A2135" s="8">
        <v>41131</v>
      </c>
      <c r="B2135">
        <v>590453.63</v>
      </c>
      <c r="C2135">
        <v>0</v>
      </c>
      <c r="D2135">
        <v>73.989999999999995</v>
      </c>
      <c r="E2135">
        <v>3.863</v>
      </c>
      <c r="F2135">
        <v>138.1437742</v>
      </c>
      <c r="G2135">
        <v>8.1929999999999996</v>
      </c>
      <c r="N2135" s="8"/>
    </row>
    <row r="2136" spans="1:14" x14ac:dyDescent="0.25">
      <c r="A2136" s="8">
        <v>41138</v>
      </c>
      <c r="B2136">
        <v>579738.19999999995</v>
      </c>
      <c r="C2136">
        <v>0</v>
      </c>
      <c r="D2136">
        <v>70.290000000000006</v>
      </c>
      <c r="E2136">
        <v>3.9630000000000001</v>
      </c>
      <c r="F2136">
        <v>138.18570969999999</v>
      </c>
      <c r="G2136">
        <v>8.1929999999999996</v>
      </c>
      <c r="N2136" s="8"/>
    </row>
    <row r="2137" spans="1:14" x14ac:dyDescent="0.25">
      <c r="A2137" s="8">
        <v>41145</v>
      </c>
      <c r="B2137">
        <v>606210.77</v>
      </c>
      <c r="C2137">
        <v>0</v>
      </c>
      <c r="D2137">
        <v>66.98</v>
      </c>
      <c r="E2137">
        <v>3.9969999999999999</v>
      </c>
      <c r="F2137">
        <v>138.2814516</v>
      </c>
      <c r="G2137">
        <v>8.1929999999999996</v>
      </c>
      <c r="N2137" s="8"/>
    </row>
    <row r="2138" spans="1:14" x14ac:dyDescent="0.25">
      <c r="A2138" s="8">
        <v>41152</v>
      </c>
      <c r="B2138">
        <v>610185.31999999995</v>
      </c>
      <c r="C2138">
        <v>0</v>
      </c>
      <c r="D2138">
        <v>71.42</v>
      </c>
      <c r="E2138">
        <v>4.0259999999999998</v>
      </c>
      <c r="F2138">
        <v>138.3771935</v>
      </c>
      <c r="G2138">
        <v>8.1929999999999996</v>
      </c>
      <c r="N2138" s="8"/>
    </row>
    <row r="2139" spans="1:14" x14ac:dyDescent="0.25">
      <c r="A2139" s="8">
        <v>41159</v>
      </c>
      <c r="B2139">
        <v>587259.81999999995</v>
      </c>
      <c r="C2139">
        <v>1</v>
      </c>
      <c r="D2139">
        <v>71.61</v>
      </c>
      <c r="E2139">
        <v>4.0759999999999996</v>
      </c>
      <c r="F2139">
        <v>138.47293550000001</v>
      </c>
      <c r="G2139">
        <v>8.1929999999999996</v>
      </c>
      <c r="N2139" s="8"/>
    </row>
    <row r="2140" spans="1:14" x14ac:dyDescent="0.25">
      <c r="A2140" s="8">
        <v>41166</v>
      </c>
      <c r="B2140">
        <v>527509.76000000001</v>
      </c>
      <c r="C2140">
        <v>0</v>
      </c>
      <c r="D2140">
        <v>65.44</v>
      </c>
      <c r="E2140">
        <v>4.0880000000000001</v>
      </c>
      <c r="F2140">
        <v>138.56729999999999</v>
      </c>
      <c r="G2140">
        <v>8.1929999999999996</v>
      </c>
      <c r="N2140" s="8"/>
    </row>
    <row r="2141" spans="1:14" x14ac:dyDescent="0.25">
      <c r="A2141" s="8">
        <v>41173</v>
      </c>
      <c r="B2141">
        <v>533161.64</v>
      </c>
      <c r="C2141">
        <v>0</v>
      </c>
      <c r="D2141">
        <v>60.34</v>
      </c>
      <c r="E2141">
        <v>4.2030000000000003</v>
      </c>
      <c r="F2141">
        <v>138.6534</v>
      </c>
      <c r="G2141">
        <v>8.1929999999999996</v>
      </c>
      <c r="N2141" s="8"/>
    </row>
    <row r="2142" spans="1:14" x14ac:dyDescent="0.25">
      <c r="A2142" s="8">
        <v>41180</v>
      </c>
      <c r="B2142">
        <v>553901.97</v>
      </c>
      <c r="C2142">
        <v>0</v>
      </c>
      <c r="D2142">
        <v>57.13</v>
      </c>
      <c r="E2142">
        <v>4.1580000000000004</v>
      </c>
      <c r="F2142">
        <v>138.73949999999999</v>
      </c>
      <c r="G2142">
        <v>8.1929999999999996</v>
      </c>
      <c r="N2142" s="8"/>
    </row>
    <row r="2143" spans="1:14" x14ac:dyDescent="0.25">
      <c r="A2143" s="8">
        <v>41187</v>
      </c>
      <c r="B2143">
        <v>573498.64</v>
      </c>
      <c r="C2143">
        <v>0</v>
      </c>
      <c r="D2143">
        <v>59.57</v>
      </c>
      <c r="E2143">
        <v>4.1509999999999998</v>
      </c>
      <c r="F2143">
        <v>138.82560000000001</v>
      </c>
      <c r="G2143">
        <v>7.992</v>
      </c>
      <c r="N2143" s="8"/>
    </row>
    <row r="2144" spans="1:14" x14ac:dyDescent="0.25">
      <c r="A2144" s="8">
        <v>41194</v>
      </c>
      <c r="B2144">
        <v>551799.63</v>
      </c>
      <c r="C2144">
        <v>0</v>
      </c>
      <c r="D2144">
        <v>49.12</v>
      </c>
      <c r="E2144">
        <v>4.1859999999999999</v>
      </c>
      <c r="F2144">
        <v>138.9117</v>
      </c>
      <c r="G2144">
        <v>7.992</v>
      </c>
      <c r="N2144" s="8"/>
    </row>
    <row r="2145" spans="1:14" x14ac:dyDescent="0.25">
      <c r="A2145" s="8">
        <v>41201</v>
      </c>
      <c r="B2145">
        <v>555652.77</v>
      </c>
      <c r="C2145">
        <v>0</v>
      </c>
      <c r="D2145">
        <v>52.89</v>
      </c>
      <c r="E2145">
        <v>4.1529999999999996</v>
      </c>
      <c r="F2145">
        <v>138.83361289999999</v>
      </c>
      <c r="G2145">
        <v>7.992</v>
      </c>
      <c r="N2145" s="8"/>
    </row>
    <row r="2146" spans="1:14" x14ac:dyDescent="0.25">
      <c r="A2146" s="8">
        <v>41208</v>
      </c>
      <c r="B2146">
        <v>558473.6</v>
      </c>
      <c r="C2146">
        <v>0</v>
      </c>
      <c r="D2146">
        <v>55.75</v>
      </c>
      <c r="E2146">
        <v>4.0709999999999997</v>
      </c>
      <c r="F2146">
        <v>138.72816130000001</v>
      </c>
      <c r="G2146">
        <v>7.992</v>
      </c>
      <c r="N2146" s="8"/>
    </row>
    <row r="2147" spans="1:14" x14ac:dyDescent="0.25">
      <c r="A2147" s="8">
        <v>40214</v>
      </c>
      <c r="B2147">
        <v>477409.3</v>
      </c>
      <c r="C2147">
        <v>0</v>
      </c>
      <c r="D2147">
        <v>19.79</v>
      </c>
      <c r="E2147">
        <v>2.58</v>
      </c>
      <c r="F2147">
        <v>189.38169740000001</v>
      </c>
      <c r="G2147">
        <v>7.0389999999999997</v>
      </c>
      <c r="N2147" s="8"/>
    </row>
    <row r="2148" spans="1:14" x14ac:dyDescent="0.25">
      <c r="A2148" s="8">
        <v>40221</v>
      </c>
      <c r="B2148">
        <v>472044.28</v>
      </c>
      <c r="C2148">
        <v>1</v>
      </c>
      <c r="D2148">
        <v>20.87</v>
      </c>
      <c r="E2148">
        <v>2.5720000000000001</v>
      </c>
      <c r="F2148">
        <v>189.46427249999999</v>
      </c>
      <c r="G2148">
        <v>7.0389999999999997</v>
      </c>
      <c r="N2148" s="8"/>
    </row>
    <row r="2149" spans="1:14" x14ac:dyDescent="0.25">
      <c r="A2149" s="8">
        <v>40228</v>
      </c>
      <c r="B2149">
        <v>469868.7</v>
      </c>
      <c r="C2149">
        <v>0</v>
      </c>
      <c r="D2149">
        <v>21.13</v>
      </c>
      <c r="E2149">
        <v>2.5499999999999998</v>
      </c>
      <c r="F2149">
        <v>189.53409980000001</v>
      </c>
      <c r="G2149">
        <v>7.0389999999999997</v>
      </c>
      <c r="N2149" s="8"/>
    </row>
    <row r="2150" spans="1:14" x14ac:dyDescent="0.25">
      <c r="A2150" s="8">
        <v>40235</v>
      </c>
      <c r="B2150">
        <v>443242.17</v>
      </c>
      <c r="C2150">
        <v>0</v>
      </c>
      <c r="D2150">
        <v>18.12</v>
      </c>
      <c r="E2150">
        <v>2.5859999999999999</v>
      </c>
      <c r="F2150">
        <v>189.6018023</v>
      </c>
      <c r="G2150">
        <v>7.0389999999999997</v>
      </c>
      <c r="N2150" s="8"/>
    </row>
    <row r="2151" spans="1:14" x14ac:dyDescent="0.25">
      <c r="A2151" s="8">
        <v>40242</v>
      </c>
      <c r="B2151">
        <v>444181.85</v>
      </c>
      <c r="C2151">
        <v>0</v>
      </c>
      <c r="D2151">
        <v>27.92</v>
      </c>
      <c r="E2151">
        <v>2.62</v>
      </c>
      <c r="F2151">
        <v>189.66950489999999</v>
      </c>
      <c r="G2151">
        <v>7.0389999999999997</v>
      </c>
      <c r="N2151" s="8"/>
    </row>
    <row r="2152" spans="1:14" x14ac:dyDescent="0.25">
      <c r="A2152" s="8">
        <v>40249</v>
      </c>
      <c r="B2152">
        <v>445393.74</v>
      </c>
      <c r="C2152">
        <v>0</v>
      </c>
      <c r="D2152">
        <v>28.64</v>
      </c>
      <c r="E2152">
        <v>2.6840000000000002</v>
      </c>
      <c r="F2152">
        <v>189.73720750000001</v>
      </c>
      <c r="G2152">
        <v>7.0389999999999997</v>
      </c>
      <c r="N2152" s="8"/>
    </row>
    <row r="2153" spans="1:14" x14ac:dyDescent="0.25">
      <c r="A2153" s="8">
        <v>40256</v>
      </c>
      <c r="B2153">
        <v>504307.35</v>
      </c>
      <c r="C2153">
        <v>0</v>
      </c>
      <c r="D2153">
        <v>33.450000000000003</v>
      </c>
      <c r="E2153">
        <v>2.6920000000000002</v>
      </c>
      <c r="F2153">
        <v>189.734262</v>
      </c>
      <c r="G2153">
        <v>7.0389999999999997</v>
      </c>
      <c r="N2153" s="8"/>
    </row>
    <row r="2154" spans="1:14" x14ac:dyDescent="0.25">
      <c r="A2154" s="8">
        <v>40263</v>
      </c>
      <c r="B2154">
        <v>483177.2</v>
      </c>
      <c r="C2154">
        <v>0</v>
      </c>
      <c r="D2154">
        <v>29.88</v>
      </c>
      <c r="E2154">
        <v>2.7170000000000001</v>
      </c>
      <c r="F2154">
        <v>189.71954170000001</v>
      </c>
      <c r="G2154">
        <v>7.0389999999999997</v>
      </c>
      <c r="N2154" s="8"/>
    </row>
    <row r="2155" spans="1:14" x14ac:dyDescent="0.25">
      <c r="A2155" s="8">
        <v>40270</v>
      </c>
      <c r="B2155">
        <v>490503.69</v>
      </c>
      <c r="C2155">
        <v>0</v>
      </c>
      <c r="D2155">
        <v>36.19</v>
      </c>
      <c r="E2155">
        <v>2.7250000000000001</v>
      </c>
      <c r="F2155">
        <v>189.70482150000001</v>
      </c>
      <c r="G2155">
        <v>6.8419999999999996</v>
      </c>
      <c r="N2155" s="8"/>
    </row>
    <row r="2156" spans="1:14" x14ac:dyDescent="0.25">
      <c r="A2156" s="8">
        <v>40277</v>
      </c>
      <c r="B2156">
        <v>424083.99</v>
      </c>
      <c r="C2156">
        <v>0</v>
      </c>
      <c r="D2156">
        <v>34.21</v>
      </c>
      <c r="E2156">
        <v>2.75</v>
      </c>
      <c r="F2156">
        <v>189.69010119999999</v>
      </c>
      <c r="G2156">
        <v>6.8419999999999996</v>
      </c>
      <c r="N2156" s="8"/>
    </row>
    <row r="2157" spans="1:14" x14ac:dyDescent="0.25">
      <c r="A2157" s="8">
        <v>40284</v>
      </c>
      <c r="B2157">
        <v>436312.41</v>
      </c>
      <c r="C2157">
        <v>0</v>
      </c>
      <c r="D2157">
        <v>45.69</v>
      </c>
      <c r="E2157">
        <v>2.7650000000000001</v>
      </c>
      <c r="F2157">
        <v>189.66288449999999</v>
      </c>
      <c r="G2157">
        <v>6.8419999999999996</v>
      </c>
      <c r="N2157" s="8"/>
    </row>
    <row r="2158" spans="1:14" x14ac:dyDescent="0.25">
      <c r="A2158" s="8">
        <v>40291</v>
      </c>
      <c r="B2158">
        <v>370230.94</v>
      </c>
      <c r="C2158">
        <v>0</v>
      </c>
      <c r="D2158">
        <v>44.9</v>
      </c>
      <c r="E2158">
        <v>2.7759999999999998</v>
      </c>
      <c r="F2158">
        <v>189.6190057</v>
      </c>
      <c r="G2158">
        <v>6.8419999999999996</v>
      </c>
      <c r="N2158" s="8"/>
    </row>
    <row r="2159" spans="1:14" x14ac:dyDescent="0.25">
      <c r="A2159" s="8">
        <v>40298</v>
      </c>
      <c r="B2159">
        <v>383550.93</v>
      </c>
      <c r="C2159">
        <v>0</v>
      </c>
      <c r="D2159">
        <v>37.75</v>
      </c>
      <c r="E2159">
        <v>2.766</v>
      </c>
      <c r="F2159">
        <v>189.57512700000001</v>
      </c>
      <c r="G2159">
        <v>6.8419999999999996</v>
      </c>
      <c r="N2159" s="8"/>
    </row>
    <row r="2160" spans="1:14" x14ac:dyDescent="0.25">
      <c r="A2160" s="8">
        <v>40305</v>
      </c>
      <c r="B2160">
        <v>403217.22</v>
      </c>
      <c r="C2160">
        <v>0</v>
      </c>
      <c r="D2160">
        <v>37.43</v>
      </c>
      <c r="E2160">
        <v>2.7709999999999999</v>
      </c>
      <c r="F2160">
        <v>189.53124829999999</v>
      </c>
      <c r="G2160">
        <v>6.8419999999999996</v>
      </c>
      <c r="N2160" s="8"/>
    </row>
    <row r="2161" spans="1:14" x14ac:dyDescent="0.25">
      <c r="A2161" s="8">
        <v>40312</v>
      </c>
      <c r="B2161">
        <v>401770.9</v>
      </c>
      <c r="C2161">
        <v>0</v>
      </c>
      <c r="D2161">
        <v>41.26</v>
      </c>
      <c r="E2161">
        <v>2.7879999999999998</v>
      </c>
      <c r="F2161">
        <v>189.49041159999999</v>
      </c>
      <c r="G2161">
        <v>6.8419999999999996</v>
      </c>
      <c r="N2161" s="8"/>
    </row>
    <row r="2162" spans="1:14" x14ac:dyDescent="0.25">
      <c r="A2162" s="8">
        <v>40319</v>
      </c>
      <c r="B2162">
        <v>435300.51</v>
      </c>
      <c r="C2162">
        <v>0</v>
      </c>
      <c r="D2162">
        <v>47.34</v>
      </c>
      <c r="E2162">
        <v>2.7759999999999998</v>
      </c>
      <c r="F2162">
        <v>189.467827</v>
      </c>
      <c r="G2162">
        <v>6.8419999999999996</v>
      </c>
      <c r="N2162" s="8"/>
    </row>
    <row r="2163" spans="1:14" x14ac:dyDescent="0.25">
      <c r="A2163" s="8">
        <v>40326</v>
      </c>
      <c r="B2163">
        <v>479430</v>
      </c>
      <c r="C2163">
        <v>0</v>
      </c>
      <c r="D2163">
        <v>52.08</v>
      </c>
      <c r="E2163">
        <v>2.7370000000000001</v>
      </c>
      <c r="F2163">
        <v>189.44524250000001</v>
      </c>
      <c r="G2163">
        <v>6.8419999999999996</v>
      </c>
      <c r="N2163" s="8"/>
    </row>
    <row r="2164" spans="1:14" x14ac:dyDescent="0.25">
      <c r="A2164" s="8">
        <v>40333</v>
      </c>
      <c r="B2164">
        <v>516295.81</v>
      </c>
      <c r="C2164">
        <v>0</v>
      </c>
      <c r="D2164">
        <v>53.76</v>
      </c>
      <c r="E2164">
        <v>2.7</v>
      </c>
      <c r="F2164">
        <v>189.42265800000001</v>
      </c>
      <c r="G2164">
        <v>6.8419999999999996</v>
      </c>
      <c r="N2164" s="8"/>
    </row>
    <row r="2165" spans="1:14" x14ac:dyDescent="0.25">
      <c r="A2165" s="8">
        <v>40340</v>
      </c>
      <c r="B2165">
        <v>535587.31000000006</v>
      </c>
      <c r="C2165">
        <v>0</v>
      </c>
      <c r="D2165">
        <v>62.63</v>
      </c>
      <c r="E2165">
        <v>2.6840000000000002</v>
      </c>
      <c r="F2165">
        <v>189.4000734</v>
      </c>
      <c r="G2165">
        <v>6.8419999999999996</v>
      </c>
      <c r="N2165" s="8"/>
    </row>
    <row r="2166" spans="1:14" x14ac:dyDescent="0.25">
      <c r="A2166" s="8">
        <v>40347</v>
      </c>
      <c r="B2166">
        <v>540149.85</v>
      </c>
      <c r="C2166">
        <v>0</v>
      </c>
      <c r="D2166">
        <v>52.4</v>
      </c>
      <c r="E2166">
        <v>2.6739999999999999</v>
      </c>
      <c r="F2166">
        <v>189.41852589999999</v>
      </c>
      <c r="G2166">
        <v>6.8419999999999996</v>
      </c>
      <c r="N2166" s="8"/>
    </row>
    <row r="2167" spans="1:14" x14ac:dyDescent="0.25">
      <c r="A2167" s="8">
        <v>40354</v>
      </c>
      <c r="B2167">
        <v>546554.96</v>
      </c>
      <c r="C2167">
        <v>0</v>
      </c>
      <c r="D2167">
        <v>62.37</v>
      </c>
      <c r="E2167">
        <v>2.7149999999999999</v>
      </c>
      <c r="F2167">
        <v>189.4533931</v>
      </c>
      <c r="G2167">
        <v>6.8419999999999996</v>
      </c>
      <c r="N2167" s="8"/>
    </row>
    <row r="2168" spans="1:14" x14ac:dyDescent="0.25">
      <c r="A2168" s="8">
        <v>40361</v>
      </c>
      <c r="B2168">
        <v>610641.42000000004</v>
      </c>
      <c r="C2168">
        <v>0</v>
      </c>
      <c r="D2168">
        <v>64.44</v>
      </c>
      <c r="E2168">
        <v>2.7280000000000002</v>
      </c>
      <c r="F2168">
        <v>189.48826030000001</v>
      </c>
      <c r="G2168">
        <v>6.8680000000000003</v>
      </c>
      <c r="N2168" s="8"/>
    </row>
    <row r="2169" spans="1:14" x14ac:dyDescent="0.25">
      <c r="A2169" s="8">
        <v>40368</v>
      </c>
      <c r="B2169">
        <v>614253.32999999996</v>
      </c>
      <c r="C2169">
        <v>0</v>
      </c>
      <c r="D2169">
        <v>61.79</v>
      </c>
      <c r="E2169">
        <v>2.7109999999999999</v>
      </c>
      <c r="F2169">
        <v>189.52312760000001</v>
      </c>
      <c r="G2169">
        <v>6.8680000000000003</v>
      </c>
      <c r="N2169" s="8"/>
    </row>
    <row r="2170" spans="1:14" x14ac:dyDescent="0.25">
      <c r="A2170" s="8">
        <v>40375</v>
      </c>
      <c r="B2170">
        <v>586583.68999999994</v>
      </c>
      <c r="C2170">
        <v>0</v>
      </c>
      <c r="D2170">
        <v>67.680000000000007</v>
      </c>
      <c r="E2170">
        <v>2.6989999999999998</v>
      </c>
      <c r="F2170">
        <v>189.6125456</v>
      </c>
      <c r="G2170">
        <v>6.8680000000000003</v>
      </c>
      <c r="N2170" s="8"/>
    </row>
    <row r="2171" spans="1:14" x14ac:dyDescent="0.25">
      <c r="A2171" s="8">
        <v>40382</v>
      </c>
      <c r="B2171">
        <v>588344.18000000005</v>
      </c>
      <c r="C2171">
        <v>0</v>
      </c>
      <c r="D2171">
        <v>70.67</v>
      </c>
      <c r="E2171">
        <v>2.6909999999999998</v>
      </c>
      <c r="F2171">
        <v>189.774698</v>
      </c>
      <c r="G2171">
        <v>6.8680000000000003</v>
      </c>
      <c r="N2171" s="8"/>
    </row>
    <row r="2172" spans="1:14" x14ac:dyDescent="0.25">
      <c r="A2172" s="8">
        <v>40389</v>
      </c>
      <c r="B2172">
        <v>562633.67000000004</v>
      </c>
      <c r="C2172">
        <v>0</v>
      </c>
      <c r="D2172">
        <v>70.709999999999994</v>
      </c>
      <c r="E2172">
        <v>2.69</v>
      </c>
      <c r="F2172">
        <v>189.9368504</v>
      </c>
      <c r="G2172">
        <v>6.8680000000000003</v>
      </c>
      <c r="N2172" s="8"/>
    </row>
    <row r="2173" spans="1:14" x14ac:dyDescent="0.25">
      <c r="A2173" s="8">
        <v>40396</v>
      </c>
      <c r="B2173">
        <v>586936.44999999995</v>
      </c>
      <c r="C2173">
        <v>0</v>
      </c>
      <c r="D2173">
        <v>67.42</v>
      </c>
      <c r="E2173">
        <v>2.69</v>
      </c>
      <c r="F2173">
        <v>190.09900279999999</v>
      </c>
      <c r="G2173">
        <v>6.8680000000000003</v>
      </c>
      <c r="N2173" s="8"/>
    </row>
    <row r="2174" spans="1:14" x14ac:dyDescent="0.25">
      <c r="A2174" s="8">
        <v>40403</v>
      </c>
      <c r="B2174">
        <v>543757.97</v>
      </c>
      <c r="C2174">
        <v>0</v>
      </c>
      <c r="D2174">
        <v>63.91</v>
      </c>
      <c r="E2174">
        <v>2.7229999999999999</v>
      </c>
      <c r="F2174">
        <v>190.26115519999999</v>
      </c>
      <c r="G2174">
        <v>6.8680000000000003</v>
      </c>
      <c r="N2174" s="8"/>
    </row>
    <row r="2175" spans="1:14" x14ac:dyDescent="0.25">
      <c r="A2175" s="8">
        <v>40410</v>
      </c>
      <c r="B2175">
        <v>521516.96</v>
      </c>
      <c r="C2175">
        <v>0</v>
      </c>
      <c r="D2175">
        <v>63.59</v>
      </c>
      <c r="E2175">
        <v>2.7320000000000002</v>
      </c>
      <c r="F2175">
        <v>190.29482369999999</v>
      </c>
      <c r="G2175">
        <v>6.8680000000000003</v>
      </c>
      <c r="N2175" s="8"/>
    </row>
    <row r="2176" spans="1:14" x14ac:dyDescent="0.25">
      <c r="A2176" s="8">
        <v>40417</v>
      </c>
      <c r="B2176">
        <v>581010.52</v>
      </c>
      <c r="C2176">
        <v>0</v>
      </c>
      <c r="D2176">
        <v>65.66</v>
      </c>
      <c r="E2176">
        <v>2.7309999999999999</v>
      </c>
      <c r="F2176">
        <v>190.3284922</v>
      </c>
      <c r="G2176">
        <v>6.8680000000000003</v>
      </c>
      <c r="N2176" s="8"/>
    </row>
    <row r="2177" spans="1:14" x14ac:dyDescent="0.25">
      <c r="A2177" s="8">
        <v>40424</v>
      </c>
      <c r="B2177">
        <v>542087.89</v>
      </c>
      <c r="C2177">
        <v>0</v>
      </c>
      <c r="D2177">
        <v>58.02</v>
      </c>
      <c r="E2177">
        <v>2.7730000000000001</v>
      </c>
      <c r="F2177">
        <v>190.3621607</v>
      </c>
      <c r="G2177">
        <v>6.8680000000000003</v>
      </c>
      <c r="N2177" s="8"/>
    </row>
    <row r="2178" spans="1:14" x14ac:dyDescent="0.25">
      <c r="A2178" s="8">
        <v>40431</v>
      </c>
      <c r="B2178">
        <v>537518.56999999995</v>
      </c>
      <c r="C2178">
        <v>1</v>
      </c>
      <c r="D2178">
        <v>57.24</v>
      </c>
      <c r="E2178">
        <v>2.78</v>
      </c>
      <c r="F2178">
        <v>190.3958293</v>
      </c>
      <c r="G2178">
        <v>6.8680000000000003</v>
      </c>
      <c r="N2178" s="8"/>
    </row>
    <row r="2179" spans="1:14" x14ac:dyDescent="0.25">
      <c r="A2179" s="8">
        <v>40438</v>
      </c>
      <c r="B2179">
        <v>522049.52</v>
      </c>
      <c r="C2179">
        <v>0</v>
      </c>
      <c r="D2179">
        <v>56.55</v>
      </c>
      <c r="E2179">
        <v>2.8</v>
      </c>
      <c r="F2179">
        <v>190.46882869999999</v>
      </c>
      <c r="G2179">
        <v>6.8680000000000003</v>
      </c>
      <c r="N2179" s="8"/>
    </row>
    <row r="2180" spans="1:14" x14ac:dyDescent="0.25">
      <c r="A2180" s="8">
        <v>40445</v>
      </c>
      <c r="B2180">
        <v>511330.32</v>
      </c>
      <c r="C2180">
        <v>0</v>
      </c>
      <c r="D2180">
        <v>58.19</v>
      </c>
      <c r="E2180">
        <v>2.7930000000000001</v>
      </c>
      <c r="F2180">
        <v>190.5713264</v>
      </c>
      <c r="G2180">
        <v>6.8680000000000003</v>
      </c>
      <c r="N2180" s="8"/>
    </row>
    <row r="2181" spans="1:14" x14ac:dyDescent="0.25">
      <c r="A2181" s="8">
        <v>40452</v>
      </c>
      <c r="B2181">
        <v>463977.54</v>
      </c>
      <c r="C2181">
        <v>0</v>
      </c>
      <c r="D2181">
        <v>59.39</v>
      </c>
      <c r="E2181">
        <v>2.7589999999999999</v>
      </c>
      <c r="F2181">
        <v>190.67382409999999</v>
      </c>
      <c r="G2181">
        <v>6.9859999999999998</v>
      </c>
      <c r="N2181" s="8"/>
    </row>
    <row r="2182" spans="1:14" x14ac:dyDescent="0.25">
      <c r="A2182" s="8">
        <v>40459</v>
      </c>
      <c r="B2182">
        <v>442894.2</v>
      </c>
      <c r="C2182">
        <v>0</v>
      </c>
      <c r="D2182">
        <v>54.29</v>
      </c>
      <c r="E2182">
        <v>2.7450000000000001</v>
      </c>
      <c r="F2182">
        <v>190.77632180000001</v>
      </c>
      <c r="G2182">
        <v>6.9859999999999998</v>
      </c>
      <c r="N2182" s="8"/>
    </row>
    <row r="2183" spans="1:14" x14ac:dyDescent="0.25">
      <c r="A2183" s="8">
        <v>40466</v>
      </c>
      <c r="B2183">
        <v>452169.28</v>
      </c>
      <c r="C2183">
        <v>0</v>
      </c>
      <c r="D2183">
        <v>45</v>
      </c>
      <c r="E2183">
        <v>2.762</v>
      </c>
      <c r="F2183">
        <v>190.8623087</v>
      </c>
      <c r="G2183">
        <v>6.9859999999999998</v>
      </c>
      <c r="N2183" s="8"/>
    </row>
    <row r="2184" spans="1:14" x14ac:dyDescent="0.25">
      <c r="A2184" s="8">
        <v>40473</v>
      </c>
      <c r="B2184">
        <v>541216.92000000004</v>
      </c>
      <c r="C2184">
        <v>0</v>
      </c>
      <c r="D2184">
        <v>45.85</v>
      </c>
      <c r="E2184">
        <v>2.762</v>
      </c>
      <c r="F2184">
        <v>190.9070184</v>
      </c>
      <c r="G2184">
        <v>6.9859999999999998</v>
      </c>
      <c r="N2184" s="8"/>
    </row>
    <row r="2185" spans="1:14" x14ac:dyDescent="0.25">
      <c r="A2185" s="8">
        <v>40480</v>
      </c>
      <c r="B2185">
        <v>495022.51</v>
      </c>
      <c r="C2185">
        <v>0</v>
      </c>
      <c r="D2185">
        <v>35.76</v>
      </c>
      <c r="E2185">
        <v>2.7480000000000002</v>
      </c>
      <c r="F2185">
        <v>190.951728</v>
      </c>
      <c r="G2185">
        <v>6.9859999999999998</v>
      </c>
      <c r="N2185" s="8"/>
    </row>
    <row r="2186" spans="1:14" x14ac:dyDescent="0.25">
      <c r="A2186" s="8">
        <v>40487</v>
      </c>
      <c r="B2186">
        <v>446905.02</v>
      </c>
      <c r="C2186">
        <v>0</v>
      </c>
      <c r="D2186">
        <v>39.94</v>
      </c>
      <c r="E2186">
        <v>2.7290000000000001</v>
      </c>
      <c r="F2186">
        <v>190.9964377</v>
      </c>
      <c r="G2186">
        <v>6.9859999999999998</v>
      </c>
      <c r="N2186" s="8"/>
    </row>
    <row r="2187" spans="1:14" x14ac:dyDescent="0.25">
      <c r="A2187" s="8">
        <v>40494</v>
      </c>
      <c r="B2187">
        <v>453632.76</v>
      </c>
      <c r="C2187">
        <v>0</v>
      </c>
      <c r="D2187">
        <v>34.04</v>
      </c>
      <c r="E2187">
        <v>2.7370000000000001</v>
      </c>
      <c r="F2187">
        <v>191.0411474</v>
      </c>
      <c r="G2187">
        <v>6.9859999999999998</v>
      </c>
      <c r="N2187" s="8"/>
    </row>
    <row r="2188" spans="1:14" x14ac:dyDescent="0.25">
      <c r="A2188" s="8">
        <v>40501</v>
      </c>
      <c r="B2188">
        <v>458634.68</v>
      </c>
      <c r="C2188">
        <v>0</v>
      </c>
      <c r="D2188">
        <v>27.26</v>
      </c>
      <c r="E2188">
        <v>2.758</v>
      </c>
      <c r="F2188">
        <v>191.03121719999999</v>
      </c>
      <c r="G2188">
        <v>6.9859999999999998</v>
      </c>
      <c r="N2188" s="8"/>
    </row>
    <row r="2189" spans="1:14" x14ac:dyDescent="0.25">
      <c r="A2189" s="8">
        <v>40508</v>
      </c>
      <c r="B2189">
        <v>651837.77</v>
      </c>
      <c r="C2189">
        <v>1</v>
      </c>
      <c r="D2189">
        <v>23.46</v>
      </c>
      <c r="E2189">
        <v>2.742</v>
      </c>
      <c r="F2189">
        <v>191.0121805</v>
      </c>
      <c r="G2189">
        <v>6.9859999999999998</v>
      </c>
      <c r="N2189" s="8"/>
    </row>
    <row r="2190" spans="1:14" x14ac:dyDescent="0.25">
      <c r="A2190" s="8">
        <v>40515</v>
      </c>
      <c r="B2190">
        <v>512260.59</v>
      </c>
      <c r="C2190">
        <v>0</v>
      </c>
      <c r="D2190">
        <v>23.68</v>
      </c>
      <c r="E2190">
        <v>2.7120000000000002</v>
      </c>
      <c r="F2190">
        <v>190.99314369999999</v>
      </c>
      <c r="G2190">
        <v>6.9859999999999998</v>
      </c>
      <c r="N2190" s="8"/>
    </row>
    <row r="2191" spans="1:14" x14ac:dyDescent="0.25">
      <c r="A2191" s="8">
        <v>40522</v>
      </c>
      <c r="B2191">
        <v>570103.64</v>
      </c>
      <c r="C2191">
        <v>0</v>
      </c>
      <c r="D2191">
        <v>32.020000000000003</v>
      </c>
      <c r="E2191">
        <v>2.7280000000000002</v>
      </c>
      <c r="F2191">
        <v>190.97410690000001</v>
      </c>
      <c r="G2191">
        <v>6.9859999999999998</v>
      </c>
      <c r="N2191" s="8"/>
    </row>
    <row r="2192" spans="1:14" x14ac:dyDescent="0.25">
      <c r="A2192" s="8">
        <v>40529</v>
      </c>
      <c r="B2192">
        <v>648652.01</v>
      </c>
      <c r="C2192">
        <v>0</v>
      </c>
      <c r="D2192">
        <v>26.01</v>
      </c>
      <c r="E2192">
        <v>2.778</v>
      </c>
      <c r="F2192">
        <v>191.0303376</v>
      </c>
      <c r="G2192">
        <v>6.9859999999999998</v>
      </c>
      <c r="N2192" s="8"/>
    </row>
    <row r="2193" spans="1:14" x14ac:dyDescent="0.25">
      <c r="A2193" s="8">
        <v>40536</v>
      </c>
      <c r="B2193">
        <v>1004730.69</v>
      </c>
      <c r="C2193">
        <v>0</v>
      </c>
      <c r="D2193">
        <v>32.46</v>
      </c>
      <c r="E2193">
        <v>2.7810000000000001</v>
      </c>
      <c r="F2193">
        <v>191.14301889999999</v>
      </c>
      <c r="G2193">
        <v>6.9859999999999998</v>
      </c>
      <c r="N2193" s="8"/>
    </row>
    <row r="2194" spans="1:14" x14ac:dyDescent="0.25">
      <c r="A2194" s="8">
        <v>40543</v>
      </c>
      <c r="B2194">
        <v>575317.38</v>
      </c>
      <c r="C2194">
        <v>1</v>
      </c>
      <c r="D2194">
        <v>19.66</v>
      </c>
      <c r="E2194">
        <v>2.8290000000000002</v>
      </c>
      <c r="F2194">
        <v>191.25570020000001</v>
      </c>
      <c r="G2194">
        <v>6.9859999999999998</v>
      </c>
      <c r="N2194" s="8"/>
    </row>
    <row r="2195" spans="1:14" x14ac:dyDescent="0.25">
      <c r="A2195" s="8">
        <v>40550</v>
      </c>
      <c r="B2195">
        <v>573545.96</v>
      </c>
      <c r="C2195">
        <v>0</v>
      </c>
      <c r="D2195">
        <v>12.39</v>
      </c>
      <c r="E2195">
        <v>2.8820000000000001</v>
      </c>
      <c r="F2195">
        <v>191.3683815</v>
      </c>
      <c r="G2195">
        <v>6.6139999999999999</v>
      </c>
      <c r="N2195" s="8"/>
    </row>
    <row r="2196" spans="1:14" x14ac:dyDescent="0.25">
      <c r="A2196" s="8">
        <v>40557</v>
      </c>
      <c r="B2196">
        <v>470365.59</v>
      </c>
      <c r="C2196">
        <v>0</v>
      </c>
      <c r="D2196">
        <v>17.46</v>
      </c>
      <c r="E2196">
        <v>2.911</v>
      </c>
      <c r="F2196">
        <v>191.47849389999999</v>
      </c>
      <c r="G2196">
        <v>6.6139999999999999</v>
      </c>
      <c r="N2196" s="8"/>
    </row>
    <row r="2197" spans="1:14" x14ac:dyDescent="0.25">
      <c r="A2197" s="8">
        <v>40564</v>
      </c>
      <c r="B2197">
        <v>462888.13</v>
      </c>
      <c r="C2197">
        <v>0</v>
      </c>
      <c r="D2197">
        <v>28.6</v>
      </c>
      <c r="E2197">
        <v>2.9729999999999999</v>
      </c>
      <c r="F2197">
        <v>191.57319240000001</v>
      </c>
      <c r="G2197">
        <v>6.6139999999999999</v>
      </c>
      <c r="N2197" s="8"/>
    </row>
    <row r="2198" spans="1:14" x14ac:dyDescent="0.25">
      <c r="A2198" s="8">
        <v>40571</v>
      </c>
      <c r="B2198">
        <v>448391.99</v>
      </c>
      <c r="C2198">
        <v>0</v>
      </c>
      <c r="D2198">
        <v>20.8</v>
      </c>
      <c r="E2198">
        <v>3.008</v>
      </c>
      <c r="F2198">
        <v>191.667891</v>
      </c>
      <c r="G2198">
        <v>6.6139999999999999</v>
      </c>
      <c r="N2198" s="8"/>
    </row>
    <row r="2199" spans="1:14" x14ac:dyDescent="0.25">
      <c r="A2199" s="8">
        <v>40578</v>
      </c>
      <c r="B2199">
        <v>479263.15</v>
      </c>
      <c r="C2199">
        <v>0</v>
      </c>
      <c r="D2199">
        <v>13.64</v>
      </c>
      <c r="E2199">
        <v>3.0110000000000001</v>
      </c>
      <c r="F2199">
        <v>191.76258949999999</v>
      </c>
      <c r="G2199">
        <v>6.6139999999999999</v>
      </c>
      <c r="N2199" s="8"/>
    </row>
    <row r="2200" spans="1:14" x14ac:dyDescent="0.25">
      <c r="A2200" s="8">
        <v>40585</v>
      </c>
      <c r="B2200">
        <v>466806.89</v>
      </c>
      <c r="C2200">
        <v>1</v>
      </c>
      <c r="D2200">
        <v>15.02</v>
      </c>
      <c r="E2200">
        <v>3.0369999999999999</v>
      </c>
      <c r="F2200">
        <v>191.85728810000001</v>
      </c>
      <c r="G2200">
        <v>6.6139999999999999</v>
      </c>
      <c r="N2200" s="8"/>
    </row>
    <row r="2201" spans="1:14" x14ac:dyDescent="0.25">
      <c r="A2201" s="8">
        <v>40592</v>
      </c>
      <c r="B2201">
        <v>491179.79</v>
      </c>
      <c r="C2201">
        <v>0</v>
      </c>
      <c r="D2201">
        <v>27.18</v>
      </c>
      <c r="E2201">
        <v>3.0510000000000002</v>
      </c>
      <c r="F2201">
        <v>191.9178331</v>
      </c>
      <c r="G2201">
        <v>6.6139999999999999</v>
      </c>
      <c r="N2201" s="8"/>
    </row>
    <row r="2202" spans="1:14" x14ac:dyDescent="0.25">
      <c r="A2202" s="8">
        <v>40599</v>
      </c>
      <c r="B2202">
        <v>475201.64</v>
      </c>
      <c r="C2202">
        <v>0</v>
      </c>
      <c r="D2202">
        <v>26.15</v>
      </c>
      <c r="E2202">
        <v>3.101</v>
      </c>
      <c r="F2202">
        <v>191.9647167</v>
      </c>
      <c r="G2202">
        <v>6.6139999999999999</v>
      </c>
      <c r="N2202" s="8"/>
    </row>
    <row r="2203" spans="1:14" x14ac:dyDescent="0.25">
      <c r="A2203" s="8">
        <v>40606</v>
      </c>
      <c r="B2203">
        <v>484829.07</v>
      </c>
      <c r="C2203">
        <v>0</v>
      </c>
      <c r="D2203">
        <v>31.77</v>
      </c>
      <c r="E2203">
        <v>3.2320000000000002</v>
      </c>
      <c r="F2203">
        <v>192.01160039999999</v>
      </c>
      <c r="G2203">
        <v>6.6139999999999999</v>
      </c>
      <c r="N2203" s="8"/>
    </row>
    <row r="2204" spans="1:14" x14ac:dyDescent="0.25">
      <c r="A2204" s="8">
        <v>40613</v>
      </c>
      <c r="B2204">
        <v>457504.35</v>
      </c>
      <c r="C2204">
        <v>0</v>
      </c>
      <c r="D2204">
        <v>29.36</v>
      </c>
      <c r="E2204">
        <v>3.3719999999999999</v>
      </c>
      <c r="F2204">
        <v>192.05848399999999</v>
      </c>
      <c r="G2204">
        <v>6.6139999999999999</v>
      </c>
      <c r="N2204" s="8"/>
    </row>
    <row r="2205" spans="1:14" x14ac:dyDescent="0.25">
      <c r="A2205" s="8">
        <v>40620</v>
      </c>
      <c r="B2205">
        <v>497373.49</v>
      </c>
      <c r="C2205">
        <v>0</v>
      </c>
      <c r="D2205">
        <v>36.5</v>
      </c>
      <c r="E2205">
        <v>3.4060000000000001</v>
      </c>
      <c r="F2205">
        <v>192.12379809999999</v>
      </c>
      <c r="G2205">
        <v>6.6139999999999999</v>
      </c>
      <c r="N2205" s="8"/>
    </row>
    <row r="2206" spans="1:14" x14ac:dyDescent="0.25">
      <c r="A2206" s="8">
        <v>40627</v>
      </c>
      <c r="B2206">
        <v>465279.68</v>
      </c>
      <c r="C2206">
        <v>0</v>
      </c>
      <c r="D2206">
        <v>32.61</v>
      </c>
      <c r="E2206">
        <v>3.4140000000000001</v>
      </c>
      <c r="F2206">
        <v>192.1964844</v>
      </c>
      <c r="G2206">
        <v>6.6139999999999999</v>
      </c>
      <c r="N2206" s="8"/>
    </row>
    <row r="2207" spans="1:14" x14ac:dyDescent="0.25">
      <c r="A2207" s="8">
        <v>40634</v>
      </c>
      <c r="B2207">
        <v>459756.11</v>
      </c>
      <c r="C2207">
        <v>0</v>
      </c>
      <c r="D2207">
        <v>35.75</v>
      </c>
      <c r="E2207">
        <v>3.4609999999999999</v>
      </c>
      <c r="F2207">
        <v>192.26917069999999</v>
      </c>
      <c r="G2207">
        <v>6.3390000000000004</v>
      </c>
      <c r="N2207" s="8"/>
    </row>
    <row r="2208" spans="1:14" x14ac:dyDescent="0.25">
      <c r="A2208" s="8">
        <v>40641</v>
      </c>
      <c r="B2208">
        <v>439276.5</v>
      </c>
      <c r="C2208">
        <v>0</v>
      </c>
      <c r="D2208">
        <v>38.04</v>
      </c>
      <c r="E2208">
        <v>3.532</v>
      </c>
      <c r="F2208">
        <v>192.3418571</v>
      </c>
      <c r="G2208">
        <v>6.3390000000000004</v>
      </c>
      <c r="N2208" s="8"/>
    </row>
    <row r="2209" spans="1:14" x14ac:dyDescent="0.25">
      <c r="A2209" s="8">
        <v>40648</v>
      </c>
      <c r="B2209">
        <v>427855.24</v>
      </c>
      <c r="C2209">
        <v>0</v>
      </c>
      <c r="D2209">
        <v>34.590000000000003</v>
      </c>
      <c r="E2209">
        <v>3.6110000000000002</v>
      </c>
      <c r="F2209">
        <v>192.42259540000001</v>
      </c>
      <c r="G2209">
        <v>6.3390000000000004</v>
      </c>
      <c r="N2209" s="8"/>
    </row>
    <row r="2210" spans="1:14" x14ac:dyDescent="0.25">
      <c r="A2210" s="8">
        <v>40655</v>
      </c>
      <c r="B2210">
        <v>368600</v>
      </c>
      <c r="C2210">
        <v>0</v>
      </c>
      <c r="D2210">
        <v>40.74</v>
      </c>
      <c r="E2210">
        <v>3.6360000000000001</v>
      </c>
      <c r="F2210">
        <v>192.5234638</v>
      </c>
      <c r="G2210">
        <v>6.3390000000000004</v>
      </c>
      <c r="N2210" s="8"/>
    </row>
    <row r="2211" spans="1:14" x14ac:dyDescent="0.25">
      <c r="A2211" s="8">
        <v>40662</v>
      </c>
      <c r="B2211">
        <v>378100.31</v>
      </c>
      <c r="C2211">
        <v>0</v>
      </c>
      <c r="D2211">
        <v>37.770000000000003</v>
      </c>
      <c r="E2211">
        <v>3.6629999999999998</v>
      </c>
      <c r="F2211">
        <v>192.6243322</v>
      </c>
      <c r="G2211">
        <v>6.3390000000000004</v>
      </c>
      <c r="N2211" s="8"/>
    </row>
    <row r="2212" spans="1:14" x14ac:dyDescent="0.25">
      <c r="A2212" s="8">
        <v>40669</v>
      </c>
      <c r="B2212">
        <v>423805.22</v>
      </c>
      <c r="C2212">
        <v>0</v>
      </c>
      <c r="D2212">
        <v>38.64</v>
      </c>
      <c r="E2212">
        <v>3.7349999999999999</v>
      </c>
      <c r="F2212">
        <v>192.72520059999999</v>
      </c>
      <c r="G2212">
        <v>6.3390000000000004</v>
      </c>
      <c r="N2212" s="8"/>
    </row>
    <row r="2213" spans="1:14" x14ac:dyDescent="0.25">
      <c r="A2213" s="8">
        <v>40676</v>
      </c>
      <c r="B2213">
        <v>410406.95</v>
      </c>
      <c r="C2213">
        <v>0</v>
      </c>
      <c r="D2213">
        <v>43.29</v>
      </c>
      <c r="E2213">
        <v>3.7669999999999999</v>
      </c>
      <c r="F2213">
        <v>192.82606899999999</v>
      </c>
      <c r="G2213">
        <v>6.3390000000000004</v>
      </c>
      <c r="N2213" s="8"/>
    </row>
    <row r="2214" spans="1:14" x14ac:dyDescent="0.25">
      <c r="A2214" s="8">
        <v>40683</v>
      </c>
      <c r="B2214">
        <v>435397.19</v>
      </c>
      <c r="C2214">
        <v>0</v>
      </c>
      <c r="D2214">
        <v>43.95</v>
      </c>
      <c r="E2214">
        <v>3.8279999999999998</v>
      </c>
      <c r="F2214">
        <v>192.83131700000001</v>
      </c>
      <c r="G2214">
        <v>6.3390000000000004</v>
      </c>
      <c r="N2214" s="8"/>
    </row>
    <row r="2215" spans="1:14" x14ac:dyDescent="0.25">
      <c r="A2215" s="8">
        <v>40690</v>
      </c>
      <c r="B2215">
        <v>444718.68</v>
      </c>
      <c r="C2215">
        <v>0</v>
      </c>
      <c r="D2215">
        <v>45.17</v>
      </c>
      <c r="E2215">
        <v>3.7949999999999999</v>
      </c>
      <c r="F2215">
        <v>192.8365651</v>
      </c>
      <c r="G2215">
        <v>6.3390000000000004</v>
      </c>
      <c r="N2215" s="8"/>
    </row>
    <row r="2216" spans="1:14" x14ac:dyDescent="0.25">
      <c r="A2216" s="8">
        <v>40697</v>
      </c>
      <c r="B2216">
        <v>531080.31000000006</v>
      </c>
      <c r="C2216">
        <v>0</v>
      </c>
      <c r="D2216">
        <v>54.08</v>
      </c>
      <c r="E2216">
        <v>3.7629999999999999</v>
      </c>
      <c r="F2216">
        <v>192.8418131</v>
      </c>
      <c r="G2216">
        <v>6.3390000000000004</v>
      </c>
      <c r="N2216" s="8"/>
    </row>
    <row r="2217" spans="1:14" x14ac:dyDescent="0.25">
      <c r="A2217" s="8">
        <v>40704</v>
      </c>
      <c r="B2217">
        <v>600952.06000000006</v>
      </c>
      <c r="C2217">
        <v>0</v>
      </c>
      <c r="D2217">
        <v>55.78</v>
      </c>
      <c r="E2217">
        <v>3.7349999999999999</v>
      </c>
      <c r="F2217">
        <v>192.84706120000001</v>
      </c>
      <c r="G2217">
        <v>6.3390000000000004</v>
      </c>
      <c r="N2217" s="8"/>
    </row>
    <row r="2218" spans="1:14" x14ac:dyDescent="0.25">
      <c r="A2218" s="8">
        <v>40711</v>
      </c>
      <c r="B2218">
        <v>581546.23</v>
      </c>
      <c r="C2218">
        <v>0</v>
      </c>
      <c r="D2218">
        <v>58.34</v>
      </c>
      <c r="E2218">
        <v>3.6970000000000001</v>
      </c>
      <c r="F2218">
        <v>192.90347589999999</v>
      </c>
      <c r="G2218">
        <v>6.3390000000000004</v>
      </c>
      <c r="N2218" s="8"/>
    </row>
    <row r="2219" spans="1:14" x14ac:dyDescent="0.25">
      <c r="A2219" s="8">
        <v>40718</v>
      </c>
      <c r="B2219">
        <v>569105.03</v>
      </c>
      <c r="C2219">
        <v>0</v>
      </c>
      <c r="D2219">
        <v>54.36</v>
      </c>
      <c r="E2219">
        <v>3.661</v>
      </c>
      <c r="F2219">
        <v>192.9982655</v>
      </c>
      <c r="G2219">
        <v>6.3390000000000004</v>
      </c>
      <c r="N2219" s="8"/>
    </row>
    <row r="2220" spans="1:14" x14ac:dyDescent="0.25">
      <c r="A2220" s="8">
        <v>40725</v>
      </c>
      <c r="B2220">
        <v>608737.56000000006</v>
      </c>
      <c r="C2220">
        <v>0</v>
      </c>
      <c r="D2220">
        <v>63.59</v>
      </c>
      <c r="E2220">
        <v>3.597</v>
      </c>
      <c r="F2220">
        <v>193.09305520000001</v>
      </c>
      <c r="G2220">
        <v>6.3380000000000001</v>
      </c>
      <c r="N2220" s="8"/>
    </row>
    <row r="2221" spans="1:14" x14ac:dyDescent="0.25">
      <c r="A2221" s="8">
        <v>40732</v>
      </c>
      <c r="B2221">
        <v>634634.66</v>
      </c>
      <c r="C2221">
        <v>0</v>
      </c>
      <c r="D2221">
        <v>65</v>
      </c>
      <c r="E2221">
        <v>3.54</v>
      </c>
      <c r="F2221">
        <v>193.18784479999999</v>
      </c>
      <c r="G2221">
        <v>6.3380000000000001</v>
      </c>
      <c r="N2221" s="8"/>
    </row>
    <row r="2222" spans="1:14" x14ac:dyDescent="0.25">
      <c r="A2222" s="8">
        <v>40739</v>
      </c>
      <c r="B2222">
        <v>586841.77</v>
      </c>
      <c r="C2222">
        <v>0</v>
      </c>
      <c r="D2222">
        <v>65.16</v>
      </c>
      <c r="E2222">
        <v>3.532</v>
      </c>
      <c r="F2222">
        <v>193.3125484</v>
      </c>
      <c r="G2222">
        <v>6.3380000000000001</v>
      </c>
      <c r="N2222" s="8"/>
    </row>
    <row r="2223" spans="1:14" x14ac:dyDescent="0.25">
      <c r="A2223" s="8">
        <v>40746</v>
      </c>
      <c r="B2223">
        <v>581758.22</v>
      </c>
      <c r="C2223">
        <v>0</v>
      </c>
      <c r="D2223">
        <v>65.36</v>
      </c>
      <c r="E2223">
        <v>3.5449999999999999</v>
      </c>
      <c r="F2223">
        <v>193.51203670000001</v>
      </c>
      <c r="G2223">
        <v>6.3380000000000001</v>
      </c>
      <c r="N2223" s="8"/>
    </row>
    <row r="2224" spans="1:14" x14ac:dyDescent="0.25">
      <c r="A2224" s="8">
        <v>40753</v>
      </c>
      <c r="B2224">
        <v>582381.94999999995</v>
      </c>
      <c r="C2224">
        <v>0</v>
      </c>
      <c r="D2224">
        <v>66.84</v>
      </c>
      <c r="E2224">
        <v>3.5470000000000002</v>
      </c>
      <c r="F2224">
        <v>193.71152499999999</v>
      </c>
      <c r="G2224">
        <v>6.3380000000000001</v>
      </c>
      <c r="N2224" s="8"/>
    </row>
    <row r="2225" spans="1:14" x14ac:dyDescent="0.25">
      <c r="A2225" s="8">
        <v>40760</v>
      </c>
      <c r="B2225">
        <v>592981.32999999996</v>
      </c>
      <c r="C2225">
        <v>0</v>
      </c>
      <c r="D2225">
        <v>63.96</v>
      </c>
      <c r="E2225">
        <v>3.5539999999999998</v>
      </c>
      <c r="F2225">
        <v>193.91101330000001</v>
      </c>
      <c r="G2225">
        <v>6.3380000000000001</v>
      </c>
      <c r="N2225" s="8"/>
    </row>
    <row r="2226" spans="1:14" x14ac:dyDescent="0.25">
      <c r="A2226" s="8">
        <v>40767</v>
      </c>
      <c r="B2226">
        <v>563884.47</v>
      </c>
      <c r="C2226">
        <v>0</v>
      </c>
      <c r="D2226">
        <v>67.09</v>
      </c>
      <c r="E2226">
        <v>3.5419999999999998</v>
      </c>
      <c r="F2226">
        <v>194.11050169999999</v>
      </c>
      <c r="G2226">
        <v>6.3380000000000001</v>
      </c>
      <c r="N2226" s="8"/>
    </row>
    <row r="2227" spans="1:14" x14ac:dyDescent="0.25">
      <c r="A2227" s="8">
        <v>40774</v>
      </c>
      <c r="B2227">
        <v>554630.42000000004</v>
      </c>
      <c r="C2227">
        <v>0</v>
      </c>
      <c r="D2227">
        <v>68.83</v>
      </c>
      <c r="E2227">
        <v>3.4990000000000001</v>
      </c>
      <c r="F2227">
        <v>194.25006339999999</v>
      </c>
      <c r="G2227">
        <v>6.3380000000000001</v>
      </c>
      <c r="N2227" s="8"/>
    </row>
    <row r="2228" spans="1:14" x14ac:dyDescent="0.25">
      <c r="A2228" s="8">
        <v>40781</v>
      </c>
      <c r="B2228">
        <v>557312.01</v>
      </c>
      <c r="C2228">
        <v>0</v>
      </c>
      <c r="D2228">
        <v>67.510000000000005</v>
      </c>
      <c r="E2228">
        <v>3.4849999999999999</v>
      </c>
      <c r="F2228">
        <v>194.37963740000001</v>
      </c>
      <c r="G2228">
        <v>6.3380000000000001</v>
      </c>
      <c r="N2228" s="8"/>
    </row>
    <row r="2229" spans="1:14" x14ac:dyDescent="0.25">
      <c r="A2229" s="8">
        <v>40788</v>
      </c>
      <c r="B2229">
        <v>580805.32999999996</v>
      </c>
      <c r="C2229">
        <v>0</v>
      </c>
      <c r="D2229">
        <v>63.44</v>
      </c>
      <c r="E2229">
        <v>3.5110000000000001</v>
      </c>
      <c r="F2229">
        <v>194.5092113</v>
      </c>
      <c r="G2229">
        <v>6.3380000000000001</v>
      </c>
      <c r="N2229" s="8"/>
    </row>
    <row r="2230" spans="1:14" x14ac:dyDescent="0.25">
      <c r="A2230" s="8">
        <v>40795</v>
      </c>
      <c r="B2230">
        <v>574622.56000000006</v>
      </c>
      <c r="C2230">
        <v>1</v>
      </c>
      <c r="D2230">
        <v>56.99</v>
      </c>
      <c r="E2230">
        <v>3.5659999999999998</v>
      </c>
      <c r="F2230">
        <v>194.6387853</v>
      </c>
      <c r="G2230">
        <v>6.3380000000000001</v>
      </c>
      <c r="N2230" s="8"/>
    </row>
    <row r="2231" spans="1:14" x14ac:dyDescent="0.25">
      <c r="A2231" s="8">
        <v>40802</v>
      </c>
      <c r="B2231">
        <v>539081.09</v>
      </c>
      <c r="C2231">
        <v>0</v>
      </c>
      <c r="D2231">
        <v>53.68</v>
      </c>
      <c r="E2231">
        <v>3.5960000000000001</v>
      </c>
      <c r="F2231">
        <v>194.7419707</v>
      </c>
      <c r="G2231">
        <v>6.3380000000000001</v>
      </c>
      <c r="N2231" s="8"/>
    </row>
    <row r="2232" spans="1:14" x14ac:dyDescent="0.25">
      <c r="A2232" s="8">
        <v>40809</v>
      </c>
      <c r="B2232">
        <v>504856.97</v>
      </c>
      <c r="C2232">
        <v>0</v>
      </c>
      <c r="D2232">
        <v>50.39</v>
      </c>
      <c r="E2232">
        <v>3.581</v>
      </c>
      <c r="F2232">
        <v>194.8099713</v>
      </c>
      <c r="G2232">
        <v>6.3380000000000001</v>
      </c>
      <c r="N2232" s="8"/>
    </row>
    <row r="2233" spans="1:14" x14ac:dyDescent="0.25">
      <c r="A2233" s="8">
        <v>40816</v>
      </c>
      <c r="B2233">
        <v>450075.31</v>
      </c>
      <c r="C2233">
        <v>0</v>
      </c>
      <c r="D2233">
        <v>57.61</v>
      </c>
      <c r="E2233">
        <v>3.5379999999999998</v>
      </c>
      <c r="F2233">
        <v>194.87797180000001</v>
      </c>
      <c r="G2233">
        <v>6.3380000000000001</v>
      </c>
      <c r="N2233" s="8"/>
    </row>
    <row r="2234" spans="1:14" x14ac:dyDescent="0.25">
      <c r="A2234" s="8">
        <v>40823</v>
      </c>
      <c r="B2234">
        <v>482926.93</v>
      </c>
      <c r="C2234">
        <v>0</v>
      </c>
      <c r="D2234">
        <v>48.91</v>
      </c>
      <c r="E2234">
        <v>3.4980000000000002</v>
      </c>
      <c r="F2234">
        <v>194.94597239999999</v>
      </c>
      <c r="G2234">
        <v>6.2320000000000002</v>
      </c>
      <c r="N2234" s="8"/>
    </row>
    <row r="2235" spans="1:14" x14ac:dyDescent="0.25">
      <c r="A2235" s="8">
        <v>40830</v>
      </c>
      <c r="B2235">
        <v>498241.06</v>
      </c>
      <c r="C2235">
        <v>0</v>
      </c>
      <c r="D2235">
        <v>39.97</v>
      </c>
      <c r="E2235">
        <v>3.4910000000000001</v>
      </c>
      <c r="F2235">
        <v>195.0261012</v>
      </c>
      <c r="G2235">
        <v>6.2320000000000002</v>
      </c>
      <c r="N2235" s="8"/>
    </row>
    <row r="2236" spans="1:14" x14ac:dyDescent="0.25">
      <c r="A2236" s="8">
        <v>40837</v>
      </c>
      <c r="B2236">
        <v>560104.16</v>
      </c>
      <c r="C2236">
        <v>0</v>
      </c>
      <c r="D2236">
        <v>46.99</v>
      </c>
      <c r="E2236">
        <v>3.548</v>
      </c>
      <c r="F2236">
        <v>195.17899940000001</v>
      </c>
      <c r="G2236">
        <v>6.2320000000000002</v>
      </c>
      <c r="N2236" s="8"/>
    </row>
    <row r="2237" spans="1:14" x14ac:dyDescent="0.25">
      <c r="A2237" s="8">
        <v>40844</v>
      </c>
      <c r="B2237">
        <v>505918.21</v>
      </c>
      <c r="C2237">
        <v>0</v>
      </c>
      <c r="D2237">
        <v>41.97</v>
      </c>
      <c r="E2237">
        <v>3.55</v>
      </c>
      <c r="F2237">
        <v>195.33189770000001</v>
      </c>
      <c r="G2237">
        <v>6.2320000000000002</v>
      </c>
      <c r="N2237" s="8"/>
    </row>
    <row r="2238" spans="1:14" x14ac:dyDescent="0.25">
      <c r="A2238" s="8">
        <v>40851</v>
      </c>
      <c r="B2238">
        <v>511059.95</v>
      </c>
      <c r="C2238">
        <v>0</v>
      </c>
      <c r="D2238">
        <v>33.43</v>
      </c>
      <c r="E2238">
        <v>3.5270000000000001</v>
      </c>
      <c r="F2238">
        <v>195.48479589999999</v>
      </c>
      <c r="G2238">
        <v>6.2320000000000002</v>
      </c>
      <c r="N2238" s="8"/>
    </row>
    <row r="2239" spans="1:14" x14ac:dyDescent="0.25">
      <c r="A2239" s="8">
        <v>40858</v>
      </c>
      <c r="B2239">
        <v>513181.31</v>
      </c>
      <c r="C2239">
        <v>0</v>
      </c>
      <c r="D2239">
        <v>29.56</v>
      </c>
      <c r="E2239">
        <v>3.5049999999999999</v>
      </c>
      <c r="F2239">
        <v>195.6376941</v>
      </c>
      <c r="G2239">
        <v>6.2320000000000002</v>
      </c>
      <c r="N2239" s="8"/>
    </row>
    <row r="2240" spans="1:14" x14ac:dyDescent="0.25">
      <c r="A2240" s="8">
        <v>40865</v>
      </c>
      <c r="B2240">
        <v>480353.64</v>
      </c>
      <c r="C2240">
        <v>0</v>
      </c>
      <c r="D2240">
        <v>31.73</v>
      </c>
      <c r="E2240">
        <v>3.4790000000000001</v>
      </c>
      <c r="F2240">
        <v>195.7184713</v>
      </c>
      <c r="G2240">
        <v>6.2320000000000002</v>
      </c>
      <c r="N2240" s="8"/>
    </row>
    <row r="2241" spans="1:14" x14ac:dyDescent="0.25">
      <c r="A2241" s="8">
        <v>40872</v>
      </c>
      <c r="B2241">
        <v>712422.40000000002</v>
      </c>
      <c r="C2241">
        <v>1</v>
      </c>
      <c r="D2241">
        <v>31.39</v>
      </c>
      <c r="E2241">
        <v>3.4239999999999999</v>
      </c>
      <c r="F2241">
        <v>195.7704</v>
      </c>
      <c r="G2241">
        <v>6.2320000000000002</v>
      </c>
      <c r="N2241" s="8"/>
    </row>
    <row r="2242" spans="1:14" x14ac:dyDescent="0.25">
      <c r="A2242" s="8">
        <v>40879</v>
      </c>
      <c r="B2242">
        <v>530492.84</v>
      </c>
      <c r="C2242">
        <v>0</v>
      </c>
      <c r="D2242">
        <v>27.83</v>
      </c>
      <c r="E2242">
        <v>3.3780000000000001</v>
      </c>
      <c r="F2242">
        <v>195.82232870000001</v>
      </c>
      <c r="G2242">
        <v>6.2320000000000002</v>
      </c>
      <c r="N2242" s="8"/>
    </row>
    <row r="2243" spans="1:14" x14ac:dyDescent="0.25">
      <c r="A2243" s="8">
        <v>40886</v>
      </c>
      <c r="B2243">
        <v>574798.86</v>
      </c>
      <c r="C2243">
        <v>0</v>
      </c>
      <c r="D2243">
        <v>14.44</v>
      </c>
      <c r="E2243">
        <v>3.331</v>
      </c>
      <c r="F2243">
        <v>195.8742575</v>
      </c>
      <c r="G2243">
        <v>6.2320000000000002</v>
      </c>
      <c r="N2243" s="8"/>
    </row>
    <row r="2244" spans="1:14" x14ac:dyDescent="0.25">
      <c r="A2244" s="8">
        <v>40893</v>
      </c>
      <c r="B2244">
        <v>679481.9</v>
      </c>
      <c r="C2244">
        <v>0</v>
      </c>
      <c r="D2244">
        <v>22.5</v>
      </c>
      <c r="E2244">
        <v>3.266</v>
      </c>
      <c r="F2244">
        <v>195.98416850000001</v>
      </c>
      <c r="G2244">
        <v>6.2320000000000002</v>
      </c>
      <c r="N2244" s="8"/>
    </row>
    <row r="2245" spans="1:14" x14ac:dyDescent="0.25">
      <c r="A2245" s="8">
        <v>40900</v>
      </c>
      <c r="B2245">
        <v>950691.96</v>
      </c>
      <c r="C2245">
        <v>0</v>
      </c>
      <c r="D2245">
        <v>20.79</v>
      </c>
      <c r="E2245">
        <v>3.173</v>
      </c>
      <c r="F2245">
        <v>196.17138929999999</v>
      </c>
      <c r="G2245">
        <v>6.2320000000000002</v>
      </c>
      <c r="N2245" s="8"/>
    </row>
    <row r="2246" spans="1:14" x14ac:dyDescent="0.25">
      <c r="A2246" s="8">
        <v>40907</v>
      </c>
      <c r="B2246">
        <v>665861.06000000006</v>
      </c>
      <c r="C2246">
        <v>1</v>
      </c>
      <c r="D2246">
        <v>23.91</v>
      </c>
      <c r="E2246">
        <v>3.1190000000000002</v>
      </c>
      <c r="F2246">
        <v>196.35861009999999</v>
      </c>
      <c r="G2246">
        <v>6.2320000000000002</v>
      </c>
      <c r="N2246" s="8"/>
    </row>
    <row r="2247" spans="1:14" x14ac:dyDescent="0.25">
      <c r="A2247" s="8">
        <v>40914</v>
      </c>
      <c r="B2247">
        <v>564538.06999999995</v>
      </c>
      <c r="C2247">
        <v>0</v>
      </c>
      <c r="D2247">
        <v>26.49</v>
      </c>
      <c r="E2247">
        <v>3.0950000000000002</v>
      </c>
      <c r="F2247">
        <v>196.5458309</v>
      </c>
      <c r="G2247">
        <v>6.1619999999999999</v>
      </c>
      <c r="N2247" s="8"/>
    </row>
    <row r="2248" spans="1:14" x14ac:dyDescent="0.25">
      <c r="A2248" s="8">
        <v>40921</v>
      </c>
      <c r="B2248">
        <v>508520.09</v>
      </c>
      <c r="C2248">
        <v>0</v>
      </c>
      <c r="D2248">
        <v>19.55</v>
      </c>
      <c r="E2248">
        <v>3.077</v>
      </c>
      <c r="F2248">
        <v>196.7330517</v>
      </c>
      <c r="G2248">
        <v>6.1619999999999999</v>
      </c>
      <c r="N2248" s="8"/>
    </row>
    <row r="2249" spans="1:14" x14ac:dyDescent="0.25">
      <c r="A2249" s="8">
        <v>40928</v>
      </c>
      <c r="B2249">
        <v>474389.75</v>
      </c>
      <c r="C2249">
        <v>0</v>
      </c>
      <c r="D2249">
        <v>29.3</v>
      </c>
      <c r="E2249">
        <v>3.0550000000000002</v>
      </c>
      <c r="F2249">
        <v>196.77966520000001</v>
      </c>
      <c r="G2249">
        <v>6.1619999999999999</v>
      </c>
      <c r="N2249" s="8"/>
    </row>
    <row r="2250" spans="1:14" x14ac:dyDescent="0.25">
      <c r="A2250" s="8">
        <v>40935</v>
      </c>
      <c r="B2250">
        <v>453979.19</v>
      </c>
      <c r="C2250">
        <v>0</v>
      </c>
      <c r="D2250">
        <v>28.17</v>
      </c>
      <c r="E2250">
        <v>3.0379999999999998</v>
      </c>
      <c r="F2250">
        <v>196.82627859999999</v>
      </c>
      <c r="G2250">
        <v>6.1619999999999999</v>
      </c>
      <c r="N2250" s="8"/>
    </row>
    <row r="2251" spans="1:14" x14ac:dyDescent="0.25">
      <c r="A2251" s="8">
        <v>40942</v>
      </c>
      <c r="B2251">
        <v>475905.1</v>
      </c>
      <c r="C2251">
        <v>0</v>
      </c>
      <c r="D2251">
        <v>25.53</v>
      </c>
      <c r="E2251">
        <v>3.0310000000000001</v>
      </c>
      <c r="F2251">
        <v>196.8728921</v>
      </c>
      <c r="G2251">
        <v>6.1619999999999999</v>
      </c>
      <c r="N2251" s="8"/>
    </row>
    <row r="2252" spans="1:14" x14ac:dyDescent="0.25">
      <c r="A2252" s="8">
        <v>40949</v>
      </c>
      <c r="B2252">
        <v>473766.97</v>
      </c>
      <c r="C2252">
        <v>1</v>
      </c>
      <c r="D2252">
        <v>23.69</v>
      </c>
      <c r="E2252">
        <v>3.1030000000000002</v>
      </c>
      <c r="F2252">
        <v>196.91950560000001</v>
      </c>
      <c r="G2252">
        <v>6.1619999999999999</v>
      </c>
      <c r="N2252" s="8"/>
    </row>
    <row r="2253" spans="1:14" x14ac:dyDescent="0.25">
      <c r="A2253" s="8">
        <v>40956</v>
      </c>
      <c r="B2253">
        <v>494069.49</v>
      </c>
      <c r="C2253">
        <v>0</v>
      </c>
      <c r="D2253">
        <v>31.19</v>
      </c>
      <c r="E2253">
        <v>3.113</v>
      </c>
      <c r="F2253">
        <v>196.9432711</v>
      </c>
      <c r="G2253">
        <v>6.1619999999999999</v>
      </c>
      <c r="N2253" s="8"/>
    </row>
    <row r="2254" spans="1:14" x14ac:dyDescent="0.25">
      <c r="A2254" s="8">
        <v>40963</v>
      </c>
      <c r="B2254">
        <v>495720.3</v>
      </c>
      <c r="C2254">
        <v>0</v>
      </c>
      <c r="D2254">
        <v>26.21</v>
      </c>
      <c r="E2254">
        <v>3.129</v>
      </c>
      <c r="F2254">
        <v>196.9499007</v>
      </c>
      <c r="G2254">
        <v>6.1619999999999999</v>
      </c>
      <c r="N2254" s="8"/>
    </row>
    <row r="2255" spans="1:14" x14ac:dyDescent="0.25">
      <c r="A2255" s="8">
        <v>40970</v>
      </c>
      <c r="B2255">
        <v>464189.09</v>
      </c>
      <c r="C2255">
        <v>0</v>
      </c>
      <c r="D2255">
        <v>23.4</v>
      </c>
      <c r="E2255">
        <v>3.1909999999999998</v>
      </c>
      <c r="F2255">
        <v>196.9565303</v>
      </c>
      <c r="G2255">
        <v>6.1619999999999999</v>
      </c>
      <c r="N2255" s="8"/>
    </row>
    <row r="2256" spans="1:14" x14ac:dyDescent="0.25">
      <c r="A2256" s="8">
        <v>40977</v>
      </c>
      <c r="B2256">
        <v>495951.66</v>
      </c>
      <c r="C2256">
        <v>0</v>
      </c>
      <c r="D2256">
        <v>28.16</v>
      </c>
      <c r="E2256">
        <v>3.286</v>
      </c>
      <c r="F2256">
        <v>196.96315989999999</v>
      </c>
      <c r="G2256">
        <v>6.1619999999999999</v>
      </c>
      <c r="N2256" s="8"/>
    </row>
    <row r="2257" spans="1:14" x14ac:dyDescent="0.25">
      <c r="A2257" s="8">
        <v>40984</v>
      </c>
      <c r="B2257">
        <v>520850.71</v>
      </c>
      <c r="C2257">
        <v>0</v>
      </c>
      <c r="D2257">
        <v>38.020000000000003</v>
      </c>
      <c r="E2257">
        <v>3.4860000000000002</v>
      </c>
      <c r="F2257">
        <v>197.0457208</v>
      </c>
      <c r="G2257">
        <v>6.1619999999999999</v>
      </c>
      <c r="N2257" s="8"/>
    </row>
    <row r="2258" spans="1:14" x14ac:dyDescent="0.25">
      <c r="A2258" s="8">
        <v>40991</v>
      </c>
      <c r="B2258">
        <v>493503.89</v>
      </c>
      <c r="C2258">
        <v>0</v>
      </c>
      <c r="D2258">
        <v>38.700000000000003</v>
      </c>
      <c r="E2258">
        <v>3.6640000000000001</v>
      </c>
      <c r="F2258">
        <v>197.22952340000001</v>
      </c>
      <c r="G2258">
        <v>6.1619999999999999</v>
      </c>
      <c r="N2258" s="8"/>
    </row>
    <row r="2259" spans="1:14" x14ac:dyDescent="0.25">
      <c r="A2259" s="8">
        <v>40998</v>
      </c>
      <c r="B2259">
        <v>485095.41</v>
      </c>
      <c r="C2259">
        <v>0</v>
      </c>
      <c r="D2259">
        <v>48.29</v>
      </c>
      <c r="E2259">
        <v>3.75</v>
      </c>
      <c r="F2259">
        <v>197.41332589999999</v>
      </c>
      <c r="G2259">
        <v>6.1619999999999999</v>
      </c>
      <c r="N2259" s="8"/>
    </row>
    <row r="2260" spans="1:14" x14ac:dyDescent="0.25">
      <c r="A2260" s="8">
        <v>41005</v>
      </c>
      <c r="B2260">
        <v>502662.07</v>
      </c>
      <c r="C2260">
        <v>0</v>
      </c>
      <c r="D2260">
        <v>48.93</v>
      </c>
      <c r="E2260">
        <v>3.8540000000000001</v>
      </c>
      <c r="F2260">
        <v>197.5971285</v>
      </c>
      <c r="G2260">
        <v>6.1689999999999996</v>
      </c>
      <c r="N2260" s="8"/>
    </row>
    <row r="2261" spans="1:14" x14ac:dyDescent="0.25">
      <c r="A2261" s="8">
        <v>41012</v>
      </c>
      <c r="B2261">
        <v>450756.71</v>
      </c>
      <c r="C2261">
        <v>0</v>
      </c>
      <c r="D2261">
        <v>45.83</v>
      </c>
      <c r="E2261">
        <v>3.9009999999999998</v>
      </c>
      <c r="F2261">
        <v>197.78093100000001</v>
      </c>
      <c r="G2261">
        <v>6.1689999999999996</v>
      </c>
      <c r="N2261" s="8"/>
    </row>
    <row r="2262" spans="1:14" x14ac:dyDescent="0.25">
      <c r="A2262" s="8">
        <v>41019</v>
      </c>
      <c r="B2262">
        <v>436221.26</v>
      </c>
      <c r="C2262">
        <v>0</v>
      </c>
      <c r="D2262">
        <v>43.61</v>
      </c>
      <c r="E2262">
        <v>3.9359999999999999</v>
      </c>
      <c r="F2262">
        <v>197.72273849999999</v>
      </c>
      <c r="G2262">
        <v>6.1689999999999996</v>
      </c>
      <c r="N2262" s="8"/>
    </row>
    <row r="2263" spans="1:14" x14ac:dyDescent="0.25">
      <c r="A2263" s="8">
        <v>41026</v>
      </c>
      <c r="B2263">
        <v>398445.15</v>
      </c>
      <c r="C2263">
        <v>0</v>
      </c>
      <c r="D2263">
        <v>59.69</v>
      </c>
      <c r="E2263">
        <v>3.927</v>
      </c>
      <c r="F2263">
        <v>197.664546</v>
      </c>
      <c r="G2263">
        <v>6.1689999999999996</v>
      </c>
      <c r="N2263" s="8"/>
    </row>
    <row r="2264" spans="1:14" x14ac:dyDescent="0.25">
      <c r="A2264" s="8">
        <v>41033</v>
      </c>
      <c r="B2264">
        <v>426959.62</v>
      </c>
      <c r="C2264">
        <v>0</v>
      </c>
      <c r="D2264">
        <v>51.34</v>
      </c>
      <c r="E2264">
        <v>3.903</v>
      </c>
      <c r="F2264">
        <v>197.60635339999999</v>
      </c>
      <c r="G2264">
        <v>6.1689999999999996</v>
      </c>
      <c r="N2264" s="8"/>
    </row>
    <row r="2265" spans="1:14" x14ac:dyDescent="0.25">
      <c r="A2265" s="8">
        <v>41040</v>
      </c>
      <c r="B2265">
        <v>479855</v>
      </c>
      <c r="C2265">
        <v>0</v>
      </c>
      <c r="D2265">
        <v>53.57</v>
      </c>
      <c r="E2265">
        <v>3.87</v>
      </c>
      <c r="F2265">
        <v>197.5481609</v>
      </c>
      <c r="G2265">
        <v>6.1689999999999996</v>
      </c>
      <c r="N2265" s="8"/>
    </row>
    <row r="2266" spans="1:14" x14ac:dyDescent="0.25">
      <c r="A2266" s="8">
        <v>41047</v>
      </c>
      <c r="B2266">
        <v>493506.47</v>
      </c>
      <c r="C2266">
        <v>0</v>
      </c>
      <c r="D2266">
        <v>56.74</v>
      </c>
      <c r="E2266">
        <v>3.8370000000000002</v>
      </c>
      <c r="F2266">
        <v>197.5553137</v>
      </c>
      <c r="G2266">
        <v>6.1689999999999996</v>
      </c>
      <c r="N2266" s="8"/>
    </row>
    <row r="2267" spans="1:14" x14ac:dyDescent="0.25">
      <c r="A2267" s="8">
        <v>41054</v>
      </c>
      <c r="B2267">
        <v>518045.09</v>
      </c>
      <c r="C2267">
        <v>0</v>
      </c>
      <c r="D2267">
        <v>57.36</v>
      </c>
      <c r="E2267">
        <v>3.8039999999999998</v>
      </c>
      <c r="F2267">
        <v>197.5886046</v>
      </c>
      <c r="G2267">
        <v>6.1689999999999996</v>
      </c>
      <c r="N2267" s="8"/>
    </row>
    <row r="2268" spans="1:14" x14ac:dyDescent="0.25">
      <c r="A2268" s="8">
        <v>41061</v>
      </c>
      <c r="B2268">
        <v>532311.93000000005</v>
      </c>
      <c r="C2268">
        <v>0</v>
      </c>
      <c r="D2268">
        <v>58.97</v>
      </c>
      <c r="E2268">
        <v>3.7639999999999998</v>
      </c>
      <c r="F2268">
        <v>197.6218954</v>
      </c>
      <c r="G2268">
        <v>6.1689999999999996</v>
      </c>
      <c r="N2268" s="8"/>
    </row>
    <row r="2269" spans="1:14" x14ac:dyDescent="0.25">
      <c r="A2269" s="8">
        <v>41068</v>
      </c>
      <c r="B2269">
        <v>603618.89</v>
      </c>
      <c r="C2269">
        <v>0</v>
      </c>
      <c r="D2269">
        <v>65.430000000000007</v>
      </c>
      <c r="E2269">
        <v>3.7410000000000001</v>
      </c>
      <c r="F2269">
        <v>197.6551863</v>
      </c>
      <c r="G2269">
        <v>6.1689999999999996</v>
      </c>
      <c r="N2269" s="8"/>
    </row>
    <row r="2270" spans="1:14" x14ac:dyDescent="0.25">
      <c r="A2270" s="8">
        <v>41075</v>
      </c>
      <c r="B2270">
        <v>570045.79</v>
      </c>
      <c r="C2270">
        <v>0</v>
      </c>
      <c r="D2270">
        <v>65.36</v>
      </c>
      <c r="E2270">
        <v>3.7229999999999999</v>
      </c>
      <c r="F2270">
        <v>197.69229200000001</v>
      </c>
      <c r="G2270">
        <v>6.1689999999999996</v>
      </c>
      <c r="N2270" s="8"/>
    </row>
    <row r="2271" spans="1:14" x14ac:dyDescent="0.25">
      <c r="A2271" s="8">
        <v>41082</v>
      </c>
      <c r="B2271">
        <v>581745.72</v>
      </c>
      <c r="C2271">
        <v>0</v>
      </c>
      <c r="D2271">
        <v>70.41</v>
      </c>
      <c r="E2271">
        <v>3.7349999999999999</v>
      </c>
      <c r="F2271">
        <v>197.7389345</v>
      </c>
      <c r="G2271">
        <v>6.1689999999999996</v>
      </c>
      <c r="N2271" s="8"/>
    </row>
    <row r="2272" spans="1:14" x14ac:dyDescent="0.25">
      <c r="A2272" s="8">
        <v>41089</v>
      </c>
      <c r="B2272">
        <v>570162.28</v>
      </c>
      <c r="C2272">
        <v>0</v>
      </c>
      <c r="D2272">
        <v>77.31</v>
      </c>
      <c r="E2272">
        <v>3.6930000000000001</v>
      </c>
      <c r="F2272">
        <v>197.78557699999999</v>
      </c>
      <c r="G2272">
        <v>6.1689999999999996</v>
      </c>
      <c r="N2272" s="8"/>
    </row>
    <row r="2273" spans="1:14" x14ac:dyDescent="0.25">
      <c r="A2273" s="8">
        <v>41096</v>
      </c>
      <c r="B2273">
        <v>641763.53</v>
      </c>
      <c r="C2273">
        <v>0</v>
      </c>
      <c r="D2273">
        <v>70.489999999999995</v>
      </c>
      <c r="E2273">
        <v>3.6459999999999999</v>
      </c>
      <c r="F2273">
        <v>197.83221950000001</v>
      </c>
      <c r="G2273">
        <v>6.0609999999999999</v>
      </c>
      <c r="N2273" s="8"/>
    </row>
    <row r="2274" spans="1:14" x14ac:dyDescent="0.25">
      <c r="A2274" s="8">
        <v>41103</v>
      </c>
      <c r="B2274">
        <v>569005.06000000006</v>
      </c>
      <c r="C2274">
        <v>0</v>
      </c>
      <c r="D2274">
        <v>70.290000000000006</v>
      </c>
      <c r="E2274">
        <v>3.613</v>
      </c>
      <c r="F2274">
        <v>197.87886209999999</v>
      </c>
      <c r="G2274">
        <v>6.0609999999999999</v>
      </c>
      <c r="N2274" s="8"/>
    </row>
    <row r="2275" spans="1:14" x14ac:dyDescent="0.25">
      <c r="A2275" s="8">
        <v>41110</v>
      </c>
      <c r="B2275">
        <v>565297.54</v>
      </c>
      <c r="C2275">
        <v>0</v>
      </c>
      <c r="D2275">
        <v>68.430000000000007</v>
      </c>
      <c r="E2275">
        <v>3.585</v>
      </c>
      <c r="F2275">
        <v>197.9290378</v>
      </c>
      <c r="G2275">
        <v>6.0609999999999999</v>
      </c>
      <c r="N2275" s="8"/>
    </row>
    <row r="2276" spans="1:14" x14ac:dyDescent="0.25">
      <c r="A2276" s="8">
        <v>41117</v>
      </c>
      <c r="B2276">
        <v>539337.87</v>
      </c>
      <c r="C2276">
        <v>0</v>
      </c>
      <c r="D2276">
        <v>69</v>
      </c>
      <c r="E2276">
        <v>3.57</v>
      </c>
      <c r="F2276">
        <v>197.97921360000001</v>
      </c>
      <c r="G2276">
        <v>6.0609999999999999</v>
      </c>
      <c r="N2276" s="8"/>
    </row>
    <row r="2277" spans="1:14" x14ac:dyDescent="0.25">
      <c r="A2277" s="8">
        <v>41124</v>
      </c>
      <c r="B2277">
        <v>584000.71</v>
      </c>
      <c r="C2277">
        <v>0</v>
      </c>
      <c r="D2277">
        <v>68.59</v>
      </c>
      <c r="E2277">
        <v>3.528</v>
      </c>
      <c r="F2277">
        <v>198.02938929999999</v>
      </c>
      <c r="G2277">
        <v>6.0609999999999999</v>
      </c>
      <c r="N2277" s="8"/>
    </row>
    <row r="2278" spans="1:14" x14ac:dyDescent="0.25">
      <c r="A2278" s="8">
        <v>41131</v>
      </c>
      <c r="B2278">
        <v>554036.84</v>
      </c>
      <c r="C2278">
        <v>0</v>
      </c>
      <c r="D2278">
        <v>70.239999999999995</v>
      </c>
      <c r="E2278">
        <v>3.5089999999999999</v>
      </c>
      <c r="F2278">
        <v>198.0795651</v>
      </c>
      <c r="G2278">
        <v>6.0609999999999999</v>
      </c>
      <c r="N2278" s="8"/>
    </row>
    <row r="2279" spans="1:14" x14ac:dyDescent="0.25">
      <c r="A2279" s="8">
        <v>41138</v>
      </c>
      <c r="B2279">
        <v>521896.6</v>
      </c>
      <c r="C2279">
        <v>0</v>
      </c>
      <c r="D2279">
        <v>62.07</v>
      </c>
      <c r="E2279">
        <v>3.5449999999999999</v>
      </c>
      <c r="F2279">
        <v>198.1001057</v>
      </c>
      <c r="G2279">
        <v>6.0609999999999999</v>
      </c>
      <c r="N2279" s="8"/>
    </row>
    <row r="2280" spans="1:14" x14ac:dyDescent="0.25">
      <c r="A2280" s="8">
        <v>41145</v>
      </c>
      <c r="B2280">
        <v>551152.15</v>
      </c>
      <c r="C2280">
        <v>0</v>
      </c>
      <c r="D2280">
        <v>61.44</v>
      </c>
      <c r="E2280">
        <v>3.5579999999999998</v>
      </c>
      <c r="F2280">
        <v>198.09841990000001</v>
      </c>
      <c r="G2280">
        <v>6.0609999999999999</v>
      </c>
      <c r="N2280" s="8"/>
    </row>
    <row r="2281" spans="1:14" x14ac:dyDescent="0.25">
      <c r="A2281" s="8">
        <v>41152</v>
      </c>
      <c r="B2281">
        <v>551837.31000000006</v>
      </c>
      <c r="C2281">
        <v>0</v>
      </c>
      <c r="D2281">
        <v>64.19</v>
      </c>
      <c r="E2281">
        <v>3.556</v>
      </c>
      <c r="F2281">
        <v>198.09673409999999</v>
      </c>
      <c r="G2281">
        <v>6.0609999999999999</v>
      </c>
      <c r="N2281" s="8"/>
    </row>
    <row r="2282" spans="1:14" x14ac:dyDescent="0.25">
      <c r="A2282" s="8">
        <v>41159</v>
      </c>
      <c r="B2282">
        <v>537138.57999999996</v>
      </c>
      <c r="C2282">
        <v>1</v>
      </c>
      <c r="D2282">
        <v>60.09</v>
      </c>
      <c r="E2282">
        <v>3.5960000000000001</v>
      </c>
      <c r="F2282">
        <v>198.0950484</v>
      </c>
      <c r="G2282">
        <v>6.0609999999999999</v>
      </c>
      <c r="N2282" s="8"/>
    </row>
    <row r="2283" spans="1:14" x14ac:dyDescent="0.25">
      <c r="A2283" s="8">
        <v>41166</v>
      </c>
      <c r="B2283">
        <v>526525.16</v>
      </c>
      <c r="C2283">
        <v>0</v>
      </c>
      <c r="D2283">
        <v>56.69</v>
      </c>
      <c r="E2283">
        <v>3.6589999999999998</v>
      </c>
      <c r="F2283">
        <v>198.12671839999999</v>
      </c>
      <c r="G2283">
        <v>6.0609999999999999</v>
      </c>
      <c r="N2283" s="8"/>
    </row>
    <row r="2284" spans="1:14" x14ac:dyDescent="0.25">
      <c r="A2284" s="8">
        <v>41173</v>
      </c>
      <c r="B2284">
        <v>509942.56</v>
      </c>
      <c r="C2284">
        <v>0</v>
      </c>
      <c r="D2284">
        <v>56.48</v>
      </c>
      <c r="E2284">
        <v>3.7650000000000001</v>
      </c>
      <c r="F2284">
        <v>198.35852299999999</v>
      </c>
      <c r="G2284">
        <v>6.0609999999999999</v>
      </c>
      <c r="N2284" s="8"/>
    </row>
    <row r="2285" spans="1:14" x14ac:dyDescent="0.25">
      <c r="A2285" s="8">
        <v>41180</v>
      </c>
      <c r="B2285">
        <v>469607.73</v>
      </c>
      <c r="C2285">
        <v>0</v>
      </c>
      <c r="D2285">
        <v>51.4</v>
      </c>
      <c r="E2285">
        <v>3.7890000000000001</v>
      </c>
      <c r="F2285">
        <v>198.59032759999999</v>
      </c>
      <c r="G2285">
        <v>6.0609999999999999</v>
      </c>
      <c r="N2285" s="8"/>
    </row>
    <row r="2286" spans="1:14" x14ac:dyDescent="0.25">
      <c r="A2286" s="8">
        <v>41187</v>
      </c>
      <c r="B2286">
        <v>471281.68</v>
      </c>
      <c r="C2286">
        <v>0</v>
      </c>
      <c r="D2286">
        <v>50.46</v>
      </c>
      <c r="E2286">
        <v>3.7789999999999999</v>
      </c>
      <c r="F2286">
        <v>198.8221322</v>
      </c>
      <c r="G2286">
        <v>5.8470000000000004</v>
      </c>
      <c r="N2286" s="8"/>
    </row>
    <row r="2287" spans="1:14" x14ac:dyDescent="0.25">
      <c r="A2287" s="8">
        <v>41194</v>
      </c>
      <c r="B2287">
        <v>491817.19</v>
      </c>
      <c r="C2287">
        <v>0</v>
      </c>
      <c r="D2287">
        <v>43.26</v>
      </c>
      <c r="E2287">
        <v>3.76</v>
      </c>
      <c r="F2287">
        <v>199.0539368</v>
      </c>
      <c r="G2287">
        <v>5.8470000000000004</v>
      </c>
      <c r="N2287" s="8"/>
    </row>
    <row r="2288" spans="1:14" x14ac:dyDescent="0.25">
      <c r="A2288" s="8">
        <v>41201</v>
      </c>
      <c r="B2288">
        <v>577198.97</v>
      </c>
      <c r="C2288">
        <v>0</v>
      </c>
      <c r="D2288">
        <v>40.590000000000003</v>
      </c>
      <c r="E2288">
        <v>3.75</v>
      </c>
      <c r="F2288">
        <v>199.1481963</v>
      </c>
      <c r="G2288">
        <v>5.8470000000000004</v>
      </c>
      <c r="N2288" s="8"/>
    </row>
    <row r="2289" spans="1:14" x14ac:dyDescent="0.25">
      <c r="A2289" s="8">
        <v>41208</v>
      </c>
      <c r="B2289">
        <v>475770.14</v>
      </c>
      <c r="C2289">
        <v>0</v>
      </c>
      <c r="D2289">
        <v>40.99</v>
      </c>
      <c r="E2289">
        <v>3.6859999999999999</v>
      </c>
      <c r="F2289">
        <v>199.2195317</v>
      </c>
      <c r="G2289">
        <v>5.8470000000000004</v>
      </c>
      <c r="N2289" s="8"/>
    </row>
    <row r="2290" spans="1:14" x14ac:dyDescent="0.25">
      <c r="A2290" s="8">
        <v>40214</v>
      </c>
      <c r="B2290">
        <v>789036.02</v>
      </c>
      <c r="C2290">
        <v>0</v>
      </c>
      <c r="D2290">
        <v>23.11</v>
      </c>
      <c r="E2290">
        <v>2.6659999999999999</v>
      </c>
      <c r="F2290">
        <v>126.4420645</v>
      </c>
      <c r="G2290">
        <v>6.548</v>
      </c>
      <c r="N2290" s="8"/>
    </row>
    <row r="2291" spans="1:14" x14ac:dyDescent="0.25">
      <c r="A2291" s="8">
        <v>40221</v>
      </c>
      <c r="B2291">
        <v>841951.91</v>
      </c>
      <c r="C2291">
        <v>1</v>
      </c>
      <c r="D2291">
        <v>18.36</v>
      </c>
      <c r="E2291">
        <v>2.6709999999999998</v>
      </c>
      <c r="F2291">
        <v>126.49625810000001</v>
      </c>
      <c r="G2291">
        <v>6.548</v>
      </c>
      <c r="N2291" s="8"/>
    </row>
    <row r="2292" spans="1:14" x14ac:dyDescent="0.25">
      <c r="A2292" s="8">
        <v>40228</v>
      </c>
      <c r="B2292">
        <v>800714</v>
      </c>
      <c r="C2292">
        <v>0</v>
      </c>
      <c r="D2292">
        <v>25.06</v>
      </c>
      <c r="E2292">
        <v>2.6539999999999999</v>
      </c>
      <c r="F2292">
        <v>126.5262857</v>
      </c>
      <c r="G2292">
        <v>6.548</v>
      </c>
      <c r="N2292" s="8"/>
    </row>
    <row r="2293" spans="1:14" x14ac:dyDescent="0.25">
      <c r="A2293" s="8">
        <v>40235</v>
      </c>
      <c r="B2293">
        <v>749549.55</v>
      </c>
      <c r="C2293">
        <v>0</v>
      </c>
      <c r="D2293">
        <v>15.64</v>
      </c>
      <c r="E2293">
        <v>2.6669999999999998</v>
      </c>
      <c r="F2293">
        <v>126.5522857</v>
      </c>
      <c r="G2293">
        <v>6.548</v>
      </c>
      <c r="N2293" s="8"/>
    </row>
    <row r="2294" spans="1:14" x14ac:dyDescent="0.25">
      <c r="A2294" s="8">
        <v>40242</v>
      </c>
      <c r="B2294">
        <v>783300.05</v>
      </c>
      <c r="C2294">
        <v>0</v>
      </c>
      <c r="D2294">
        <v>31.58</v>
      </c>
      <c r="E2294">
        <v>2.681</v>
      </c>
      <c r="F2294">
        <v>126.5782857</v>
      </c>
      <c r="G2294">
        <v>6.548</v>
      </c>
      <c r="N2294" s="8"/>
    </row>
    <row r="2295" spans="1:14" x14ac:dyDescent="0.25">
      <c r="A2295" s="8">
        <v>40249</v>
      </c>
      <c r="B2295">
        <v>763961.82</v>
      </c>
      <c r="C2295">
        <v>0</v>
      </c>
      <c r="D2295">
        <v>29.71</v>
      </c>
      <c r="E2295">
        <v>2.7330000000000001</v>
      </c>
      <c r="F2295">
        <v>126.60428570000001</v>
      </c>
      <c r="G2295">
        <v>6.548</v>
      </c>
      <c r="N2295" s="8"/>
    </row>
    <row r="2296" spans="1:14" x14ac:dyDescent="0.25">
      <c r="A2296" s="8">
        <v>40256</v>
      </c>
      <c r="B2296">
        <v>752034.52</v>
      </c>
      <c r="C2296">
        <v>0</v>
      </c>
      <c r="D2296">
        <v>33.96</v>
      </c>
      <c r="E2296">
        <v>2.782</v>
      </c>
      <c r="F2296">
        <v>126.6066452</v>
      </c>
      <c r="G2296">
        <v>6.548</v>
      </c>
      <c r="N2296" s="8"/>
    </row>
    <row r="2297" spans="1:14" x14ac:dyDescent="0.25">
      <c r="A2297" s="8">
        <v>40263</v>
      </c>
      <c r="B2297">
        <v>793097.64</v>
      </c>
      <c r="C2297">
        <v>0</v>
      </c>
      <c r="D2297">
        <v>35.590000000000003</v>
      </c>
      <c r="E2297">
        <v>2.819</v>
      </c>
      <c r="F2297">
        <v>126.6050645</v>
      </c>
      <c r="G2297">
        <v>6.548</v>
      </c>
      <c r="N2297" s="8"/>
    </row>
    <row r="2298" spans="1:14" x14ac:dyDescent="0.25">
      <c r="A2298" s="8">
        <v>40270</v>
      </c>
      <c r="B2298">
        <v>848521.17</v>
      </c>
      <c r="C2298">
        <v>0</v>
      </c>
      <c r="D2298">
        <v>36.94</v>
      </c>
      <c r="E2298">
        <v>2.8420000000000001</v>
      </c>
      <c r="F2298">
        <v>126.6034839</v>
      </c>
      <c r="G2298">
        <v>6.6349999999999998</v>
      </c>
      <c r="N2298" s="8"/>
    </row>
    <row r="2299" spans="1:14" x14ac:dyDescent="0.25">
      <c r="A2299" s="8">
        <v>40277</v>
      </c>
      <c r="B2299">
        <v>770228.02</v>
      </c>
      <c r="C2299">
        <v>0</v>
      </c>
      <c r="D2299">
        <v>34.049999999999997</v>
      </c>
      <c r="E2299">
        <v>2.8769999999999998</v>
      </c>
      <c r="F2299">
        <v>126.6019032</v>
      </c>
      <c r="G2299">
        <v>6.6349999999999998</v>
      </c>
      <c r="N2299" s="8"/>
    </row>
    <row r="2300" spans="1:14" x14ac:dyDescent="0.25">
      <c r="A2300" s="8">
        <v>40284</v>
      </c>
      <c r="B2300">
        <v>757738.76</v>
      </c>
      <c r="C2300">
        <v>0</v>
      </c>
      <c r="D2300">
        <v>45.22</v>
      </c>
      <c r="E2300">
        <v>2.915</v>
      </c>
      <c r="F2300">
        <v>126.5621</v>
      </c>
      <c r="G2300">
        <v>6.6349999999999998</v>
      </c>
      <c r="N2300" s="8"/>
    </row>
    <row r="2301" spans="1:14" x14ac:dyDescent="0.25">
      <c r="A2301" s="8">
        <v>40291</v>
      </c>
      <c r="B2301">
        <v>977790.83</v>
      </c>
      <c r="C2301">
        <v>0</v>
      </c>
      <c r="D2301">
        <v>52.25</v>
      </c>
      <c r="E2301">
        <v>2.9359999999999999</v>
      </c>
      <c r="F2301">
        <v>126.4713333</v>
      </c>
      <c r="G2301">
        <v>6.6349999999999998</v>
      </c>
      <c r="N2301" s="8"/>
    </row>
    <row r="2302" spans="1:14" x14ac:dyDescent="0.25">
      <c r="A2302" s="8">
        <v>40298</v>
      </c>
      <c r="B2302">
        <v>807798.73</v>
      </c>
      <c r="C2302">
        <v>0</v>
      </c>
      <c r="D2302">
        <v>43.82</v>
      </c>
      <c r="E2302">
        <v>2.9409999999999998</v>
      </c>
      <c r="F2302">
        <v>126.3805667</v>
      </c>
      <c r="G2302">
        <v>6.6349999999999998</v>
      </c>
      <c r="N2302" s="8"/>
    </row>
    <row r="2303" spans="1:14" x14ac:dyDescent="0.25">
      <c r="A2303" s="8">
        <v>40305</v>
      </c>
      <c r="B2303">
        <v>843848.65</v>
      </c>
      <c r="C2303">
        <v>0</v>
      </c>
      <c r="D2303">
        <v>40.26</v>
      </c>
      <c r="E2303">
        <v>2.948</v>
      </c>
      <c r="F2303">
        <v>126.2898</v>
      </c>
      <c r="G2303">
        <v>6.6349999999999998</v>
      </c>
      <c r="N2303" s="8"/>
    </row>
    <row r="2304" spans="1:14" x14ac:dyDescent="0.25">
      <c r="A2304" s="8">
        <v>40312</v>
      </c>
      <c r="B2304">
        <v>813756.09</v>
      </c>
      <c r="C2304">
        <v>0</v>
      </c>
      <c r="D2304">
        <v>47.28</v>
      </c>
      <c r="E2304">
        <v>2.9620000000000002</v>
      </c>
      <c r="F2304">
        <v>126.2085484</v>
      </c>
      <c r="G2304">
        <v>6.6349999999999998</v>
      </c>
      <c r="N2304" s="8"/>
    </row>
    <row r="2305" spans="1:14" x14ac:dyDescent="0.25">
      <c r="A2305" s="8">
        <v>40319</v>
      </c>
      <c r="B2305">
        <v>826626.5</v>
      </c>
      <c r="C2305">
        <v>0</v>
      </c>
      <c r="D2305">
        <v>53.94</v>
      </c>
      <c r="E2305">
        <v>2.95</v>
      </c>
      <c r="F2305">
        <v>126.1843871</v>
      </c>
      <c r="G2305">
        <v>6.6349999999999998</v>
      </c>
      <c r="N2305" s="8"/>
    </row>
    <row r="2306" spans="1:14" x14ac:dyDescent="0.25">
      <c r="A2306" s="8">
        <v>40326</v>
      </c>
      <c r="B2306">
        <v>872817.62</v>
      </c>
      <c r="C2306">
        <v>0</v>
      </c>
      <c r="D2306">
        <v>48.19</v>
      </c>
      <c r="E2306">
        <v>2.9079999999999999</v>
      </c>
      <c r="F2306">
        <v>126.16022580000001</v>
      </c>
      <c r="G2306">
        <v>6.6349999999999998</v>
      </c>
      <c r="N2306" s="8"/>
    </row>
    <row r="2307" spans="1:14" x14ac:dyDescent="0.25">
      <c r="A2307" s="8">
        <v>40333</v>
      </c>
      <c r="B2307">
        <v>876902.87</v>
      </c>
      <c r="C2307">
        <v>0</v>
      </c>
      <c r="D2307">
        <v>53.79</v>
      </c>
      <c r="E2307">
        <v>2.871</v>
      </c>
      <c r="F2307">
        <v>126.1360645</v>
      </c>
      <c r="G2307">
        <v>6.6349999999999998</v>
      </c>
      <c r="N2307" s="8"/>
    </row>
    <row r="2308" spans="1:14" x14ac:dyDescent="0.25">
      <c r="A2308" s="8">
        <v>40340</v>
      </c>
      <c r="B2308">
        <v>845252.21</v>
      </c>
      <c r="C2308">
        <v>0</v>
      </c>
      <c r="D2308">
        <v>57.14</v>
      </c>
      <c r="E2308">
        <v>2.8410000000000002</v>
      </c>
      <c r="F2308">
        <v>126.1119032</v>
      </c>
      <c r="G2308">
        <v>6.6349999999999998</v>
      </c>
      <c r="N2308" s="8"/>
    </row>
    <row r="2309" spans="1:14" x14ac:dyDescent="0.25">
      <c r="A2309" s="8">
        <v>40347</v>
      </c>
      <c r="B2309">
        <v>877996.27</v>
      </c>
      <c r="C2309">
        <v>0</v>
      </c>
      <c r="D2309">
        <v>54.94</v>
      </c>
      <c r="E2309">
        <v>2.819</v>
      </c>
      <c r="F2309">
        <v>126.114</v>
      </c>
      <c r="G2309">
        <v>6.6349999999999998</v>
      </c>
      <c r="N2309" s="8"/>
    </row>
    <row r="2310" spans="1:14" x14ac:dyDescent="0.25">
      <c r="A2310" s="8">
        <v>40354</v>
      </c>
      <c r="B2310">
        <v>893995.44</v>
      </c>
      <c r="C2310">
        <v>0</v>
      </c>
      <c r="D2310">
        <v>62.64</v>
      </c>
      <c r="E2310">
        <v>2.82</v>
      </c>
      <c r="F2310">
        <v>126.1266</v>
      </c>
      <c r="G2310">
        <v>6.6349999999999998</v>
      </c>
      <c r="N2310" s="8"/>
    </row>
    <row r="2311" spans="1:14" x14ac:dyDescent="0.25">
      <c r="A2311" s="8">
        <v>40361</v>
      </c>
      <c r="B2311">
        <v>958875.37</v>
      </c>
      <c r="C2311">
        <v>0</v>
      </c>
      <c r="D2311">
        <v>68.98</v>
      </c>
      <c r="E2311">
        <v>2.8140000000000001</v>
      </c>
      <c r="F2311">
        <v>126.1392</v>
      </c>
      <c r="G2311">
        <v>6.6970000000000001</v>
      </c>
      <c r="N2311" s="8"/>
    </row>
    <row r="2312" spans="1:14" x14ac:dyDescent="0.25">
      <c r="A2312" s="8">
        <v>40368</v>
      </c>
      <c r="B2312">
        <v>836915.92</v>
      </c>
      <c r="C2312">
        <v>0</v>
      </c>
      <c r="D2312">
        <v>62.41</v>
      </c>
      <c r="E2312">
        <v>2.802</v>
      </c>
      <c r="F2312">
        <v>126.15179999999999</v>
      </c>
      <c r="G2312">
        <v>6.6970000000000001</v>
      </c>
      <c r="N2312" s="8"/>
    </row>
    <row r="2313" spans="1:14" x14ac:dyDescent="0.25">
      <c r="A2313" s="8">
        <v>40375</v>
      </c>
      <c r="B2313">
        <v>876591.41</v>
      </c>
      <c r="C2313">
        <v>0</v>
      </c>
      <c r="D2313">
        <v>65.66</v>
      </c>
      <c r="E2313">
        <v>2.7909999999999999</v>
      </c>
      <c r="F2313">
        <v>126.1498065</v>
      </c>
      <c r="G2313">
        <v>6.6970000000000001</v>
      </c>
      <c r="N2313" s="8"/>
    </row>
    <row r="2314" spans="1:14" x14ac:dyDescent="0.25">
      <c r="A2314" s="8">
        <v>40382</v>
      </c>
      <c r="B2314">
        <v>893504.87</v>
      </c>
      <c r="C2314">
        <v>0</v>
      </c>
      <c r="D2314">
        <v>69.66</v>
      </c>
      <c r="E2314">
        <v>2.7970000000000002</v>
      </c>
      <c r="F2314">
        <v>126.1283548</v>
      </c>
      <c r="G2314">
        <v>6.6970000000000001</v>
      </c>
      <c r="N2314" s="8"/>
    </row>
    <row r="2315" spans="1:14" x14ac:dyDescent="0.25">
      <c r="A2315" s="8">
        <v>40389</v>
      </c>
      <c r="B2315">
        <v>833517.19</v>
      </c>
      <c r="C2315">
        <v>0</v>
      </c>
      <c r="D2315">
        <v>69.959999999999994</v>
      </c>
      <c r="E2315">
        <v>2.7970000000000002</v>
      </c>
      <c r="F2315">
        <v>126.1069032</v>
      </c>
      <c r="G2315">
        <v>6.6970000000000001</v>
      </c>
      <c r="N2315" s="8"/>
    </row>
    <row r="2316" spans="1:14" x14ac:dyDescent="0.25">
      <c r="A2316" s="8">
        <v>40396</v>
      </c>
      <c r="B2316">
        <v>795301.17</v>
      </c>
      <c r="C2316">
        <v>0</v>
      </c>
      <c r="D2316">
        <v>70.53</v>
      </c>
      <c r="E2316">
        <v>2.802</v>
      </c>
      <c r="F2316">
        <v>126.0854516</v>
      </c>
      <c r="G2316">
        <v>6.6970000000000001</v>
      </c>
      <c r="N2316" s="8"/>
    </row>
    <row r="2317" spans="1:14" x14ac:dyDescent="0.25">
      <c r="A2317" s="8">
        <v>40403</v>
      </c>
      <c r="B2317">
        <v>759995.18</v>
      </c>
      <c r="C2317">
        <v>0</v>
      </c>
      <c r="D2317">
        <v>65.17</v>
      </c>
      <c r="E2317">
        <v>2.8370000000000002</v>
      </c>
      <c r="F2317">
        <v>126.06399999999999</v>
      </c>
      <c r="G2317">
        <v>6.6970000000000001</v>
      </c>
      <c r="N2317" s="8"/>
    </row>
    <row r="2318" spans="1:14" x14ac:dyDescent="0.25">
      <c r="A2318" s="8">
        <v>40410</v>
      </c>
      <c r="B2318">
        <v>783929.7</v>
      </c>
      <c r="C2318">
        <v>0</v>
      </c>
      <c r="D2318">
        <v>67.040000000000006</v>
      </c>
      <c r="E2318">
        <v>2.85</v>
      </c>
      <c r="F2318">
        <v>126.0766452</v>
      </c>
      <c r="G2318">
        <v>6.6970000000000001</v>
      </c>
      <c r="N2318" s="8"/>
    </row>
    <row r="2319" spans="1:14" x14ac:dyDescent="0.25">
      <c r="A2319" s="8">
        <v>40417</v>
      </c>
      <c r="B2319">
        <v>802583.89</v>
      </c>
      <c r="C2319">
        <v>0</v>
      </c>
      <c r="D2319">
        <v>65.03</v>
      </c>
      <c r="E2319">
        <v>2.8540000000000001</v>
      </c>
      <c r="F2319">
        <v>126.0892903</v>
      </c>
      <c r="G2319">
        <v>6.6970000000000001</v>
      </c>
      <c r="N2319" s="8"/>
    </row>
    <row r="2320" spans="1:14" x14ac:dyDescent="0.25">
      <c r="A2320" s="8">
        <v>40424</v>
      </c>
      <c r="B2320">
        <v>834373.73</v>
      </c>
      <c r="C2320">
        <v>0</v>
      </c>
      <c r="D2320">
        <v>57.86</v>
      </c>
      <c r="E2320">
        <v>2.8679999999999999</v>
      </c>
      <c r="F2320">
        <v>126.1019355</v>
      </c>
      <c r="G2320">
        <v>6.6970000000000001</v>
      </c>
      <c r="N2320" s="8"/>
    </row>
    <row r="2321" spans="1:14" x14ac:dyDescent="0.25">
      <c r="A2321" s="8">
        <v>40431</v>
      </c>
      <c r="B2321">
        <v>1200888.28</v>
      </c>
      <c r="C2321">
        <v>1</v>
      </c>
      <c r="D2321">
        <v>56.28</v>
      </c>
      <c r="E2321">
        <v>2.87</v>
      </c>
      <c r="F2321">
        <v>126.1145806</v>
      </c>
      <c r="G2321">
        <v>6.6970000000000001</v>
      </c>
      <c r="N2321" s="8"/>
    </row>
    <row r="2322" spans="1:14" x14ac:dyDescent="0.25">
      <c r="A2322" s="8">
        <v>40438</v>
      </c>
      <c r="B2322">
        <v>871264.25</v>
      </c>
      <c r="C2322">
        <v>0</v>
      </c>
      <c r="D2322">
        <v>58.53</v>
      </c>
      <c r="E2322">
        <v>2.875</v>
      </c>
      <c r="F2322">
        <v>126.1454667</v>
      </c>
      <c r="G2322">
        <v>6.6970000000000001</v>
      </c>
      <c r="N2322" s="8"/>
    </row>
    <row r="2323" spans="1:14" x14ac:dyDescent="0.25">
      <c r="A2323" s="8">
        <v>40445</v>
      </c>
      <c r="B2323">
        <v>852876.29</v>
      </c>
      <c r="C2323">
        <v>0</v>
      </c>
      <c r="D2323">
        <v>58.39</v>
      </c>
      <c r="E2323">
        <v>2.8719999999999999</v>
      </c>
      <c r="F2323">
        <v>126.1900333</v>
      </c>
      <c r="G2323">
        <v>6.6970000000000001</v>
      </c>
      <c r="N2323" s="8"/>
    </row>
    <row r="2324" spans="1:14" x14ac:dyDescent="0.25">
      <c r="A2324" s="8">
        <v>40452</v>
      </c>
      <c r="B2324">
        <v>829207.27</v>
      </c>
      <c r="C2324">
        <v>0</v>
      </c>
      <c r="D2324">
        <v>60.07</v>
      </c>
      <c r="E2324">
        <v>2.8530000000000002</v>
      </c>
      <c r="F2324">
        <v>126.2346</v>
      </c>
      <c r="G2324">
        <v>6.8849999999999998</v>
      </c>
      <c r="N2324" s="8"/>
    </row>
    <row r="2325" spans="1:14" x14ac:dyDescent="0.25">
      <c r="A2325" s="8">
        <v>40459</v>
      </c>
      <c r="B2325">
        <v>827738.06</v>
      </c>
      <c r="C2325">
        <v>0</v>
      </c>
      <c r="D2325">
        <v>58.06</v>
      </c>
      <c r="E2325">
        <v>2.8410000000000002</v>
      </c>
      <c r="F2325">
        <v>126.2791667</v>
      </c>
      <c r="G2325">
        <v>6.8849999999999998</v>
      </c>
      <c r="N2325" s="8"/>
    </row>
    <row r="2326" spans="1:14" x14ac:dyDescent="0.25">
      <c r="A2326" s="8">
        <v>40466</v>
      </c>
      <c r="B2326">
        <v>838297.32</v>
      </c>
      <c r="C2326">
        <v>0</v>
      </c>
      <c r="D2326">
        <v>47.35</v>
      </c>
      <c r="E2326">
        <v>2.8450000000000002</v>
      </c>
      <c r="F2326">
        <v>126.32667739999999</v>
      </c>
      <c r="G2326">
        <v>6.8849999999999998</v>
      </c>
      <c r="N2326" s="8"/>
    </row>
    <row r="2327" spans="1:14" x14ac:dyDescent="0.25">
      <c r="A2327" s="8">
        <v>40473</v>
      </c>
      <c r="B2327">
        <v>815093.76000000001</v>
      </c>
      <c r="C2327">
        <v>0</v>
      </c>
      <c r="D2327">
        <v>47.95</v>
      </c>
      <c r="E2327">
        <v>2.8490000000000002</v>
      </c>
      <c r="F2327">
        <v>126.3815484</v>
      </c>
      <c r="G2327">
        <v>6.8849999999999998</v>
      </c>
      <c r="N2327" s="8"/>
    </row>
    <row r="2328" spans="1:14" x14ac:dyDescent="0.25">
      <c r="A2328" s="8">
        <v>40480</v>
      </c>
      <c r="B2328">
        <v>861941.25</v>
      </c>
      <c r="C2328">
        <v>0</v>
      </c>
      <c r="D2328">
        <v>39.869999999999997</v>
      </c>
      <c r="E2328">
        <v>2.8410000000000002</v>
      </c>
      <c r="F2328">
        <v>126.43641940000001</v>
      </c>
      <c r="G2328">
        <v>6.8849999999999998</v>
      </c>
      <c r="N2328" s="8"/>
    </row>
    <row r="2329" spans="1:14" x14ac:dyDescent="0.25">
      <c r="A2329" s="8">
        <v>40487</v>
      </c>
      <c r="B2329">
        <v>818434.49</v>
      </c>
      <c r="C2329">
        <v>0</v>
      </c>
      <c r="D2329">
        <v>42.54</v>
      </c>
      <c r="E2329">
        <v>2.831</v>
      </c>
      <c r="F2329">
        <v>126.4912903</v>
      </c>
      <c r="G2329">
        <v>6.8849999999999998</v>
      </c>
      <c r="N2329" s="8"/>
    </row>
    <row r="2330" spans="1:14" x14ac:dyDescent="0.25">
      <c r="A2330" s="8">
        <v>40494</v>
      </c>
      <c r="B2330">
        <v>855459.96</v>
      </c>
      <c r="C2330">
        <v>0</v>
      </c>
      <c r="D2330">
        <v>36.32</v>
      </c>
      <c r="E2330">
        <v>2.831</v>
      </c>
      <c r="F2330">
        <v>126.54616129999999</v>
      </c>
      <c r="G2330">
        <v>6.8849999999999998</v>
      </c>
      <c r="N2330" s="8"/>
    </row>
    <row r="2331" spans="1:14" x14ac:dyDescent="0.25">
      <c r="A2331" s="8">
        <v>40501</v>
      </c>
      <c r="B2331">
        <v>782252.57</v>
      </c>
      <c r="C2331">
        <v>0</v>
      </c>
      <c r="D2331">
        <v>36.31</v>
      </c>
      <c r="E2331">
        <v>2.8420000000000001</v>
      </c>
      <c r="F2331">
        <v>126.60720000000001</v>
      </c>
      <c r="G2331">
        <v>6.8849999999999998</v>
      </c>
      <c r="N2331" s="8"/>
    </row>
    <row r="2332" spans="1:14" x14ac:dyDescent="0.25">
      <c r="A2332" s="8">
        <v>40508</v>
      </c>
      <c r="B2332">
        <v>1005448.76</v>
      </c>
      <c r="C2332">
        <v>1</v>
      </c>
      <c r="D2332">
        <v>19.03</v>
      </c>
      <c r="E2332">
        <v>2.83</v>
      </c>
      <c r="F2332">
        <v>126.66926669999999</v>
      </c>
      <c r="G2332">
        <v>6.8849999999999998</v>
      </c>
      <c r="N2332" s="8"/>
    </row>
    <row r="2333" spans="1:14" x14ac:dyDescent="0.25">
      <c r="A2333" s="8">
        <v>40515</v>
      </c>
      <c r="B2333">
        <v>926573.81</v>
      </c>
      <c r="C2333">
        <v>0</v>
      </c>
      <c r="D2333">
        <v>22.47</v>
      </c>
      <c r="E2333">
        <v>2.8119999999999998</v>
      </c>
      <c r="F2333">
        <v>126.7313333</v>
      </c>
      <c r="G2333">
        <v>6.8849999999999998</v>
      </c>
      <c r="N2333" s="8"/>
    </row>
    <row r="2334" spans="1:14" x14ac:dyDescent="0.25">
      <c r="A2334" s="8">
        <v>40522</v>
      </c>
      <c r="B2334">
        <v>962475.55</v>
      </c>
      <c r="C2334">
        <v>0</v>
      </c>
      <c r="D2334">
        <v>31.64</v>
      </c>
      <c r="E2334">
        <v>2.8170000000000002</v>
      </c>
      <c r="F2334">
        <v>126.79340000000001</v>
      </c>
      <c r="G2334">
        <v>6.8849999999999998</v>
      </c>
      <c r="N2334" s="8"/>
    </row>
    <row r="2335" spans="1:14" x14ac:dyDescent="0.25">
      <c r="A2335" s="8">
        <v>40529</v>
      </c>
      <c r="B2335">
        <v>1049372.3799999999</v>
      </c>
      <c r="C2335">
        <v>0</v>
      </c>
      <c r="D2335">
        <v>25.13</v>
      </c>
      <c r="E2335">
        <v>2.8420000000000001</v>
      </c>
      <c r="F2335">
        <v>126.8794839</v>
      </c>
      <c r="G2335">
        <v>6.8849999999999998</v>
      </c>
      <c r="N2335" s="8"/>
    </row>
    <row r="2336" spans="1:14" x14ac:dyDescent="0.25">
      <c r="A2336" s="8">
        <v>40536</v>
      </c>
      <c r="B2336">
        <v>1309226.79</v>
      </c>
      <c r="C2336">
        <v>0</v>
      </c>
      <c r="D2336">
        <v>26.58</v>
      </c>
      <c r="E2336">
        <v>2.8460000000000001</v>
      </c>
      <c r="F2336">
        <v>126.9835806</v>
      </c>
      <c r="G2336">
        <v>6.8849999999999998</v>
      </c>
      <c r="N2336" s="8"/>
    </row>
    <row r="2337" spans="1:14" x14ac:dyDescent="0.25">
      <c r="A2337" s="8">
        <v>40543</v>
      </c>
      <c r="B2337">
        <v>635862.55000000005</v>
      </c>
      <c r="C2337">
        <v>1</v>
      </c>
      <c r="D2337">
        <v>20.79</v>
      </c>
      <c r="E2337">
        <v>2.8679999999999999</v>
      </c>
      <c r="F2337">
        <v>127.0876774</v>
      </c>
      <c r="G2337">
        <v>6.8849999999999998</v>
      </c>
      <c r="N2337" s="8"/>
    </row>
    <row r="2338" spans="1:14" x14ac:dyDescent="0.25">
      <c r="A2338" s="8">
        <v>40550</v>
      </c>
      <c r="B2338">
        <v>1083071.1399999999</v>
      </c>
      <c r="C2338">
        <v>0</v>
      </c>
      <c r="D2338">
        <v>6.23</v>
      </c>
      <c r="E2338">
        <v>2.891</v>
      </c>
      <c r="F2338">
        <v>127.1917742</v>
      </c>
      <c r="G2338">
        <v>6.8659999999999997</v>
      </c>
      <c r="N2338" s="8"/>
    </row>
    <row r="2339" spans="1:14" x14ac:dyDescent="0.25">
      <c r="A2339" s="8">
        <v>40557</v>
      </c>
      <c r="B2339">
        <v>758510.36</v>
      </c>
      <c r="C2339">
        <v>0</v>
      </c>
      <c r="D2339">
        <v>16.57</v>
      </c>
      <c r="E2339">
        <v>2.903</v>
      </c>
      <c r="F2339">
        <v>127.30093549999999</v>
      </c>
      <c r="G2339">
        <v>6.8659999999999997</v>
      </c>
      <c r="N2339" s="8"/>
    </row>
    <row r="2340" spans="1:14" x14ac:dyDescent="0.25">
      <c r="A2340" s="8">
        <v>40564</v>
      </c>
      <c r="B2340">
        <v>755804.37</v>
      </c>
      <c r="C2340">
        <v>0</v>
      </c>
      <c r="D2340">
        <v>26.62</v>
      </c>
      <c r="E2340">
        <v>2.9340000000000002</v>
      </c>
      <c r="F2340">
        <v>127.4404839</v>
      </c>
      <c r="G2340">
        <v>6.8659999999999997</v>
      </c>
      <c r="N2340" s="8"/>
    </row>
    <row r="2341" spans="1:14" x14ac:dyDescent="0.25">
      <c r="A2341" s="8">
        <v>40571</v>
      </c>
      <c r="B2341">
        <v>736335.69</v>
      </c>
      <c r="C2341">
        <v>0</v>
      </c>
      <c r="D2341">
        <v>22.16</v>
      </c>
      <c r="E2341">
        <v>2.96</v>
      </c>
      <c r="F2341">
        <v>127.5800323</v>
      </c>
      <c r="G2341">
        <v>6.8659999999999997</v>
      </c>
      <c r="N2341" s="8"/>
    </row>
    <row r="2342" spans="1:14" x14ac:dyDescent="0.25">
      <c r="A2342" s="8">
        <v>40578</v>
      </c>
      <c r="B2342">
        <v>816603.05</v>
      </c>
      <c r="C2342">
        <v>0</v>
      </c>
      <c r="D2342">
        <v>11.29</v>
      </c>
      <c r="E2342">
        <v>2.9740000000000002</v>
      </c>
      <c r="F2342">
        <v>127.7195806</v>
      </c>
      <c r="G2342">
        <v>6.8659999999999997</v>
      </c>
      <c r="N2342" s="8"/>
    </row>
    <row r="2343" spans="1:14" x14ac:dyDescent="0.25">
      <c r="A2343" s="8">
        <v>40585</v>
      </c>
      <c r="B2343">
        <v>813211.46</v>
      </c>
      <c r="C2343">
        <v>1</v>
      </c>
      <c r="D2343">
        <v>14.19</v>
      </c>
      <c r="E2343">
        <v>3.0339999999999998</v>
      </c>
      <c r="F2343">
        <v>127.859129</v>
      </c>
      <c r="G2343">
        <v>6.8659999999999997</v>
      </c>
      <c r="N2343" s="8"/>
    </row>
    <row r="2344" spans="1:14" x14ac:dyDescent="0.25">
      <c r="A2344" s="8">
        <v>40592</v>
      </c>
      <c r="B2344">
        <v>860962.91</v>
      </c>
      <c r="C2344">
        <v>0</v>
      </c>
      <c r="D2344">
        <v>26.86</v>
      </c>
      <c r="E2344">
        <v>3.0619999999999998</v>
      </c>
      <c r="F2344">
        <v>127.99525</v>
      </c>
      <c r="G2344">
        <v>6.8659999999999997</v>
      </c>
      <c r="N2344" s="8"/>
    </row>
    <row r="2345" spans="1:14" x14ac:dyDescent="0.25">
      <c r="A2345" s="8">
        <v>40599</v>
      </c>
      <c r="B2345">
        <v>767256.53</v>
      </c>
      <c r="C2345">
        <v>0</v>
      </c>
      <c r="D2345">
        <v>24.36</v>
      </c>
      <c r="E2345">
        <v>3.12</v>
      </c>
      <c r="F2345">
        <v>128.13</v>
      </c>
      <c r="G2345">
        <v>6.8659999999999997</v>
      </c>
      <c r="N2345" s="8"/>
    </row>
    <row r="2346" spans="1:14" x14ac:dyDescent="0.25">
      <c r="A2346" s="8">
        <v>40606</v>
      </c>
      <c r="B2346">
        <v>816138.33</v>
      </c>
      <c r="C2346">
        <v>0</v>
      </c>
      <c r="D2346">
        <v>24.21</v>
      </c>
      <c r="E2346">
        <v>3.23</v>
      </c>
      <c r="F2346">
        <v>128.26474999999999</v>
      </c>
      <c r="G2346">
        <v>6.8659999999999997</v>
      </c>
      <c r="N2346" s="8"/>
    </row>
    <row r="2347" spans="1:14" x14ac:dyDescent="0.25">
      <c r="A2347" s="8">
        <v>40613</v>
      </c>
      <c r="B2347">
        <v>779602.36</v>
      </c>
      <c r="C2347">
        <v>0</v>
      </c>
      <c r="D2347">
        <v>32.42</v>
      </c>
      <c r="E2347">
        <v>3.3460000000000001</v>
      </c>
      <c r="F2347">
        <v>128.39949999999999</v>
      </c>
      <c r="G2347">
        <v>6.8659999999999997</v>
      </c>
      <c r="N2347" s="8"/>
    </row>
    <row r="2348" spans="1:14" x14ac:dyDescent="0.25">
      <c r="A2348" s="8">
        <v>40620</v>
      </c>
      <c r="B2348">
        <v>778436.81</v>
      </c>
      <c r="C2348">
        <v>0</v>
      </c>
      <c r="D2348">
        <v>34.479999999999997</v>
      </c>
      <c r="E2348">
        <v>3.407</v>
      </c>
      <c r="F2348">
        <v>128.5121935</v>
      </c>
      <c r="G2348">
        <v>6.8659999999999997</v>
      </c>
      <c r="N2348" s="8"/>
    </row>
    <row r="2349" spans="1:14" x14ac:dyDescent="0.25">
      <c r="A2349" s="8">
        <v>40627</v>
      </c>
      <c r="B2349">
        <v>781267.76</v>
      </c>
      <c r="C2349">
        <v>0</v>
      </c>
      <c r="D2349">
        <v>36.71</v>
      </c>
      <c r="E2349">
        <v>3.4350000000000001</v>
      </c>
      <c r="F2349">
        <v>128.61606449999999</v>
      </c>
      <c r="G2349">
        <v>6.8659999999999997</v>
      </c>
      <c r="N2349" s="8"/>
    </row>
    <row r="2350" spans="1:14" x14ac:dyDescent="0.25">
      <c r="A2350" s="8">
        <v>40634</v>
      </c>
      <c r="B2350">
        <v>795859.23</v>
      </c>
      <c r="C2350">
        <v>0</v>
      </c>
      <c r="D2350">
        <v>39.380000000000003</v>
      </c>
      <c r="E2350">
        <v>3.4870000000000001</v>
      </c>
      <c r="F2350">
        <v>128.71993549999999</v>
      </c>
      <c r="G2350">
        <v>6.774</v>
      </c>
      <c r="N2350" s="8"/>
    </row>
    <row r="2351" spans="1:14" x14ac:dyDescent="0.25">
      <c r="A2351" s="8">
        <v>40641</v>
      </c>
      <c r="B2351">
        <v>811855.72</v>
      </c>
      <c r="C2351">
        <v>0</v>
      </c>
      <c r="D2351">
        <v>39.159999999999997</v>
      </c>
      <c r="E2351">
        <v>3.5470000000000002</v>
      </c>
      <c r="F2351">
        <v>128.82380649999999</v>
      </c>
      <c r="G2351">
        <v>6.774</v>
      </c>
      <c r="N2351" s="8"/>
    </row>
    <row r="2352" spans="1:14" x14ac:dyDescent="0.25">
      <c r="A2352" s="8">
        <v>40648</v>
      </c>
      <c r="B2352">
        <v>825283.43</v>
      </c>
      <c r="C2352">
        <v>0</v>
      </c>
      <c r="D2352">
        <v>39.979999999999997</v>
      </c>
      <c r="E2352">
        <v>3.6160000000000001</v>
      </c>
      <c r="F2352">
        <v>128.9107333</v>
      </c>
      <c r="G2352">
        <v>6.774</v>
      </c>
      <c r="N2352" s="8"/>
    </row>
    <row r="2353" spans="1:14" x14ac:dyDescent="0.25">
      <c r="A2353" s="8">
        <v>40655</v>
      </c>
      <c r="B2353">
        <v>1060770.1100000001</v>
      </c>
      <c r="C2353">
        <v>0</v>
      </c>
      <c r="D2353">
        <v>42.24</v>
      </c>
      <c r="E2353">
        <v>3.6549999999999998</v>
      </c>
      <c r="F2353">
        <v>128.95529999999999</v>
      </c>
      <c r="G2353">
        <v>6.774</v>
      </c>
      <c r="N2353" s="8"/>
    </row>
    <row r="2354" spans="1:14" x14ac:dyDescent="0.25">
      <c r="A2354" s="8">
        <v>40662</v>
      </c>
      <c r="B2354">
        <v>806979.15</v>
      </c>
      <c r="C2354">
        <v>0</v>
      </c>
      <c r="D2354">
        <v>40.14</v>
      </c>
      <c r="E2354">
        <v>3.6829999999999998</v>
      </c>
      <c r="F2354">
        <v>128.99986670000001</v>
      </c>
      <c r="G2354">
        <v>6.774</v>
      </c>
      <c r="N2354" s="8"/>
    </row>
    <row r="2355" spans="1:14" x14ac:dyDescent="0.25">
      <c r="A2355" s="8">
        <v>40669</v>
      </c>
      <c r="B2355">
        <v>882132.28</v>
      </c>
      <c r="C2355">
        <v>0</v>
      </c>
      <c r="D2355">
        <v>45.66</v>
      </c>
      <c r="E2355">
        <v>3.7440000000000002</v>
      </c>
      <c r="F2355">
        <v>129.04443330000001</v>
      </c>
      <c r="G2355">
        <v>6.774</v>
      </c>
      <c r="N2355" s="8"/>
    </row>
    <row r="2356" spans="1:14" x14ac:dyDescent="0.25">
      <c r="A2356" s="8">
        <v>40676</v>
      </c>
      <c r="B2356">
        <v>870625.49</v>
      </c>
      <c r="C2356">
        <v>0</v>
      </c>
      <c r="D2356">
        <v>49.26</v>
      </c>
      <c r="E2356">
        <v>3.77</v>
      </c>
      <c r="F2356">
        <v>129.089</v>
      </c>
      <c r="G2356">
        <v>6.774</v>
      </c>
      <c r="N2356" s="8"/>
    </row>
    <row r="2357" spans="1:14" x14ac:dyDescent="0.25">
      <c r="A2357" s="8">
        <v>40683</v>
      </c>
      <c r="B2357">
        <v>844443.35</v>
      </c>
      <c r="C2357">
        <v>0</v>
      </c>
      <c r="D2357">
        <v>51.93</v>
      </c>
      <c r="E2357">
        <v>3.802</v>
      </c>
      <c r="F2357">
        <v>129.07567739999999</v>
      </c>
      <c r="G2357">
        <v>6.774</v>
      </c>
      <c r="N2357" s="8"/>
    </row>
    <row r="2358" spans="1:14" x14ac:dyDescent="0.25">
      <c r="A2358" s="8">
        <v>40690</v>
      </c>
      <c r="B2358">
        <v>892056.64</v>
      </c>
      <c r="C2358">
        <v>0</v>
      </c>
      <c r="D2358">
        <v>51.04</v>
      </c>
      <c r="E2358">
        <v>3.778</v>
      </c>
      <c r="F2358">
        <v>129.06235480000001</v>
      </c>
      <c r="G2358">
        <v>6.774</v>
      </c>
      <c r="N2358" s="8"/>
    </row>
    <row r="2359" spans="1:14" x14ac:dyDescent="0.25">
      <c r="A2359" s="8">
        <v>40697</v>
      </c>
      <c r="B2359">
        <v>895020.48</v>
      </c>
      <c r="C2359">
        <v>0</v>
      </c>
      <c r="D2359">
        <v>49.61</v>
      </c>
      <c r="E2359">
        <v>3.7519999999999998</v>
      </c>
      <c r="F2359">
        <v>129.04903229999999</v>
      </c>
      <c r="G2359">
        <v>6.774</v>
      </c>
      <c r="N2359" s="8"/>
    </row>
    <row r="2360" spans="1:14" x14ac:dyDescent="0.25">
      <c r="A2360" s="8">
        <v>40704</v>
      </c>
      <c r="B2360">
        <v>881190.46</v>
      </c>
      <c r="C2360">
        <v>0</v>
      </c>
      <c r="D2360">
        <v>54.57</v>
      </c>
      <c r="E2360">
        <v>3.7320000000000002</v>
      </c>
      <c r="F2360">
        <v>129.03570970000001</v>
      </c>
      <c r="G2360">
        <v>6.774</v>
      </c>
      <c r="N2360" s="8"/>
    </row>
    <row r="2361" spans="1:14" x14ac:dyDescent="0.25">
      <c r="A2361" s="8">
        <v>40711</v>
      </c>
      <c r="B2361">
        <v>894686.67</v>
      </c>
      <c r="C2361">
        <v>0</v>
      </c>
      <c r="D2361">
        <v>56.61</v>
      </c>
      <c r="E2361">
        <v>3.7040000000000002</v>
      </c>
      <c r="F2361">
        <v>129.04320000000001</v>
      </c>
      <c r="G2361">
        <v>6.774</v>
      </c>
      <c r="N2361" s="8"/>
    </row>
    <row r="2362" spans="1:14" x14ac:dyDescent="0.25">
      <c r="A2362" s="8">
        <v>40718</v>
      </c>
      <c r="B2362">
        <v>920719.98</v>
      </c>
      <c r="C2362">
        <v>0</v>
      </c>
      <c r="D2362">
        <v>60.99</v>
      </c>
      <c r="E2362">
        <v>3.6680000000000001</v>
      </c>
      <c r="F2362">
        <v>129.06630000000001</v>
      </c>
      <c r="G2362">
        <v>6.774</v>
      </c>
      <c r="N2362" s="8"/>
    </row>
    <row r="2363" spans="1:14" x14ac:dyDescent="0.25">
      <c r="A2363" s="8">
        <v>40725</v>
      </c>
      <c r="B2363">
        <v>940554.34</v>
      </c>
      <c r="C2363">
        <v>0</v>
      </c>
      <c r="D2363">
        <v>67.39</v>
      </c>
      <c r="E2363">
        <v>3.613</v>
      </c>
      <c r="F2363">
        <v>129.08940000000001</v>
      </c>
      <c r="G2363">
        <v>6.7450000000000001</v>
      </c>
      <c r="N2363" s="8"/>
    </row>
    <row r="2364" spans="1:14" x14ac:dyDescent="0.25">
      <c r="A2364" s="8">
        <v>40732</v>
      </c>
      <c r="B2364">
        <v>915064.22</v>
      </c>
      <c r="C2364">
        <v>0</v>
      </c>
      <c r="D2364">
        <v>70.599999999999994</v>
      </c>
      <c r="E2364">
        <v>3.5630000000000002</v>
      </c>
      <c r="F2364">
        <v>129.11250000000001</v>
      </c>
      <c r="G2364">
        <v>6.7450000000000001</v>
      </c>
      <c r="N2364" s="8"/>
    </row>
    <row r="2365" spans="1:14" x14ac:dyDescent="0.25">
      <c r="A2365" s="8">
        <v>40739</v>
      </c>
      <c r="B2365">
        <v>902727.76</v>
      </c>
      <c r="C2365">
        <v>0</v>
      </c>
      <c r="D2365">
        <v>67.930000000000007</v>
      </c>
      <c r="E2365">
        <v>3.5529999999999999</v>
      </c>
      <c r="F2365">
        <v>129.13383870000001</v>
      </c>
      <c r="G2365">
        <v>6.7450000000000001</v>
      </c>
      <c r="N2365" s="8"/>
    </row>
    <row r="2366" spans="1:14" x14ac:dyDescent="0.25">
      <c r="A2366" s="8">
        <v>40746</v>
      </c>
      <c r="B2366">
        <v>899044.34</v>
      </c>
      <c r="C2366">
        <v>0</v>
      </c>
      <c r="D2366">
        <v>69.819999999999993</v>
      </c>
      <c r="E2366">
        <v>3.5630000000000002</v>
      </c>
      <c r="F2366">
        <v>129.1507742</v>
      </c>
      <c r="G2366">
        <v>6.7450000000000001</v>
      </c>
      <c r="N2366" s="8"/>
    </row>
    <row r="2367" spans="1:14" x14ac:dyDescent="0.25">
      <c r="A2367" s="8">
        <v>40753</v>
      </c>
      <c r="B2367">
        <v>861894.77</v>
      </c>
      <c r="C2367">
        <v>0</v>
      </c>
      <c r="D2367">
        <v>68.59</v>
      </c>
      <c r="E2367">
        <v>3.5739999999999998</v>
      </c>
      <c r="F2367">
        <v>129.16770969999999</v>
      </c>
      <c r="G2367">
        <v>6.7450000000000001</v>
      </c>
      <c r="N2367" s="8"/>
    </row>
    <row r="2368" spans="1:14" x14ac:dyDescent="0.25">
      <c r="A2368" s="8">
        <v>40760</v>
      </c>
      <c r="B2368">
        <v>866184.92</v>
      </c>
      <c r="C2368">
        <v>0</v>
      </c>
      <c r="D2368">
        <v>65.709999999999994</v>
      </c>
      <c r="E2368">
        <v>3.5950000000000002</v>
      </c>
      <c r="F2368">
        <v>129.18464520000001</v>
      </c>
      <c r="G2368">
        <v>6.7450000000000001</v>
      </c>
      <c r="N2368" s="8"/>
    </row>
    <row r="2369" spans="1:14" x14ac:dyDescent="0.25">
      <c r="A2369" s="8">
        <v>40767</v>
      </c>
      <c r="B2369">
        <v>800819.79</v>
      </c>
      <c r="C2369">
        <v>0</v>
      </c>
      <c r="D2369">
        <v>64.790000000000006</v>
      </c>
      <c r="E2369">
        <v>3.6059999999999999</v>
      </c>
      <c r="F2369">
        <v>129.2015806</v>
      </c>
      <c r="G2369">
        <v>6.7450000000000001</v>
      </c>
      <c r="N2369" s="8"/>
    </row>
    <row r="2370" spans="1:14" x14ac:dyDescent="0.25">
      <c r="A2370" s="8">
        <v>40774</v>
      </c>
      <c r="B2370">
        <v>797523.04</v>
      </c>
      <c r="C2370">
        <v>0</v>
      </c>
      <c r="D2370">
        <v>67.59</v>
      </c>
      <c r="E2370">
        <v>3.5779999999999998</v>
      </c>
      <c r="F2370">
        <v>129.24058059999999</v>
      </c>
      <c r="G2370">
        <v>6.7450000000000001</v>
      </c>
      <c r="N2370" s="8"/>
    </row>
    <row r="2371" spans="1:14" x14ac:dyDescent="0.25">
      <c r="A2371" s="8">
        <v>40781</v>
      </c>
      <c r="B2371">
        <v>837390.79</v>
      </c>
      <c r="C2371">
        <v>0</v>
      </c>
      <c r="D2371">
        <v>72.040000000000006</v>
      </c>
      <c r="E2371">
        <v>3.57</v>
      </c>
      <c r="F2371">
        <v>129.28325810000001</v>
      </c>
      <c r="G2371">
        <v>6.7450000000000001</v>
      </c>
      <c r="N2371" s="8"/>
    </row>
    <row r="2372" spans="1:14" x14ac:dyDescent="0.25">
      <c r="A2372" s="8">
        <v>40788</v>
      </c>
      <c r="B2372">
        <v>847380.07</v>
      </c>
      <c r="C2372">
        <v>0</v>
      </c>
      <c r="D2372">
        <v>69.31</v>
      </c>
      <c r="E2372">
        <v>3.58</v>
      </c>
      <c r="F2372">
        <v>129.32593550000001</v>
      </c>
      <c r="G2372">
        <v>6.7450000000000001</v>
      </c>
      <c r="N2372" s="8"/>
    </row>
    <row r="2373" spans="1:14" x14ac:dyDescent="0.25">
      <c r="A2373" s="8">
        <v>40795</v>
      </c>
      <c r="B2373">
        <v>1161900.18</v>
      </c>
      <c r="C2373">
        <v>1</v>
      </c>
      <c r="D2373">
        <v>61.94</v>
      </c>
      <c r="E2373">
        <v>3.6190000000000002</v>
      </c>
      <c r="F2373">
        <v>129.36861289999999</v>
      </c>
      <c r="G2373">
        <v>6.7450000000000001</v>
      </c>
      <c r="N2373" s="8"/>
    </row>
    <row r="2374" spans="1:14" x14ac:dyDescent="0.25">
      <c r="A2374" s="8">
        <v>40802</v>
      </c>
      <c r="B2374">
        <v>1051116.95</v>
      </c>
      <c r="C2374">
        <v>0</v>
      </c>
      <c r="D2374">
        <v>61.48</v>
      </c>
      <c r="E2374">
        <v>3.641</v>
      </c>
      <c r="F2374">
        <v>129.4306</v>
      </c>
      <c r="G2374">
        <v>6.7450000000000001</v>
      </c>
      <c r="N2374" s="8"/>
    </row>
    <row r="2375" spans="1:14" x14ac:dyDescent="0.25">
      <c r="A2375" s="8">
        <v>40809</v>
      </c>
      <c r="B2375">
        <v>895535.31</v>
      </c>
      <c r="C2375">
        <v>0</v>
      </c>
      <c r="D2375">
        <v>56.96</v>
      </c>
      <c r="E2375">
        <v>3.6480000000000001</v>
      </c>
      <c r="F2375">
        <v>129.51833329999999</v>
      </c>
      <c r="G2375">
        <v>6.7450000000000001</v>
      </c>
      <c r="N2375" s="8"/>
    </row>
    <row r="2376" spans="1:14" x14ac:dyDescent="0.25">
      <c r="A2376" s="8">
        <v>40816</v>
      </c>
      <c r="B2376">
        <v>868191.05</v>
      </c>
      <c r="C2376">
        <v>0</v>
      </c>
      <c r="D2376">
        <v>61.4</v>
      </c>
      <c r="E2376">
        <v>3.6230000000000002</v>
      </c>
      <c r="F2376">
        <v>129.60606670000001</v>
      </c>
      <c r="G2376">
        <v>6.7450000000000001</v>
      </c>
      <c r="N2376" s="8"/>
    </row>
    <row r="2377" spans="1:14" x14ac:dyDescent="0.25">
      <c r="A2377" s="8">
        <v>40823</v>
      </c>
      <c r="B2377">
        <v>918006.9</v>
      </c>
      <c r="C2377">
        <v>0</v>
      </c>
      <c r="D2377">
        <v>54.4</v>
      </c>
      <c r="E2377">
        <v>3.5920000000000001</v>
      </c>
      <c r="F2377">
        <v>129.69380000000001</v>
      </c>
      <c r="G2377">
        <v>6.617</v>
      </c>
      <c r="N2377" s="8"/>
    </row>
    <row r="2378" spans="1:14" x14ac:dyDescent="0.25">
      <c r="A2378" s="8">
        <v>40830</v>
      </c>
      <c r="B2378">
        <v>884042.63</v>
      </c>
      <c r="C2378">
        <v>0</v>
      </c>
      <c r="D2378">
        <v>47.69</v>
      </c>
      <c r="E2378">
        <v>3.5670000000000002</v>
      </c>
      <c r="F2378">
        <v>129.77064519999999</v>
      </c>
      <c r="G2378">
        <v>6.617</v>
      </c>
      <c r="N2378" s="8"/>
    </row>
    <row r="2379" spans="1:14" x14ac:dyDescent="0.25">
      <c r="A2379" s="8">
        <v>40837</v>
      </c>
      <c r="B2379">
        <v>877380.22</v>
      </c>
      <c r="C2379">
        <v>0</v>
      </c>
      <c r="D2379">
        <v>47.27</v>
      </c>
      <c r="E2379">
        <v>3.5790000000000002</v>
      </c>
      <c r="F2379">
        <v>129.78216130000001</v>
      </c>
      <c r="G2379">
        <v>6.617</v>
      </c>
      <c r="N2379" s="8"/>
    </row>
    <row r="2380" spans="1:14" x14ac:dyDescent="0.25">
      <c r="A2380" s="8">
        <v>40844</v>
      </c>
      <c r="B2380">
        <v>936508.43</v>
      </c>
      <c r="C2380">
        <v>0</v>
      </c>
      <c r="D2380">
        <v>41.89</v>
      </c>
      <c r="E2380">
        <v>3.5670000000000002</v>
      </c>
      <c r="F2380">
        <v>129.79367740000001</v>
      </c>
      <c r="G2380">
        <v>6.617</v>
      </c>
      <c r="N2380" s="8"/>
    </row>
    <row r="2381" spans="1:14" x14ac:dyDescent="0.25">
      <c r="A2381" s="8">
        <v>40851</v>
      </c>
      <c r="B2381">
        <v>927657.63</v>
      </c>
      <c r="C2381">
        <v>0</v>
      </c>
      <c r="D2381">
        <v>37.520000000000003</v>
      </c>
      <c r="E2381">
        <v>3.5379999999999998</v>
      </c>
      <c r="F2381">
        <v>129.8051935</v>
      </c>
      <c r="G2381">
        <v>6.617</v>
      </c>
      <c r="N2381" s="8"/>
    </row>
    <row r="2382" spans="1:14" x14ac:dyDescent="0.25">
      <c r="A2382" s="8">
        <v>40858</v>
      </c>
      <c r="B2382">
        <v>914759.2</v>
      </c>
      <c r="C2382">
        <v>0</v>
      </c>
      <c r="D2382">
        <v>27.61</v>
      </c>
      <c r="E2382">
        <v>3.5129999999999999</v>
      </c>
      <c r="F2382">
        <v>129.81670969999999</v>
      </c>
      <c r="G2382">
        <v>6.617</v>
      </c>
      <c r="N2382" s="8"/>
    </row>
    <row r="2383" spans="1:14" x14ac:dyDescent="0.25">
      <c r="A2383" s="8">
        <v>40865</v>
      </c>
      <c r="B2383">
        <v>877724.31</v>
      </c>
      <c r="C2383">
        <v>0</v>
      </c>
      <c r="D2383">
        <v>32.93</v>
      </c>
      <c r="E2383">
        <v>3.4889999999999999</v>
      </c>
      <c r="F2383">
        <v>129.8268333</v>
      </c>
      <c r="G2383">
        <v>6.617</v>
      </c>
      <c r="N2383" s="8"/>
    </row>
    <row r="2384" spans="1:14" x14ac:dyDescent="0.25">
      <c r="A2384" s="8">
        <v>40872</v>
      </c>
      <c r="B2384">
        <v>1225700.28</v>
      </c>
      <c r="C2384">
        <v>1</v>
      </c>
      <c r="D2384">
        <v>32.81</v>
      </c>
      <c r="E2384">
        <v>3.4449999999999998</v>
      </c>
      <c r="F2384">
        <v>129.8364</v>
      </c>
      <c r="G2384">
        <v>6.617</v>
      </c>
      <c r="N2384" s="8"/>
    </row>
    <row r="2385" spans="1:14" x14ac:dyDescent="0.25">
      <c r="A2385" s="8">
        <v>40879</v>
      </c>
      <c r="B2385">
        <v>945267.68</v>
      </c>
      <c r="C2385">
        <v>0</v>
      </c>
      <c r="D2385">
        <v>26.47</v>
      </c>
      <c r="E2385">
        <v>3.3889999999999998</v>
      </c>
      <c r="F2385">
        <v>129.84596669999999</v>
      </c>
      <c r="G2385">
        <v>6.617</v>
      </c>
      <c r="N2385" s="8"/>
    </row>
    <row r="2386" spans="1:14" x14ac:dyDescent="0.25">
      <c r="A2386" s="8">
        <v>40886</v>
      </c>
      <c r="B2386">
        <v>976522.93</v>
      </c>
      <c r="C2386">
        <v>0</v>
      </c>
      <c r="D2386">
        <v>17.559999999999999</v>
      </c>
      <c r="E2386">
        <v>3.3410000000000002</v>
      </c>
      <c r="F2386">
        <v>129.85553329999999</v>
      </c>
      <c r="G2386">
        <v>6.617</v>
      </c>
      <c r="N2386" s="8"/>
    </row>
    <row r="2387" spans="1:14" x14ac:dyDescent="0.25">
      <c r="A2387" s="8">
        <v>40893</v>
      </c>
      <c r="B2387">
        <v>1067754.06</v>
      </c>
      <c r="C2387">
        <v>0</v>
      </c>
      <c r="D2387">
        <v>21.07</v>
      </c>
      <c r="E2387">
        <v>3.282</v>
      </c>
      <c r="F2387">
        <v>129.8980645</v>
      </c>
      <c r="G2387">
        <v>6.617</v>
      </c>
      <c r="N2387" s="8"/>
    </row>
    <row r="2388" spans="1:14" x14ac:dyDescent="0.25">
      <c r="A2388" s="8">
        <v>40900</v>
      </c>
      <c r="B2388">
        <v>1289156.8999999999</v>
      </c>
      <c r="C2388">
        <v>0</v>
      </c>
      <c r="D2388">
        <v>18.760000000000002</v>
      </c>
      <c r="E2388">
        <v>3.1859999999999999</v>
      </c>
      <c r="F2388">
        <v>129.98454839999999</v>
      </c>
      <c r="G2388">
        <v>6.617</v>
      </c>
      <c r="N2388" s="8"/>
    </row>
    <row r="2389" spans="1:14" x14ac:dyDescent="0.25">
      <c r="A2389" s="8">
        <v>40907</v>
      </c>
      <c r="B2389">
        <v>777207.3</v>
      </c>
      <c r="C2389">
        <v>1</v>
      </c>
      <c r="D2389">
        <v>26.73</v>
      </c>
      <c r="E2389">
        <v>3.1190000000000002</v>
      </c>
      <c r="F2389">
        <v>130.07103230000001</v>
      </c>
      <c r="G2389">
        <v>6.617</v>
      </c>
      <c r="N2389" s="8"/>
    </row>
    <row r="2390" spans="1:14" x14ac:dyDescent="0.25">
      <c r="A2390" s="8">
        <v>40914</v>
      </c>
      <c r="B2390">
        <v>1198104.22</v>
      </c>
      <c r="C2390">
        <v>0</v>
      </c>
      <c r="D2390">
        <v>27.64</v>
      </c>
      <c r="E2390">
        <v>3.08</v>
      </c>
      <c r="F2390">
        <v>130.15751610000001</v>
      </c>
      <c r="G2390">
        <v>6.4029999999999996</v>
      </c>
      <c r="N2390" s="8"/>
    </row>
    <row r="2391" spans="1:14" x14ac:dyDescent="0.25">
      <c r="A2391" s="8">
        <v>40921</v>
      </c>
      <c r="B2391">
        <v>873576.95999999996</v>
      </c>
      <c r="C2391">
        <v>0</v>
      </c>
      <c r="D2391">
        <v>20.28</v>
      </c>
      <c r="E2391">
        <v>3.056</v>
      </c>
      <c r="F2391">
        <v>130.244</v>
      </c>
      <c r="G2391">
        <v>6.4029999999999996</v>
      </c>
      <c r="N2391" s="8"/>
    </row>
    <row r="2392" spans="1:14" x14ac:dyDescent="0.25">
      <c r="A2392" s="8">
        <v>40928</v>
      </c>
      <c r="B2392">
        <v>809272.65</v>
      </c>
      <c r="C2392">
        <v>0</v>
      </c>
      <c r="D2392">
        <v>27.26</v>
      </c>
      <c r="E2392">
        <v>3.0470000000000002</v>
      </c>
      <c r="F2392">
        <v>130.27922580000001</v>
      </c>
      <c r="G2392">
        <v>6.4029999999999996</v>
      </c>
      <c r="N2392" s="8"/>
    </row>
    <row r="2393" spans="1:14" x14ac:dyDescent="0.25">
      <c r="A2393" s="8">
        <v>40935</v>
      </c>
      <c r="B2393">
        <v>769522.33</v>
      </c>
      <c r="C2393">
        <v>0</v>
      </c>
      <c r="D2393">
        <v>29.99</v>
      </c>
      <c r="E2393">
        <v>3.0579999999999998</v>
      </c>
      <c r="F2393">
        <v>130.31445160000001</v>
      </c>
      <c r="G2393">
        <v>6.4029999999999996</v>
      </c>
      <c r="N2393" s="8"/>
    </row>
    <row r="2394" spans="1:14" x14ac:dyDescent="0.25">
      <c r="A2394" s="8">
        <v>40942</v>
      </c>
      <c r="B2394">
        <v>864852.85</v>
      </c>
      <c r="C2394">
        <v>0</v>
      </c>
      <c r="D2394">
        <v>26.26</v>
      </c>
      <c r="E2394">
        <v>3.077</v>
      </c>
      <c r="F2394">
        <v>130.34967739999999</v>
      </c>
      <c r="G2394">
        <v>6.4029999999999996</v>
      </c>
      <c r="N2394" s="8"/>
    </row>
    <row r="2395" spans="1:14" x14ac:dyDescent="0.25">
      <c r="A2395" s="8">
        <v>40949</v>
      </c>
      <c r="B2395">
        <v>880165.7</v>
      </c>
      <c r="C2395">
        <v>1</v>
      </c>
      <c r="D2395">
        <v>23.63</v>
      </c>
      <c r="E2395">
        <v>3.1160000000000001</v>
      </c>
      <c r="F2395">
        <v>130.3849032</v>
      </c>
      <c r="G2395">
        <v>6.4029999999999996</v>
      </c>
      <c r="N2395" s="8"/>
    </row>
    <row r="2396" spans="1:14" x14ac:dyDescent="0.25">
      <c r="A2396" s="8">
        <v>40956</v>
      </c>
      <c r="B2396">
        <v>927084.65</v>
      </c>
      <c r="C2396">
        <v>0</v>
      </c>
      <c r="D2396">
        <v>30.76</v>
      </c>
      <c r="E2396">
        <v>3.1190000000000002</v>
      </c>
      <c r="F2396">
        <v>130.45462069999999</v>
      </c>
      <c r="G2396">
        <v>6.4029999999999996</v>
      </c>
      <c r="N2396" s="8"/>
    </row>
    <row r="2397" spans="1:14" x14ac:dyDescent="0.25">
      <c r="A2397" s="8">
        <v>40963</v>
      </c>
      <c r="B2397">
        <v>843864.43</v>
      </c>
      <c r="C2397">
        <v>0</v>
      </c>
      <c r="D2397">
        <v>30.01</v>
      </c>
      <c r="E2397">
        <v>3.145</v>
      </c>
      <c r="F2397">
        <v>130.55020690000001</v>
      </c>
      <c r="G2397">
        <v>6.4029999999999996</v>
      </c>
      <c r="N2397" s="8"/>
    </row>
    <row r="2398" spans="1:14" x14ac:dyDescent="0.25">
      <c r="A2398" s="8">
        <v>40970</v>
      </c>
      <c r="B2398">
        <v>856178.47</v>
      </c>
      <c r="C2398">
        <v>0</v>
      </c>
      <c r="D2398">
        <v>26.28</v>
      </c>
      <c r="E2398">
        <v>3.242</v>
      </c>
      <c r="F2398">
        <v>130.64579309999999</v>
      </c>
      <c r="G2398">
        <v>6.4029999999999996</v>
      </c>
      <c r="N2398" s="8"/>
    </row>
    <row r="2399" spans="1:14" x14ac:dyDescent="0.25">
      <c r="A2399" s="8">
        <v>40977</v>
      </c>
      <c r="B2399">
        <v>860224.98</v>
      </c>
      <c r="C2399">
        <v>0</v>
      </c>
      <c r="D2399">
        <v>32.020000000000003</v>
      </c>
      <c r="E2399">
        <v>3.38</v>
      </c>
      <c r="F2399">
        <v>130.74137930000001</v>
      </c>
      <c r="G2399">
        <v>6.4029999999999996</v>
      </c>
      <c r="N2399" s="8"/>
    </row>
    <row r="2400" spans="1:14" x14ac:dyDescent="0.25">
      <c r="A2400" s="8">
        <v>40984</v>
      </c>
      <c r="B2400">
        <v>853136.46</v>
      </c>
      <c r="C2400">
        <v>0</v>
      </c>
      <c r="D2400">
        <v>43.69</v>
      </c>
      <c r="E2400">
        <v>3.5289999999999999</v>
      </c>
      <c r="F2400">
        <v>130.82619349999999</v>
      </c>
      <c r="G2400">
        <v>6.4029999999999996</v>
      </c>
      <c r="N2400" s="8"/>
    </row>
    <row r="2401" spans="1:14" x14ac:dyDescent="0.25">
      <c r="A2401" s="8">
        <v>40991</v>
      </c>
      <c r="B2401">
        <v>851762.28</v>
      </c>
      <c r="C2401">
        <v>0</v>
      </c>
      <c r="D2401">
        <v>40.69</v>
      </c>
      <c r="E2401">
        <v>3.6709999999999998</v>
      </c>
      <c r="F2401">
        <v>130.89664519999999</v>
      </c>
      <c r="G2401">
        <v>6.4029999999999996</v>
      </c>
      <c r="N2401" s="8"/>
    </row>
    <row r="2402" spans="1:14" x14ac:dyDescent="0.25">
      <c r="A2402" s="8">
        <v>40998</v>
      </c>
      <c r="B2402">
        <v>872469.03</v>
      </c>
      <c r="C2402">
        <v>0</v>
      </c>
      <c r="D2402">
        <v>45.29</v>
      </c>
      <c r="E2402">
        <v>3.734</v>
      </c>
      <c r="F2402">
        <v>130.96709680000001</v>
      </c>
      <c r="G2402">
        <v>6.4029999999999996</v>
      </c>
      <c r="N2402" s="8"/>
    </row>
    <row r="2403" spans="1:14" x14ac:dyDescent="0.25">
      <c r="A2403" s="8">
        <v>41005</v>
      </c>
      <c r="B2403">
        <v>986922.62</v>
      </c>
      <c r="C2403">
        <v>0</v>
      </c>
      <c r="D2403">
        <v>43.92</v>
      </c>
      <c r="E2403">
        <v>3.7930000000000001</v>
      </c>
      <c r="F2403">
        <v>131.03754839999999</v>
      </c>
      <c r="G2403">
        <v>6.2350000000000003</v>
      </c>
      <c r="N2403" s="8"/>
    </row>
    <row r="2404" spans="1:14" x14ac:dyDescent="0.25">
      <c r="A2404" s="8">
        <v>41012</v>
      </c>
      <c r="B2404">
        <v>877055.32</v>
      </c>
      <c r="C2404">
        <v>0</v>
      </c>
      <c r="D2404">
        <v>46.94</v>
      </c>
      <c r="E2404">
        <v>3.8330000000000002</v>
      </c>
      <c r="F2404">
        <v>131.108</v>
      </c>
      <c r="G2404">
        <v>6.2350000000000003</v>
      </c>
      <c r="N2404" s="8"/>
    </row>
    <row r="2405" spans="1:14" x14ac:dyDescent="0.25">
      <c r="A2405" s="8">
        <v>41019</v>
      </c>
      <c r="B2405">
        <v>1119979.98</v>
      </c>
      <c r="C2405">
        <v>0</v>
      </c>
      <c r="D2405">
        <v>47.69</v>
      </c>
      <c r="E2405">
        <v>3.8450000000000002</v>
      </c>
      <c r="F2405">
        <v>131.11733330000001</v>
      </c>
      <c r="G2405">
        <v>6.2350000000000003</v>
      </c>
      <c r="N2405" s="8"/>
    </row>
    <row r="2406" spans="1:14" x14ac:dyDescent="0.25">
      <c r="A2406" s="8">
        <v>41026</v>
      </c>
      <c r="B2406">
        <v>925916.65</v>
      </c>
      <c r="C2406">
        <v>0</v>
      </c>
      <c r="D2406">
        <v>59.11</v>
      </c>
      <c r="E2406">
        <v>3.8420000000000001</v>
      </c>
      <c r="F2406">
        <v>131.12666669999999</v>
      </c>
      <c r="G2406">
        <v>6.2350000000000003</v>
      </c>
      <c r="N2406" s="8"/>
    </row>
    <row r="2407" spans="1:14" x14ac:dyDescent="0.25">
      <c r="A2407" s="8">
        <v>41033</v>
      </c>
      <c r="B2407">
        <v>930121.14</v>
      </c>
      <c r="C2407">
        <v>0</v>
      </c>
      <c r="D2407">
        <v>48.86</v>
      </c>
      <c r="E2407">
        <v>3.831</v>
      </c>
      <c r="F2407">
        <v>131.136</v>
      </c>
      <c r="G2407">
        <v>6.2350000000000003</v>
      </c>
      <c r="N2407" s="8"/>
    </row>
    <row r="2408" spans="1:14" x14ac:dyDescent="0.25">
      <c r="A2408" s="8">
        <v>41040</v>
      </c>
      <c r="B2408">
        <v>944100.3</v>
      </c>
      <c r="C2408">
        <v>0</v>
      </c>
      <c r="D2408">
        <v>49.96</v>
      </c>
      <c r="E2408">
        <v>3.8090000000000002</v>
      </c>
      <c r="F2408">
        <v>131.1453333</v>
      </c>
      <c r="G2408">
        <v>6.2350000000000003</v>
      </c>
      <c r="N2408" s="8"/>
    </row>
    <row r="2409" spans="1:14" x14ac:dyDescent="0.25">
      <c r="A2409" s="8">
        <v>41047</v>
      </c>
      <c r="B2409">
        <v>968816.33</v>
      </c>
      <c r="C2409">
        <v>0</v>
      </c>
      <c r="D2409">
        <v>59.67</v>
      </c>
      <c r="E2409">
        <v>3.8079999999999998</v>
      </c>
      <c r="F2409">
        <v>131.09832259999999</v>
      </c>
      <c r="G2409">
        <v>6.2350000000000003</v>
      </c>
      <c r="N2409" s="8"/>
    </row>
    <row r="2410" spans="1:14" x14ac:dyDescent="0.25">
      <c r="A2410" s="8">
        <v>41054</v>
      </c>
      <c r="B2410">
        <v>984881.59</v>
      </c>
      <c r="C2410">
        <v>0</v>
      </c>
      <c r="D2410">
        <v>55.69</v>
      </c>
      <c r="E2410">
        <v>3.8010000000000002</v>
      </c>
      <c r="F2410">
        <v>131.02877419999999</v>
      </c>
      <c r="G2410">
        <v>6.2350000000000003</v>
      </c>
      <c r="N2410" s="8"/>
    </row>
    <row r="2411" spans="1:14" x14ac:dyDescent="0.25">
      <c r="A2411" s="8">
        <v>41061</v>
      </c>
      <c r="B2411">
        <v>938914.28</v>
      </c>
      <c r="C2411">
        <v>0</v>
      </c>
      <c r="D2411">
        <v>54.13</v>
      </c>
      <c r="E2411">
        <v>3.7879999999999998</v>
      </c>
      <c r="F2411">
        <v>130.95922580000001</v>
      </c>
      <c r="G2411">
        <v>6.2350000000000003</v>
      </c>
      <c r="N2411" s="8"/>
    </row>
    <row r="2412" spans="1:14" x14ac:dyDescent="0.25">
      <c r="A2412" s="8">
        <v>41068</v>
      </c>
      <c r="B2412">
        <v>987990.24</v>
      </c>
      <c r="C2412">
        <v>0</v>
      </c>
      <c r="D2412">
        <v>60.51</v>
      </c>
      <c r="E2412">
        <v>3.7759999999999998</v>
      </c>
      <c r="F2412">
        <v>130.88967740000001</v>
      </c>
      <c r="G2412">
        <v>6.2350000000000003</v>
      </c>
      <c r="N2412" s="8"/>
    </row>
    <row r="2413" spans="1:14" x14ac:dyDescent="0.25">
      <c r="A2413" s="8">
        <v>41075</v>
      </c>
      <c r="B2413">
        <v>964169.67</v>
      </c>
      <c r="C2413">
        <v>0</v>
      </c>
      <c r="D2413">
        <v>56.67</v>
      </c>
      <c r="E2413">
        <v>3.7559999999999998</v>
      </c>
      <c r="F2413">
        <v>130.82953330000001</v>
      </c>
      <c r="G2413">
        <v>6.2350000000000003</v>
      </c>
      <c r="N2413" s="8"/>
    </row>
    <row r="2414" spans="1:14" x14ac:dyDescent="0.25">
      <c r="A2414" s="8">
        <v>41082</v>
      </c>
      <c r="B2414">
        <v>981210.57</v>
      </c>
      <c r="C2414">
        <v>0</v>
      </c>
      <c r="D2414">
        <v>62.9</v>
      </c>
      <c r="E2414">
        <v>3.7370000000000001</v>
      </c>
      <c r="F2414">
        <v>130.7929</v>
      </c>
      <c r="G2414">
        <v>6.2350000000000003</v>
      </c>
      <c r="N2414" s="8"/>
    </row>
    <row r="2415" spans="1:14" x14ac:dyDescent="0.25">
      <c r="A2415" s="8">
        <v>41089</v>
      </c>
      <c r="B2415">
        <v>982322.24</v>
      </c>
      <c r="C2415">
        <v>0</v>
      </c>
      <c r="D2415">
        <v>71.14</v>
      </c>
      <c r="E2415">
        <v>3.681</v>
      </c>
      <c r="F2415">
        <v>130.7562667</v>
      </c>
      <c r="G2415">
        <v>6.2350000000000003</v>
      </c>
      <c r="N2415" s="8"/>
    </row>
    <row r="2416" spans="1:14" x14ac:dyDescent="0.25">
      <c r="A2416" s="8">
        <v>41096</v>
      </c>
      <c r="B2416">
        <v>1046782.52</v>
      </c>
      <c r="C2416">
        <v>0</v>
      </c>
      <c r="D2416">
        <v>68.91</v>
      </c>
      <c r="E2416">
        <v>3.63</v>
      </c>
      <c r="F2416">
        <v>130.7196333</v>
      </c>
      <c r="G2416">
        <v>5.9359999999999999</v>
      </c>
      <c r="N2416" s="8"/>
    </row>
    <row r="2417" spans="1:14" x14ac:dyDescent="0.25">
      <c r="A2417" s="8">
        <v>41103</v>
      </c>
      <c r="B2417">
        <v>960746.04</v>
      </c>
      <c r="C2417">
        <v>0</v>
      </c>
      <c r="D2417">
        <v>72.94</v>
      </c>
      <c r="E2417">
        <v>3.5950000000000002</v>
      </c>
      <c r="F2417">
        <v>130.68299999999999</v>
      </c>
      <c r="G2417">
        <v>5.9359999999999999</v>
      </c>
      <c r="N2417" s="8"/>
    </row>
    <row r="2418" spans="1:14" x14ac:dyDescent="0.25">
      <c r="A2418" s="8">
        <v>41110</v>
      </c>
      <c r="B2418">
        <v>944698.7</v>
      </c>
      <c r="C2418">
        <v>0</v>
      </c>
      <c r="D2418">
        <v>70.59</v>
      </c>
      <c r="E2418">
        <v>3.556</v>
      </c>
      <c r="F2418">
        <v>130.70129030000001</v>
      </c>
      <c r="G2418">
        <v>5.9359999999999999</v>
      </c>
      <c r="N2418" s="8"/>
    </row>
    <row r="2419" spans="1:14" x14ac:dyDescent="0.25">
      <c r="A2419" s="8">
        <v>41117</v>
      </c>
      <c r="B2419">
        <v>907493.24</v>
      </c>
      <c r="C2419">
        <v>0</v>
      </c>
      <c r="D2419">
        <v>74.2</v>
      </c>
      <c r="E2419">
        <v>3.5369999999999999</v>
      </c>
      <c r="F2419">
        <v>130.7195806</v>
      </c>
      <c r="G2419">
        <v>5.9359999999999999</v>
      </c>
      <c r="N2419" s="8"/>
    </row>
    <row r="2420" spans="1:14" x14ac:dyDescent="0.25">
      <c r="A2420" s="8">
        <v>41124</v>
      </c>
      <c r="B2420">
        <v>877813.33</v>
      </c>
      <c r="C2420">
        <v>0</v>
      </c>
      <c r="D2420">
        <v>72.94</v>
      </c>
      <c r="E2420">
        <v>3.512</v>
      </c>
      <c r="F2420">
        <v>130.73787100000001</v>
      </c>
      <c r="G2420">
        <v>5.9359999999999999</v>
      </c>
      <c r="N2420" s="8"/>
    </row>
    <row r="2421" spans="1:14" x14ac:dyDescent="0.25">
      <c r="A2421" s="8">
        <v>41131</v>
      </c>
      <c r="B2421">
        <v>849074.04</v>
      </c>
      <c r="C2421">
        <v>0</v>
      </c>
      <c r="D2421">
        <v>73.290000000000006</v>
      </c>
      <c r="E2421">
        <v>3.5089999999999999</v>
      </c>
      <c r="F2421">
        <v>130.7561613</v>
      </c>
      <c r="G2421">
        <v>5.9359999999999999</v>
      </c>
      <c r="N2421" s="8"/>
    </row>
    <row r="2422" spans="1:14" x14ac:dyDescent="0.25">
      <c r="A2422" s="8">
        <v>41138</v>
      </c>
      <c r="B2422">
        <v>844928.17</v>
      </c>
      <c r="C2422">
        <v>0</v>
      </c>
      <c r="D2422">
        <v>70.98</v>
      </c>
      <c r="E2422">
        <v>3.5449999999999999</v>
      </c>
      <c r="F2422">
        <v>130.79096770000001</v>
      </c>
      <c r="G2422">
        <v>5.9359999999999999</v>
      </c>
      <c r="N2422" s="8"/>
    </row>
    <row r="2423" spans="1:14" x14ac:dyDescent="0.25">
      <c r="A2423" s="8">
        <v>41145</v>
      </c>
      <c r="B2423">
        <v>924299.78</v>
      </c>
      <c r="C2423">
        <v>0</v>
      </c>
      <c r="D2423">
        <v>68.89</v>
      </c>
      <c r="E2423">
        <v>3.5819999999999999</v>
      </c>
      <c r="F2423">
        <v>130.8381613</v>
      </c>
      <c r="G2423">
        <v>5.9359999999999999</v>
      </c>
      <c r="N2423" s="8"/>
    </row>
    <row r="2424" spans="1:14" x14ac:dyDescent="0.25">
      <c r="A2424" s="8">
        <v>41152</v>
      </c>
      <c r="B2424">
        <v>865924.2</v>
      </c>
      <c r="C2424">
        <v>0</v>
      </c>
      <c r="D2424">
        <v>68.069999999999993</v>
      </c>
      <c r="E2424">
        <v>3.6240000000000001</v>
      </c>
      <c r="F2424">
        <v>130.88535479999999</v>
      </c>
      <c r="G2424">
        <v>5.9359999999999999</v>
      </c>
      <c r="N2424" s="8"/>
    </row>
    <row r="2425" spans="1:14" x14ac:dyDescent="0.25">
      <c r="A2425" s="8">
        <v>41159</v>
      </c>
      <c r="B2425">
        <v>1255633.29</v>
      </c>
      <c r="C2425">
        <v>1</v>
      </c>
      <c r="D2425">
        <v>61.99</v>
      </c>
      <c r="E2425">
        <v>3.6890000000000001</v>
      </c>
      <c r="F2425">
        <v>130.9325484</v>
      </c>
      <c r="G2425">
        <v>5.9359999999999999</v>
      </c>
      <c r="N2425" s="8"/>
    </row>
    <row r="2426" spans="1:14" x14ac:dyDescent="0.25">
      <c r="A2426" s="8">
        <v>41166</v>
      </c>
      <c r="B2426">
        <v>1071040.22</v>
      </c>
      <c r="C2426">
        <v>0</v>
      </c>
      <c r="D2426">
        <v>59.64</v>
      </c>
      <c r="E2426">
        <v>3.7490000000000001</v>
      </c>
      <c r="F2426">
        <v>130.97766669999999</v>
      </c>
      <c r="G2426">
        <v>5.9359999999999999</v>
      </c>
      <c r="N2426" s="8"/>
    </row>
    <row r="2427" spans="1:14" x14ac:dyDescent="0.25">
      <c r="A2427" s="8">
        <v>41173</v>
      </c>
      <c r="B2427">
        <v>938303.28</v>
      </c>
      <c r="C2427">
        <v>0</v>
      </c>
      <c r="D2427">
        <v>58.43</v>
      </c>
      <c r="E2427">
        <v>3.8210000000000002</v>
      </c>
      <c r="F2427">
        <v>131.01033330000001</v>
      </c>
      <c r="G2427">
        <v>5.9359999999999999</v>
      </c>
      <c r="N2427" s="8"/>
    </row>
    <row r="2428" spans="1:14" x14ac:dyDescent="0.25">
      <c r="A2428" s="8">
        <v>41180</v>
      </c>
      <c r="B2428">
        <v>972716.24</v>
      </c>
      <c r="C2428">
        <v>0</v>
      </c>
      <c r="D2428">
        <v>57.77</v>
      </c>
      <c r="E2428">
        <v>3.8210000000000002</v>
      </c>
      <c r="F2428">
        <v>131.04300000000001</v>
      </c>
      <c r="G2428">
        <v>5.9359999999999999</v>
      </c>
      <c r="N2428" s="8"/>
    </row>
    <row r="2429" spans="1:14" x14ac:dyDescent="0.25">
      <c r="A2429" s="8">
        <v>41187</v>
      </c>
      <c r="B2429">
        <v>952609.17</v>
      </c>
      <c r="C2429">
        <v>0</v>
      </c>
      <c r="D2429">
        <v>52.81</v>
      </c>
      <c r="E2429">
        <v>3.8149999999999999</v>
      </c>
      <c r="F2429">
        <v>131.0756667</v>
      </c>
      <c r="G2429">
        <v>5.5270000000000001</v>
      </c>
      <c r="N2429" s="8"/>
    </row>
    <row r="2430" spans="1:14" x14ac:dyDescent="0.25">
      <c r="A2430" s="8">
        <v>41194</v>
      </c>
      <c r="B2430">
        <v>919878.34</v>
      </c>
      <c r="C2430">
        <v>0</v>
      </c>
      <c r="D2430">
        <v>44.82</v>
      </c>
      <c r="E2430">
        <v>3.7970000000000002</v>
      </c>
      <c r="F2430">
        <v>131.1083333</v>
      </c>
      <c r="G2430">
        <v>5.5270000000000001</v>
      </c>
      <c r="N2430" s="8"/>
    </row>
    <row r="2431" spans="1:14" x14ac:dyDescent="0.25">
      <c r="A2431" s="8">
        <v>41201</v>
      </c>
      <c r="B2431">
        <v>957356.84</v>
      </c>
      <c r="C2431">
        <v>0</v>
      </c>
      <c r="D2431">
        <v>48.16</v>
      </c>
      <c r="E2431">
        <v>3.7810000000000001</v>
      </c>
      <c r="F2431">
        <v>131.14996769999999</v>
      </c>
      <c r="G2431">
        <v>5.5270000000000001</v>
      </c>
      <c r="N2431" s="8"/>
    </row>
    <row r="2432" spans="1:14" x14ac:dyDescent="0.25">
      <c r="A2432" s="8">
        <v>41208</v>
      </c>
      <c r="B2432">
        <v>943465.29</v>
      </c>
      <c r="C2432">
        <v>0</v>
      </c>
      <c r="D2432">
        <v>39.94</v>
      </c>
      <c r="E2432">
        <v>3.7549999999999999</v>
      </c>
      <c r="F2432">
        <v>131.19309680000001</v>
      </c>
      <c r="G2432">
        <v>5.5270000000000001</v>
      </c>
      <c r="N2432" s="8"/>
    </row>
    <row r="2433" spans="1:14" x14ac:dyDescent="0.25">
      <c r="A2433" s="8">
        <v>40214</v>
      </c>
      <c r="B2433">
        <v>1205307.5</v>
      </c>
      <c r="C2433">
        <v>0</v>
      </c>
      <c r="D2433">
        <v>21.33</v>
      </c>
      <c r="E2433">
        <v>2.7879999999999998</v>
      </c>
      <c r="F2433">
        <v>131.5279032</v>
      </c>
      <c r="G2433">
        <v>9.202</v>
      </c>
      <c r="N2433" s="8"/>
    </row>
    <row r="2434" spans="1:14" x14ac:dyDescent="0.25">
      <c r="A2434" s="8">
        <v>40221</v>
      </c>
      <c r="B2434">
        <v>1187880.7</v>
      </c>
      <c r="C2434">
        <v>1</v>
      </c>
      <c r="D2434">
        <v>26.41</v>
      </c>
      <c r="E2434">
        <v>2.7709999999999999</v>
      </c>
      <c r="F2434">
        <v>131.58661290000001</v>
      </c>
      <c r="G2434">
        <v>9.202</v>
      </c>
      <c r="N2434" s="8"/>
    </row>
    <row r="2435" spans="1:14" x14ac:dyDescent="0.25">
      <c r="A2435" s="8">
        <v>40228</v>
      </c>
      <c r="B2435">
        <v>1150663.42</v>
      </c>
      <c r="C2435">
        <v>0</v>
      </c>
      <c r="D2435">
        <v>30.91</v>
      </c>
      <c r="E2435">
        <v>2.7469999999999999</v>
      </c>
      <c r="F2435">
        <v>131.637</v>
      </c>
      <c r="G2435">
        <v>9.202</v>
      </c>
      <c r="N2435" s="8"/>
    </row>
    <row r="2436" spans="1:14" x14ac:dyDescent="0.25">
      <c r="A2436" s="8">
        <v>40235</v>
      </c>
      <c r="B2436">
        <v>1068157.45</v>
      </c>
      <c r="C2436">
        <v>0</v>
      </c>
      <c r="D2436">
        <v>35.42</v>
      </c>
      <c r="E2436">
        <v>2.7530000000000001</v>
      </c>
      <c r="F2436">
        <v>131.68600000000001</v>
      </c>
      <c r="G2436">
        <v>9.202</v>
      </c>
      <c r="N2436" s="8"/>
    </row>
    <row r="2437" spans="1:14" x14ac:dyDescent="0.25">
      <c r="A2437" s="8">
        <v>40242</v>
      </c>
      <c r="B2437">
        <v>1179738.5</v>
      </c>
      <c r="C2437">
        <v>0</v>
      </c>
      <c r="D2437">
        <v>37.17</v>
      </c>
      <c r="E2437">
        <v>2.766</v>
      </c>
      <c r="F2437">
        <v>131.73500000000001</v>
      </c>
      <c r="G2437">
        <v>9.202</v>
      </c>
      <c r="N2437" s="8"/>
    </row>
    <row r="2438" spans="1:14" x14ac:dyDescent="0.25">
      <c r="A2438" s="8">
        <v>40249</v>
      </c>
      <c r="B2438">
        <v>1138800.32</v>
      </c>
      <c r="C2438">
        <v>0</v>
      </c>
      <c r="D2438">
        <v>42.39</v>
      </c>
      <c r="E2438">
        <v>2.8050000000000002</v>
      </c>
      <c r="F2438">
        <v>131.78399999999999</v>
      </c>
      <c r="G2438">
        <v>9.202</v>
      </c>
      <c r="N2438" s="8"/>
    </row>
    <row r="2439" spans="1:14" x14ac:dyDescent="0.25">
      <c r="A2439" s="8">
        <v>40256</v>
      </c>
      <c r="B2439">
        <v>1087507.47</v>
      </c>
      <c r="C2439">
        <v>0</v>
      </c>
      <c r="D2439">
        <v>45.42</v>
      </c>
      <c r="E2439">
        <v>2.8340000000000001</v>
      </c>
      <c r="F2439">
        <v>131.8242903</v>
      </c>
      <c r="G2439">
        <v>9.202</v>
      </c>
      <c r="N2439" s="8"/>
    </row>
    <row r="2440" spans="1:14" x14ac:dyDescent="0.25">
      <c r="A2440" s="8">
        <v>40263</v>
      </c>
      <c r="B2440">
        <v>1092704.0900000001</v>
      </c>
      <c r="C2440">
        <v>0</v>
      </c>
      <c r="D2440">
        <v>47.55</v>
      </c>
      <c r="E2440">
        <v>2.831</v>
      </c>
      <c r="F2440">
        <v>131.86312899999999</v>
      </c>
      <c r="G2440">
        <v>9.202</v>
      </c>
      <c r="N2440" s="8"/>
    </row>
    <row r="2441" spans="1:14" x14ac:dyDescent="0.25">
      <c r="A2441" s="8">
        <v>40270</v>
      </c>
      <c r="B2441">
        <v>1254107.8400000001</v>
      </c>
      <c r="C2441">
        <v>0</v>
      </c>
      <c r="D2441">
        <v>45.63</v>
      </c>
      <c r="E2441">
        <v>2.8260000000000001</v>
      </c>
      <c r="F2441">
        <v>131.9019677</v>
      </c>
      <c r="G2441">
        <v>9.2690000000000001</v>
      </c>
      <c r="N2441" s="8"/>
    </row>
    <row r="2442" spans="1:14" x14ac:dyDescent="0.25">
      <c r="A2442" s="8">
        <v>40277</v>
      </c>
      <c r="B2442">
        <v>1174447.55</v>
      </c>
      <c r="C2442">
        <v>0</v>
      </c>
      <c r="D2442">
        <v>59.91</v>
      </c>
      <c r="E2442">
        <v>2.8490000000000002</v>
      </c>
      <c r="F2442">
        <v>131.94080650000001</v>
      </c>
      <c r="G2442">
        <v>9.2690000000000001</v>
      </c>
      <c r="N2442" s="8"/>
    </row>
    <row r="2443" spans="1:14" x14ac:dyDescent="0.25">
      <c r="A2443" s="8">
        <v>40284</v>
      </c>
      <c r="B2443">
        <v>1135577.6200000001</v>
      </c>
      <c r="C2443">
        <v>0</v>
      </c>
      <c r="D2443">
        <v>50.26</v>
      </c>
      <c r="E2443">
        <v>2.8849999999999998</v>
      </c>
      <c r="F2443">
        <v>131.98089999999999</v>
      </c>
      <c r="G2443">
        <v>9.2690000000000001</v>
      </c>
      <c r="N2443" s="8"/>
    </row>
    <row r="2444" spans="1:14" x14ac:dyDescent="0.25">
      <c r="A2444" s="8">
        <v>40291</v>
      </c>
      <c r="B2444">
        <v>1132433.55</v>
      </c>
      <c r="C2444">
        <v>0</v>
      </c>
      <c r="D2444">
        <v>50.3</v>
      </c>
      <c r="E2444">
        <v>2.895</v>
      </c>
      <c r="F2444">
        <v>132.0226667</v>
      </c>
      <c r="G2444">
        <v>9.2690000000000001</v>
      </c>
      <c r="N2444" s="8"/>
    </row>
    <row r="2445" spans="1:14" x14ac:dyDescent="0.25">
      <c r="A2445" s="8">
        <v>40298</v>
      </c>
      <c r="B2445">
        <v>1060446.1599999999</v>
      </c>
      <c r="C2445">
        <v>0</v>
      </c>
      <c r="D2445">
        <v>51.12</v>
      </c>
      <c r="E2445">
        <v>2.9350000000000001</v>
      </c>
      <c r="F2445">
        <v>132.06443329999999</v>
      </c>
      <c r="G2445">
        <v>9.2690000000000001</v>
      </c>
      <c r="N2445" s="8"/>
    </row>
    <row r="2446" spans="1:14" x14ac:dyDescent="0.25">
      <c r="A2446" s="8">
        <v>40305</v>
      </c>
      <c r="B2446">
        <v>1222255.47</v>
      </c>
      <c r="C2446">
        <v>0</v>
      </c>
      <c r="D2446">
        <v>65.64</v>
      </c>
      <c r="E2446">
        <v>2.9809999999999999</v>
      </c>
      <c r="F2446">
        <v>132.1062</v>
      </c>
      <c r="G2446">
        <v>9.2690000000000001</v>
      </c>
      <c r="N2446" s="8"/>
    </row>
    <row r="2447" spans="1:14" x14ac:dyDescent="0.25">
      <c r="A2447" s="8">
        <v>40312</v>
      </c>
      <c r="B2447">
        <v>1092616.49</v>
      </c>
      <c r="C2447">
        <v>0</v>
      </c>
      <c r="D2447">
        <v>49.9</v>
      </c>
      <c r="E2447">
        <v>2.9830000000000001</v>
      </c>
      <c r="F2447">
        <v>132.152129</v>
      </c>
      <c r="G2447">
        <v>9.2690000000000001</v>
      </c>
      <c r="N2447" s="8"/>
    </row>
    <row r="2448" spans="1:14" x14ac:dyDescent="0.25">
      <c r="A2448" s="8">
        <v>40319</v>
      </c>
      <c r="B2448">
        <v>1101621.3600000001</v>
      </c>
      <c r="C2448">
        <v>0</v>
      </c>
      <c r="D2448">
        <v>60.27</v>
      </c>
      <c r="E2448">
        <v>2.9609999999999999</v>
      </c>
      <c r="F2448">
        <v>132.2230323</v>
      </c>
      <c r="G2448">
        <v>9.2690000000000001</v>
      </c>
      <c r="N2448" s="8"/>
    </row>
    <row r="2449" spans="1:14" x14ac:dyDescent="0.25">
      <c r="A2449" s="8">
        <v>40326</v>
      </c>
      <c r="B2449">
        <v>1256282.79</v>
      </c>
      <c r="C2449">
        <v>0</v>
      </c>
      <c r="D2449">
        <v>69.12</v>
      </c>
      <c r="E2449">
        <v>2.9060000000000001</v>
      </c>
      <c r="F2449">
        <v>132.2939355</v>
      </c>
      <c r="G2449">
        <v>9.2690000000000001</v>
      </c>
      <c r="N2449" s="8"/>
    </row>
    <row r="2450" spans="1:14" x14ac:dyDescent="0.25">
      <c r="A2450" s="8">
        <v>40333</v>
      </c>
      <c r="B2450">
        <v>1271311.76</v>
      </c>
      <c r="C2450">
        <v>0</v>
      </c>
      <c r="D2450">
        <v>70.28</v>
      </c>
      <c r="E2450">
        <v>2.8570000000000002</v>
      </c>
      <c r="F2450">
        <v>132.36483870000001</v>
      </c>
      <c r="G2450">
        <v>9.2690000000000001</v>
      </c>
      <c r="N2450" s="8"/>
    </row>
    <row r="2451" spans="1:14" x14ac:dyDescent="0.25">
      <c r="A2451" s="8">
        <v>40340</v>
      </c>
      <c r="B2451">
        <v>1173521.82</v>
      </c>
      <c r="C2451">
        <v>0</v>
      </c>
      <c r="D2451">
        <v>64.08</v>
      </c>
      <c r="E2451">
        <v>2.83</v>
      </c>
      <c r="F2451">
        <v>132.43574190000001</v>
      </c>
      <c r="G2451">
        <v>9.2690000000000001</v>
      </c>
      <c r="N2451" s="8"/>
    </row>
    <row r="2452" spans="1:14" x14ac:dyDescent="0.25">
      <c r="A2452" s="8">
        <v>40347</v>
      </c>
      <c r="B2452">
        <v>1183225.92</v>
      </c>
      <c r="C2452">
        <v>0</v>
      </c>
      <c r="D2452">
        <v>65.959999999999994</v>
      </c>
      <c r="E2452">
        <v>2.8050000000000002</v>
      </c>
      <c r="F2452">
        <v>132.47333330000001</v>
      </c>
      <c r="G2452">
        <v>9.2690000000000001</v>
      </c>
      <c r="N2452" s="8"/>
    </row>
    <row r="2453" spans="1:14" x14ac:dyDescent="0.25">
      <c r="A2453" s="8">
        <v>40354</v>
      </c>
      <c r="B2453">
        <v>1220983.17</v>
      </c>
      <c r="C2453">
        <v>0</v>
      </c>
      <c r="D2453">
        <v>74.040000000000006</v>
      </c>
      <c r="E2453">
        <v>2.81</v>
      </c>
      <c r="F2453">
        <v>132.49760000000001</v>
      </c>
      <c r="G2453">
        <v>9.2690000000000001</v>
      </c>
      <c r="N2453" s="8"/>
    </row>
    <row r="2454" spans="1:14" x14ac:dyDescent="0.25">
      <c r="A2454" s="8">
        <v>40361</v>
      </c>
      <c r="B2454">
        <v>1257928.3500000001</v>
      </c>
      <c r="C2454">
        <v>0</v>
      </c>
      <c r="D2454">
        <v>71.22</v>
      </c>
      <c r="E2454">
        <v>2.8149999999999999</v>
      </c>
      <c r="F2454">
        <v>132.5218667</v>
      </c>
      <c r="G2454">
        <v>9.3420000000000005</v>
      </c>
      <c r="N2454" s="8"/>
    </row>
    <row r="2455" spans="1:14" x14ac:dyDescent="0.25">
      <c r="A2455" s="8">
        <v>40368</v>
      </c>
      <c r="B2455">
        <v>1171391.4099999999</v>
      </c>
      <c r="C2455">
        <v>0</v>
      </c>
      <c r="D2455">
        <v>79.75</v>
      </c>
      <c r="E2455">
        <v>2.806</v>
      </c>
      <c r="F2455">
        <v>132.54613330000001</v>
      </c>
      <c r="G2455">
        <v>9.3420000000000005</v>
      </c>
      <c r="N2455" s="8"/>
    </row>
    <row r="2456" spans="1:14" x14ac:dyDescent="0.25">
      <c r="A2456" s="8">
        <v>40375</v>
      </c>
      <c r="B2456">
        <v>1115514.6100000001</v>
      </c>
      <c r="C2456">
        <v>0</v>
      </c>
      <c r="D2456">
        <v>76.900000000000006</v>
      </c>
      <c r="E2456">
        <v>2.7959999999999998</v>
      </c>
      <c r="F2456">
        <v>132.5667742</v>
      </c>
      <c r="G2456">
        <v>9.3420000000000005</v>
      </c>
      <c r="N2456" s="8"/>
    </row>
    <row r="2457" spans="1:14" x14ac:dyDescent="0.25">
      <c r="A2457" s="8">
        <v>40382</v>
      </c>
      <c r="B2457">
        <v>1032908.23</v>
      </c>
      <c r="C2457">
        <v>0</v>
      </c>
      <c r="D2457">
        <v>75.709999999999994</v>
      </c>
      <c r="E2457">
        <v>2.7839999999999998</v>
      </c>
      <c r="F2457">
        <v>132.5825806</v>
      </c>
      <c r="G2457">
        <v>9.3420000000000005</v>
      </c>
      <c r="N2457" s="8"/>
    </row>
    <row r="2458" spans="1:14" x14ac:dyDescent="0.25">
      <c r="A2458" s="8">
        <v>40389</v>
      </c>
      <c r="B2458">
        <v>1078557.6200000001</v>
      </c>
      <c r="C2458">
        <v>0</v>
      </c>
      <c r="D2458">
        <v>75.790000000000006</v>
      </c>
      <c r="E2458">
        <v>2.7919999999999998</v>
      </c>
      <c r="F2458">
        <v>132.5983871</v>
      </c>
      <c r="G2458">
        <v>9.3420000000000005</v>
      </c>
      <c r="N2458" s="8"/>
    </row>
    <row r="2459" spans="1:14" x14ac:dyDescent="0.25">
      <c r="A2459" s="8">
        <v>40396</v>
      </c>
      <c r="B2459">
        <v>1166117.8500000001</v>
      </c>
      <c r="C2459">
        <v>0</v>
      </c>
      <c r="D2459">
        <v>73.67</v>
      </c>
      <c r="E2459">
        <v>2.7919999999999998</v>
      </c>
      <c r="F2459">
        <v>132.6141935</v>
      </c>
      <c r="G2459">
        <v>9.3420000000000005</v>
      </c>
      <c r="N2459" s="8"/>
    </row>
    <row r="2460" spans="1:14" x14ac:dyDescent="0.25">
      <c r="A2460" s="8">
        <v>40403</v>
      </c>
      <c r="B2460">
        <v>1084722.78</v>
      </c>
      <c r="C2460">
        <v>0</v>
      </c>
      <c r="D2460">
        <v>74.19</v>
      </c>
      <c r="E2460">
        <v>2.81</v>
      </c>
      <c r="F2460">
        <v>132.63</v>
      </c>
      <c r="G2460">
        <v>9.3420000000000005</v>
      </c>
      <c r="N2460" s="8"/>
    </row>
    <row r="2461" spans="1:14" x14ac:dyDescent="0.25">
      <c r="A2461" s="8">
        <v>40410</v>
      </c>
      <c r="B2461">
        <v>1141860.67</v>
      </c>
      <c r="C2461">
        <v>0</v>
      </c>
      <c r="D2461">
        <v>71.760000000000005</v>
      </c>
      <c r="E2461">
        <v>2.7959999999999998</v>
      </c>
      <c r="F2461">
        <v>132.66161289999999</v>
      </c>
      <c r="G2461">
        <v>9.3420000000000005</v>
      </c>
      <c r="N2461" s="8"/>
    </row>
    <row r="2462" spans="1:14" x14ac:dyDescent="0.25">
      <c r="A2462" s="8">
        <v>40417</v>
      </c>
      <c r="B2462">
        <v>1214302.76</v>
      </c>
      <c r="C2462">
        <v>0</v>
      </c>
      <c r="D2462">
        <v>67.05</v>
      </c>
      <c r="E2462">
        <v>2.77</v>
      </c>
      <c r="F2462">
        <v>132.69322579999999</v>
      </c>
      <c r="G2462">
        <v>9.3420000000000005</v>
      </c>
      <c r="N2462" s="8"/>
    </row>
    <row r="2463" spans="1:14" x14ac:dyDescent="0.25">
      <c r="A2463" s="8">
        <v>40424</v>
      </c>
      <c r="B2463">
        <v>1187359.77</v>
      </c>
      <c r="C2463">
        <v>0</v>
      </c>
      <c r="D2463">
        <v>75.42</v>
      </c>
      <c r="E2463">
        <v>2.7349999999999999</v>
      </c>
      <c r="F2463">
        <v>132.72483869999999</v>
      </c>
      <c r="G2463">
        <v>9.3420000000000005</v>
      </c>
      <c r="N2463" s="8"/>
    </row>
    <row r="2464" spans="1:14" x14ac:dyDescent="0.25">
      <c r="A2464" s="8">
        <v>40431</v>
      </c>
      <c r="B2464">
        <v>1011201.12</v>
      </c>
      <c r="C2464">
        <v>1</v>
      </c>
      <c r="D2464">
        <v>67.09</v>
      </c>
      <c r="E2464">
        <v>2.7170000000000001</v>
      </c>
      <c r="F2464">
        <v>132.75645159999999</v>
      </c>
      <c r="G2464">
        <v>9.3420000000000005</v>
      </c>
      <c r="N2464" s="8"/>
    </row>
    <row r="2465" spans="1:14" x14ac:dyDescent="0.25">
      <c r="A2465" s="8">
        <v>40438</v>
      </c>
      <c r="B2465">
        <v>997998.21</v>
      </c>
      <c r="C2465">
        <v>0</v>
      </c>
      <c r="D2465">
        <v>60.94</v>
      </c>
      <c r="E2465">
        <v>2.7160000000000002</v>
      </c>
      <c r="F2465">
        <v>132.76706669999999</v>
      </c>
      <c r="G2465">
        <v>9.3420000000000005</v>
      </c>
      <c r="N2465" s="8"/>
    </row>
    <row r="2466" spans="1:14" x14ac:dyDescent="0.25">
      <c r="A2466" s="8">
        <v>40445</v>
      </c>
      <c r="B2466">
        <v>950862.92</v>
      </c>
      <c r="C2466">
        <v>0</v>
      </c>
      <c r="D2466">
        <v>64.819999999999993</v>
      </c>
      <c r="E2466">
        <v>2.718</v>
      </c>
      <c r="F2466">
        <v>132.76193330000001</v>
      </c>
      <c r="G2466">
        <v>9.3420000000000005</v>
      </c>
      <c r="N2466" s="8"/>
    </row>
    <row r="2467" spans="1:14" x14ac:dyDescent="0.25">
      <c r="A2467" s="8">
        <v>40452</v>
      </c>
      <c r="B2467">
        <v>948977.5</v>
      </c>
      <c r="C2467">
        <v>0</v>
      </c>
      <c r="D2467">
        <v>67.760000000000005</v>
      </c>
      <c r="E2467">
        <v>2.7170000000000001</v>
      </c>
      <c r="F2467">
        <v>132.7568</v>
      </c>
      <c r="G2467">
        <v>9.3309999999999995</v>
      </c>
      <c r="N2467" s="8"/>
    </row>
    <row r="2468" spans="1:14" x14ac:dyDescent="0.25">
      <c r="A2468" s="8">
        <v>40459</v>
      </c>
      <c r="B2468">
        <v>1107432.71</v>
      </c>
      <c r="C2468">
        <v>0</v>
      </c>
      <c r="D2468">
        <v>54.73</v>
      </c>
      <c r="E2468">
        <v>2.7759999999999998</v>
      </c>
      <c r="F2468">
        <v>132.75166669999999</v>
      </c>
      <c r="G2468">
        <v>9.3309999999999995</v>
      </c>
      <c r="N2468" s="8"/>
    </row>
    <row r="2469" spans="1:14" x14ac:dyDescent="0.25">
      <c r="A2469" s="8">
        <v>40466</v>
      </c>
      <c r="B2469">
        <v>1029618.1</v>
      </c>
      <c r="C2469">
        <v>0</v>
      </c>
      <c r="D2469">
        <v>52.02</v>
      </c>
      <c r="E2469">
        <v>2.8780000000000001</v>
      </c>
      <c r="F2469">
        <v>132.7633548</v>
      </c>
      <c r="G2469">
        <v>9.3309999999999995</v>
      </c>
      <c r="N2469" s="8"/>
    </row>
    <row r="2470" spans="1:14" x14ac:dyDescent="0.25">
      <c r="A2470" s="8">
        <v>40473</v>
      </c>
      <c r="B2470">
        <v>1052120.43</v>
      </c>
      <c r="C2470">
        <v>0</v>
      </c>
      <c r="D2470">
        <v>47.12</v>
      </c>
      <c r="E2470">
        <v>2.919</v>
      </c>
      <c r="F2470">
        <v>132.8170968</v>
      </c>
      <c r="G2470">
        <v>9.3309999999999995</v>
      </c>
      <c r="N2470" s="8"/>
    </row>
    <row r="2471" spans="1:14" x14ac:dyDescent="0.25">
      <c r="A2471" s="8">
        <v>40480</v>
      </c>
      <c r="B2471">
        <v>1038576.54</v>
      </c>
      <c r="C2471">
        <v>0</v>
      </c>
      <c r="D2471">
        <v>55.85</v>
      </c>
      <c r="E2471">
        <v>2.9380000000000002</v>
      </c>
      <c r="F2471">
        <v>132.87083870000001</v>
      </c>
      <c r="G2471">
        <v>9.3309999999999995</v>
      </c>
      <c r="N2471" s="8"/>
    </row>
    <row r="2472" spans="1:14" x14ac:dyDescent="0.25">
      <c r="A2472" s="8">
        <v>40487</v>
      </c>
      <c r="B2472">
        <v>1089530.94</v>
      </c>
      <c r="C2472">
        <v>0</v>
      </c>
      <c r="D2472">
        <v>42.05</v>
      </c>
      <c r="E2472">
        <v>2.9380000000000002</v>
      </c>
      <c r="F2472">
        <v>132.92458060000001</v>
      </c>
      <c r="G2472">
        <v>9.3309999999999995</v>
      </c>
      <c r="N2472" s="8"/>
    </row>
    <row r="2473" spans="1:14" x14ac:dyDescent="0.25">
      <c r="A2473" s="8">
        <v>40494</v>
      </c>
      <c r="B2473">
        <v>1081322.1200000001</v>
      </c>
      <c r="C2473">
        <v>0</v>
      </c>
      <c r="D2473">
        <v>43.17</v>
      </c>
      <c r="E2473">
        <v>2.9609999999999999</v>
      </c>
      <c r="F2473">
        <v>132.97832260000001</v>
      </c>
      <c r="G2473">
        <v>9.3309999999999995</v>
      </c>
      <c r="N2473" s="8"/>
    </row>
    <row r="2474" spans="1:14" x14ac:dyDescent="0.25">
      <c r="A2474" s="8">
        <v>40501</v>
      </c>
      <c r="B2474">
        <v>1045722.37</v>
      </c>
      <c r="C2474">
        <v>0</v>
      </c>
      <c r="D2474">
        <v>45.26</v>
      </c>
      <c r="E2474">
        <v>3.03</v>
      </c>
      <c r="F2474">
        <v>132.91720000000001</v>
      </c>
      <c r="G2474">
        <v>9.3309999999999995</v>
      </c>
      <c r="N2474" s="8"/>
    </row>
    <row r="2475" spans="1:14" x14ac:dyDescent="0.25">
      <c r="A2475" s="8">
        <v>40508</v>
      </c>
      <c r="B2475">
        <v>1653759.36</v>
      </c>
      <c r="C2475">
        <v>1</v>
      </c>
      <c r="D2475">
        <v>40.81</v>
      </c>
      <c r="E2475">
        <v>3.07</v>
      </c>
      <c r="F2475">
        <v>132.8369333</v>
      </c>
      <c r="G2475">
        <v>9.3309999999999995</v>
      </c>
      <c r="N2475" s="8"/>
    </row>
    <row r="2476" spans="1:14" x14ac:dyDescent="0.25">
      <c r="A2476" s="8">
        <v>40515</v>
      </c>
      <c r="B2476">
        <v>1211026.1299999999</v>
      </c>
      <c r="C2476">
        <v>0</v>
      </c>
      <c r="D2476">
        <v>37.090000000000003</v>
      </c>
      <c r="E2476">
        <v>3.0649999999999999</v>
      </c>
      <c r="F2476">
        <v>132.75666670000001</v>
      </c>
      <c r="G2476">
        <v>9.3309999999999995</v>
      </c>
      <c r="N2476" s="8"/>
    </row>
    <row r="2477" spans="1:14" x14ac:dyDescent="0.25">
      <c r="A2477" s="8">
        <v>40522</v>
      </c>
      <c r="B2477">
        <v>1416168.98</v>
      </c>
      <c r="C2477">
        <v>0</v>
      </c>
      <c r="D2477">
        <v>25.64</v>
      </c>
      <c r="E2477">
        <v>3.1320000000000001</v>
      </c>
      <c r="F2477">
        <v>132.6764</v>
      </c>
      <c r="G2477">
        <v>9.3309999999999995</v>
      </c>
      <c r="N2477" s="8"/>
    </row>
    <row r="2478" spans="1:14" x14ac:dyDescent="0.25">
      <c r="A2478" s="8">
        <v>40529</v>
      </c>
      <c r="B2478">
        <v>1588430.71</v>
      </c>
      <c r="C2478">
        <v>0</v>
      </c>
      <c r="D2478">
        <v>27.4</v>
      </c>
      <c r="E2478">
        <v>3.1389999999999998</v>
      </c>
      <c r="F2478">
        <v>132.6804516</v>
      </c>
      <c r="G2478">
        <v>9.3309999999999995</v>
      </c>
      <c r="N2478" s="8"/>
    </row>
    <row r="2479" spans="1:14" x14ac:dyDescent="0.25">
      <c r="A2479" s="8">
        <v>40536</v>
      </c>
      <c r="B2479">
        <v>2027507.15</v>
      </c>
      <c r="C2479">
        <v>0</v>
      </c>
      <c r="D2479">
        <v>28.16</v>
      </c>
      <c r="E2479">
        <v>3.15</v>
      </c>
      <c r="F2479">
        <v>132.74774189999999</v>
      </c>
      <c r="G2479">
        <v>9.3309999999999995</v>
      </c>
      <c r="N2479" s="8"/>
    </row>
    <row r="2480" spans="1:14" x14ac:dyDescent="0.25">
      <c r="A2480" s="8">
        <v>40543</v>
      </c>
      <c r="B2480">
        <v>887907.01</v>
      </c>
      <c r="C2480">
        <v>1</v>
      </c>
      <c r="D2480">
        <v>26.1</v>
      </c>
      <c r="E2480">
        <v>3.177</v>
      </c>
      <c r="F2480">
        <v>132.81503230000001</v>
      </c>
      <c r="G2480">
        <v>9.3309999999999995</v>
      </c>
      <c r="N2480" s="8"/>
    </row>
    <row r="2481" spans="1:14" x14ac:dyDescent="0.25">
      <c r="A2481" s="8">
        <v>40550</v>
      </c>
      <c r="B2481">
        <v>933960.3</v>
      </c>
      <c r="C2481">
        <v>0</v>
      </c>
      <c r="D2481">
        <v>30.1</v>
      </c>
      <c r="E2481">
        <v>3.1930000000000001</v>
      </c>
      <c r="F2481">
        <v>132.88232260000001</v>
      </c>
      <c r="G2481">
        <v>9.1310000000000002</v>
      </c>
      <c r="N2481" s="8"/>
    </row>
    <row r="2482" spans="1:14" x14ac:dyDescent="0.25">
      <c r="A2482" s="8">
        <v>40557</v>
      </c>
      <c r="B2482">
        <v>777175.28</v>
      </c>
      <c r="C2482">
        <v>0</v>
      </c>
      <c r="D2482">
        <v>22.69</v>
      </c>
      <c r="E2482">
        <v>3.2149999999999999</v>
      </c>
      <c r="F2482">
        <v>132.9510645</v>
      </c>
      <c r="G2482">
        <v>9.1310000000000002</v>
      </c>
      <c r="N2482" s="8"/>
    </row>
    <row r="2483" spans="1:14" x14ac:dyDescent="0.25">
      <c r="A2483" s="8">
        <v>40564</v>
      </c>
      <c r="B2483">
        <v>891148.55</v>
      </c>
      <c r="C2483">
        <v>0</v>
      </c>
      <c r="D2483">
        <v>22.55</v>
      </c>
      <c r="E2483">
        <v>3.2320000000000002</v>
      </c>
      <c r="F2483">
        <v>133.02851609999999</v>
      </c>
      <c r="G2483">
        <v>9.1310000000000002</v>
      </c>
      <c r="N2483" s="8"/>
    </row>
    <row r="2484" spans="1:14" x14ac:dyDescent="0.25">
      <c r="A2484" s="8">
        <v>40571</v>
      </c>
      <c r="B2484">
        <v>849540.85</v>
      </c>
      <c r="C2484">
        <v>0</v>
      </c>
      <c r="D2484">
        <v>14.84</v>
      </c>
      <c r="E2484">
        <v>3.2429999999999999</v>
      </c>
      <c r="F2484">
        <v>133.10596770000001</v>
      </c>
      <c r="G2484">
        <v>9.1310000000000002</v>
      </c>
      <c r="N2484" s="8"/>
    </row>
    <row r="2485" spans="1:14" x14ac:dyDescent="0.25">
      <c r="A2485" s="8">
        <v>40578</v>
      </c>
      <c r="B2485">
        <v>1055841.24</v>
      </c>
      <c r="C2485">
        <v>0</v>
      </c>
      <c r="D2485">
        <v>20.79</v>
      </c>
      <c r="E2485">
        <v>3.24</v>
      </c>
      <c r="F2485">
        <v>133.18341939999999</v>
      </c>
      <c r="G2485">
        <v>9.1310000000000002</v>
      </c>
      <c r="N2485" s="8"/>
    </row>
    <row r="2486" spans="1:14" x14ac:dyDescent="0.25">
      <c r="A2486" s="8">
        <v>40585</v>
      </c>
      <c r="B2486">
        <v>1122053.58</v>
      </c>
      <c r="C2486">
        <v>1</v>
      </c>
      <c r="D2486">
        <v>24.3</v>
      </c>
      <c r="E2486">
        <v>3.2549999999999999</v>
      </c>
      <c r="F2486">
        <v>133.26087100000001</v>
      </c>
      <c r="G2486">
        <v>9.1310000000000002</v>
      </c>
      <c r="N2486" s="8"/>
    </row>
    <row r="2487" spans="1:14" x14ac:dyDescent="0.25">
      <c r="A2487" s="8">
        <v>40592</v>
      </c>
      <c r="B2487">
        <v>1095058.57</v>
      </c>
      <c r="C2487">
        <v>0</v>
      </c>
      <c r="D2487">
        <v>31.59</v>
      </c>
      <c r="E2487">
        <v>3.2629999999999999</v>
      </c>
      <c r="F2487">
        <v>133.37014289999999</v>
      </c>
      <c r="G2487">
        <v>9.1310000000000002</v>
      </c>
      <c r="N2487" s="8"/>
    </row>
    <row r="2488" spans="1:14" x14ac:dyDescent="0.25">
      <c r="A2488" s="8">
        <v>40599</v>
      </c>
      <c r="B2488">
        <v>1005983.31</v>
      </c>
      <c r="C2488">
        <v>0</v>
      </c>
      <c r="D2488">
        <v>26.15</v>
      </c>
      <c r="E2488">
        <v>3.2810000000000001</v>
      </c>
      <c r="F2488">
        <v>133.4921429</v>
      </c>
      <c r="G2488">
        <v>9.1310000000000002</v>
      </c>
      <c r="N2488" s="8"/>
    </row>
    <row r="2489" spans="1:14" x14ac:dyDescent="0.25">
      <c r="A2489" s="8">
        <v>40606</v>
      </c>
      <c r="B2489">
        <v>1063310.6200000001</v>
      </c>
      <c r="C2489">
        <v>0</v>
      </c>
      <c r="D2489">
        <v>28.49</v>
      </c>
      <c r="E2489">
        <v>3.4369999999999998</v>
      </c>
      <c r="F2489">
        <v>133.61414289999999</v>
      </c>
      <c r="G2489">
        <v>9.1310000000000002</v>
      </c>
      <c r="N2489" s="8"/>
    </row>
    <row r="2490" spans="1:14" x14ac:dyDescent="0.25">
      <c r="A2490" s="8">
        <v>40613</v>
      </c>
      <c r="B2490">
        <v>1002714.25</v>
      </c>
      <c r="C2490">
        <v>0</v>
      </c>
      <c r="D2490">
        <v>38.4</v>
      </c>
      <c r="E2490">
        <v>3.6</v>
      </c>
      <c r="F2490">
        <v>133.7361429</v>
      </c>
      <c r="G2490">
        <v>9.1310000000000002</v>
      </c>
      <c r="N2490" s="8"/>
    </row>
    <row r="2491" spans="1:14" x14ac:dyDescent="0.25">
      <c r="A2491" s="8">
        <v>40620</v>
      </c>
      <c r="B2491">
        <v>945889.59</v>
      </c>
      <c r="C2491">
        <v>0</v>
      </c>
      <c r="D2491">
        <v>41.12</v>
      </c>
      <c r="E2491">
        <v>3.6339999999999999</v>
      </c>
      <c r="F2491">
        <v>133.8492258</v>
      </c>
      <c r="G2491">
        <v>9.1310000000000002</v>
      </c>
      <c r="N2491" s="8"/>
    </row>
    <row r="2492" spans="1:14" x14ac:dyDescent="0.25">
      <c r="A2492" s="8">
        <v>40627</v>
      </c>
      <c r="B2492">
        <v>944523.3</v>
      </c>
      <c r="C2492">
        <v>0</v>
      </c>
      <c r="D2492">
        <v>36.65</v>
      </c>
      <c r="E2492">
        <v>3.6240000000000001</v>
      </c>
      <c r="F2492">
        <v>133.95874190000001</v>
      </c>
      <c r="G2492">
        <v>9.1310000000000002</v>
      </c>
      <c r="N2492" s="8"/>
    </row>
    <row r="2493" spans="1:14" x14ac:dyDescent="0.25">
      <c r="A2493" s="8">
        <v>40634</v>
      </c>
      <c r="B2493">
        <v>938083.17</v>
      </c>
      <c r="C2493">
        <v>0</v>
      </c>
      <c r="D2493">
        <v>35.06</v>
      </c>
      <c r="E2493">
        <v>3.6379999999999999</v>
      </c>
      <c r="F2493">
        <v>134.06825810000001</v>
      </c>
      <c r="G2493">
        <v>8.9749999999999996</v>
      </c>
      <c r="N2493" s="8"/>
    </row>
    <row r="2494" spans="1:14" x14ac:dyDescent="0.25">
      <c r="A2494" s="8">
        <v>40641</v>
      </c>
      <c r="B2494">
        <v>1018541.3</v>
      </c>
      <c r="C2494">
        <v>0</v>
      </c>
      <c r="D2494">
        <v>43.32</v>
      </c>
      <c r="E2494">
        <v>3.72</v>
      </c>
      <c r="F2494">
        <v>134.17777419999999</v>
      </c>
      <c r="G2494">
        <v>8.9749999999999996</v>
      </c>
      <c r="N2494" s="8"/>
    </row>
    <row r="2495" spans="1:14" x14ac:dyDescent="0.25">
      <c r="A2495" s="8">
        <v>40648</v>
      </c>
      <c r="B2495">
        <v>988157.72</v>
      </c>
      <c r="C2495">
        <v>0</v>
      </c>
      <c r="D2495">
        <v>49.91</v>
      </c>
      <c r="E2495">
        <v>3.823</v>
      </c>
      <c r="F2495">
        <v>134.2784667</v>
      </c>
      <c r="G2495">
        <v>8.9749999999999996</v>
      </c>
      <c r="N2495" s="8"/>
    </row>
    <row r="2496" spans="1:14" x14ac:dyDescent="0.25">
      <c r="A2496" s="8">
        <v>40655</v>
      </c>
      <c r="B2496">
        <v>1105860.06</v>
      </c>
      <c r="C2496">
        <v>0</v>
      </c>
      <c r="D2496">
        <v>45.99</v>
      </c>
      <c r="E2496">
        <v>3.919</v>
      </c>
      <c r="F2496">
        <v>134.3571</v>
      </c>
      <c r="G2496">
        <v>8.9749999999999996</v>
      </c>
      <c r="N2496" s="8"/>
    </row>
    <row r="2497" spans="1:14" x14ac:dyDescent="0.25">
      <c r="A2497" s="8">
        <v>40662</v>
      </c>
      <c r="B2497">
        <v>974114.39</v>
      </c>
      <c r="C2497">
        <v>0</v>
      </c>
      <c r="D2497">
        <v>58.82</v>
      </c>
      <c r="E2497">
        <v>3.988</v>
      </c>
      <c r="F2497">
        <v>134.43573330000001</v>
      </c>
      <c r="G2497">
        <v>8.9749999999999996</v>
      </c>
      <c r="N2497" s="8"/>
    </row>
    <row r="2498" spans="1:14" x14ac:dyDescent="0.25">
      <c r="A2498" s="8">
        <v>40669</v>
      </c>
      <c r="B2498">
        <v>1065427.3700000001</v>
      </c>
      <c r="C2498">
        <v>0</v>
      </c>
      <c r="D2498">
        <v>54.17</v>
      </c>
      <c r="E2498">
        <v>4.0780000000000003</v>
      </c>
      <c r="F2498">
        <v>134.51436670000001</v>
      </c>
      <c r="G2498">
        <v>8.9749999999999996</v>
      </c>
      <c r="N2498" s="8"/>
    </row>
    <row r="2499" spans="1:14" x14ac:dyDescent="0.25">
      <c r="A2499" s="8">
        <v>40676</v>
      </c>
      <c r="B2499">
        <v>993172.98</v>
      </c>
      <c r="C2499">
        <v>0</v>
      </c>
      <c r="D2499">
        <v>58.48</v>
      </c>
      <c r="E2499">
        <v>4.0949999999999998</v>
      </c>
      <c r="F2499">
        <v>134.59299999999999</v>
      </c>
      <c r="G2499">
        <v>8.9749999999999996</v>
      </c>
      <c r="N2499" s="8"/>
    </row>
    <row r="2500" spans="1:14" x14ac:dyDescent="0.25">
      <c r="A2500" s="8">
        <v>40683</v>
      </c>
      <c r="B2500">
        <v>994610.43</v>
      </c>
      <c r="C2500">
        <v>0</v>
      </c>
      <c r="D2500">
        <v>57.55</v>
      </c>
      <c r="E2500">
        <v>4.101</v>
      </c>
      <c r="F2500">
        <v>134.68038709999999</v>
      </c>
      <c r="G2500">
        <v>8.9749999999999996</v>
      </c>
      <c r="N2500" s="8"/>
    </row>
    <row r="2501" spans="1:14" x14ac:dyDescent="0.25">
      <c r="A2501" s="8">
        <v>40690</v>
      </c>
      <c r="B2501">
        <v>1065214.1399999999</v>
      </c>
      <c r="C2501">
        <v>0</v>
      </c>
      <c r="D2501">
        <v>64.599999999999994</v>
      </c>
      <c r="E2501">
        <v>4.0339999999999998</v>
      </c>
      <c r="F2501">
        <v>134.76777419999999</v>
      </c>
      <c r="G2501">
        <v>8.9749999999999996</v>
      </c>
      <c r="N2501" s="8"/>
    </row>
    <row r="2502" spans="1:14" x14ac:dyDescent="0.25">
      <c r="A2502" s="8">
        <v>40697</v>
      </c>
      <c r="B2502">
        <v>1178039</v>
      </c>
      <c r="C2502">
        <v>0</v>
      </c>
      <c r="D2502">
        <v>70.900000000000006</v>
      </c>
      <c r="E2502">
        <v>3.9729999999999999</v>
      </c>
      <c r="F2502">
        <v>134.85516129999999</v>
      </c>
      <c r="G2502">
        <v>8.9749999999999996</v>
      </c>
      <c r="N2502" s="8"/>
    </row>
    <row r="2503" spans="1:14" x14ac:dyDescent="0.25">
      <c r="A2503" s="8">
        <v>40704</v>
      </c>
      <c r="B2503">
        <v>1044079.2</v>
      </c>
      <c r="C2503">
        <v>0</v>
      </c>
      <c r="D2503">
        <v>69.489999999999995</v>
      </c>
      <c r="E2503">
        <v>3.9239999999999999</v>
      </c>
      <c r="F2503">
        <v>134.94254839999999</v>
      </c>
      <c r="G2503">
        <v>8.9749999999999996</v>
      </c>
      <c r="N2503" s="8"/>
    </row>
    <row r="2504" spans="1:14" x14ac:dyDescent="0.25">
      <c r="A2504" s="8">
        <v>40711</v>
      </c>
      <c r="B2504">
        <v>1045859.39</v>
      </c>
      <c r="C2504">
        <v>0</v>
      </c>
      <c r="D2504">
        <v>63.23</v>
      </c>
      <c r="E2504">
        <v>3.8730000000000002</v>
      </c>
      <c r="F2504">
        <v>135.08373330000001</v>
      </c>
      <c r="G2504">
        <v>8.9749999999999996</v>
      </c>
      <c r="N2504" s="8"/>
    </row>
    <row r="2505" spans="1:14" x14ac:dyDescent="0.25">
      <c r="A2505" s="8">
        <v>40718</v>
      </c>
      <c r="B2505">
        <v>1056478.6499999999</v>
      </c>
      <c r="C2505">
        <v>0</v>
      </c>
      <c r="D2505">
        <v>67.41</v>
      </c>
      <c r="E2505">
        <v>3.851</v>
      </c>
      <c r="F2505">
        <v>135.26526670000001</v>
      </c>
      <c r="G2505">
        <v>8.9749999999999996</v>
      </c>
      <c r="N2505" s="8"/>
    </row>
    <row r="2506" spans="1:14" x14ac:dyDescent="0.25">
      <c r="A2506" s="8">
        <v>40725</v>
      </c>
      <c r="B2506">
        <v>1087051.26</v>
      </c>
      <c r="C2506">
        <v>0</v>
      </c>
      <c r="D2506">
        <v>69.75</v>
      </c>
      <c r="E2506">
        <v>3.8149999999999999</v>
      </c>
      <c r="F2506">
        <v>135.4468</v>
      </c>
      <c r="G2506">
        <v>8.89</v>
      </c>
      <c r="N2506" s="8"/>
    </row>
    <row r="2507" spans="1:14" x14ac:dyDescent="0.25">
      <c r="A2507" s="8">
        <v>40732</v>
      </c>
      <c r="B2507">
        <v>1048802.6200000001</v>
      </c>
      <c r="C2507">
        <v>0</v>
      </c>
      <c r="D2507">
        <v>73.12</v>
      </c>
      <c r="E2507">
        <v>3.7839999999999998</v>
      </c>
      <c r="F2507">
        <v>135.62833330000001</v>
      </c>
      <c r="G2507">
        <v>8.89</v>
      </c>
      <c r="N2507" s="8"/>
    </row>
    <row r="2508" spans="1:14" x14ac:dyDescent="0.25">
      <c r="A2508" s="8">
        <v>40739</v>
      </c>
      <c r="B2508">
        <v>974916.13</v>
      </c>
      <c r="C2508">
        <v>0</v>
      </c>
      <c r="D2508">
        <v>74.36</v>
      </c>
      <c r="E2508">
        <v>3.827</v>
      </c>
      <c r="F2508">
        <v>135.7837419</v>
      </c>
      <c r="G2508">
        <v>8.89</v>
      </c>
      <c r="N2508" s="8"/>
    </row>
    <row r="2509" spans="1:14" x14ac:dyDescent="0.25">
      <c r="A2509" s="8">
        <v>40746</v>
      </c>
      <c r="B2509">
        <v>991262.46</v>
      </c>
      <c r="C2509">
        <v>0</v>
      </c>
      <c r="D2509">
        <v>78.680000000000007</v>
      </c>
      <c r="E2509">
        <v>3.8820000000000001</v>
      </c>
      <c r="F2509">
        <v>135.87383869999999</v>
      </c>
      <c r="G2509">
        <v>8.89</v>
      </c>
      <c r="N2509" s="8"/>
    </row>
    <row r="2510" spans="1:14" x14ac:dyDescent="0.25">
      <c r="A2510" s="8">
        <v>40753</v>
      </c>
      <c r="B2510">
        <v>954148.64</v>
      </c>
      <c r="C2510">
        <v>0</v>
      </c>
      <c r="D2510">
        <v>73.849999999999994</v>
      </c>
      <c r="E2510">
        <v>3.8980000000000001</v>
      </c>
      <c r="F2510">
        <v>135.96393549999999</v>
      </c>
      <c r="G2510">
        <v>8.89</v>
      </c>
      <c r="N2510" s="8"/>
    </row>
    <row r="2511" spans="1:14" x14ac:dyDescent="0.25">
      <c r="A2511" s="8">
        <v>40760</v>
      </c>
      <c r="B2511">
        <v>1002806.39</v>
      </c>
      <c r="C2511">
        <v>0</v>
      </c>
      <c r="D2511">
        <v>74.58</v>
      </c>
      <c r="E2511">
        <v>3.903</v>
      </c>
      <c r="F2511">
        <v>136.05403229999999</v>
      </c>
      <c r="G2511">
        <v>8.89</v>
      </c>
      <c r="N2511" s="8"/>
    </row>
    <row r="2512" spans="1:14" x14ac:dyDescent="0.25">
      <c r="A2512" s="8">
        <v>40767</v>
      </c>
      <c r="B2512">
        <v>928470.83</v>
      </c>
      <c r="C2512">
        <v>0</v>
      </c>
      <c r="D2512">
        <v>73.569999999999993</v>
      </c>
      <c r="E2512">
        <v>3.88</v>
      </c>
      <c r="F2512">
        <v>136.14412899999999</v>
      </c>
      <c r="G2512">
        <v>8.89</v>
      </c>
      <c r="N2512" s="8"/>
    </row>
    <row r="2513" spans="1:14" x14ac:dyDescent="0.25">
      <c r="A2513" s="8">
        <v>40774</v>
      </c>
      <c r="B2513">
        <v>932679.79</v>
      </c>
      <c r="C2513">
        <v>0</v>
      </c>
      <c r="D2513">
        <v>69.239999999999995</v>
      </c>
      <c r="E2513">
        <v>3.82</v>
      </c>
      <c r="F2513">
        <v>136.18312900000001</v>
      </c>
      <c r="G2513">
        <v>8.89</v>
      </c>
      <c r="N2513" s="8"/>
    </row>
    <row r="2514" spans="1:14" x14ac:dyDescent="0.25">
      <c r="A2514" s="8">
        <v>40781</v>
      </c>
      <c r="B2514">
        <v>1147906.46</v>
      </c>
      <c r="C2514">
        <v>0</v>
      </c>
      <c r="D2514">
        <v>70.319999999999993</v>
      </c>
      <c r="E2514">
        <v>3.7959999999999998</v>
      </c>
      <c r="F2514">
        <v>136.21361289999999</v>
      </c>
      <c r="G2514">
        <v>8.89</v>
      </c>
      <c r="N2514" s="8"/>
    </row>
    <row r="2515" spans="1:14" x14ac:dyDescent="0.25">
      <c r="A2515" s="8">
        <v>40788</v>
      </c>
      <c r="B2515">
        <v>540922.93999999994</v>
      </c>
      <c r="C2515">
        <v>0</v>
      </c>
      <c r="D2515">
        <v>68.23</v>
      </c>
      <c r="E2515">
        <v>3.7839999999999998</v>
      </c>
      <c r="F2515">
        <v>136.24409679999999</v>
      </c>
      <c r="G2515">
        <v>8.89</v>
      </c>
      <c r="N2515" s="8"/>
    </row>
    <row r="2516" spans="1:14" x14ac:dyDescent="0.25">
      <c r="A2516" s="8">
        <v>40795</v>
      </c>
      <c r="B2516">
        <v>951549.61</v>
      </c>
      <c r="C2516">
        <v>1</v>
      </c>
      <c r="D2516">
        <v>68.11</v>
      </c>
      <c r="E2516">
        <v>3.8090000000000002</v>
      </c>
      <c r="F2516">
        <v>136.27458060000001</v>
      </c>
      <c r="G2516">
        <v>8.89</v>
      </c>
      <c r="N2516" s="8"/>
    </row>
    <row r="2517" spans="1:14" x14ac:dyDescent="0.25">
      <c r="A2517" s="8">
        <v>40802</v>
      </c>
      <c r="B2517">
        <v>845715.37</v>
      </c>
      <c r="C2517">
        <v>0</v>
      </c>
      <c r="D2517">
        <v>66.23</v>
      </c>
      <c r="E2517">
        <v>3.8090000000000002</v>
      </c>
      <c r="F2517">
        <v>136.31450000000001</v>
      </c>
      <c r="G2517">
        <v>8.89</v>
      </c>
      <c r="N2517" s="8"/>
    </row>
    <row r="2518" spans="1:14" x14ac:dyDescent="0.25">
      <c r="A2518" s="8">
        <v>40809</v>
      </c>
      <c r="B2518">
        <v>853073.17</v>
      </c>
      <c r="C2518">
        <v>0</v>
      </c>
      <c r="D2518">
        <v>60.44</v>
      </c>
      <c r="E2518">
        <v>3.758</v>
      </c>
      <c r="F2518">
        <v>136.36699999999999</v>
      </c>
      <c r="G2518">
        <v>8.89</v>
      </c>
      <c r="N2518" s="8"/>
    </row>
    <row r="2519" spans="1:14" x14ac:dyDescent="0.25">
      <c r="A2519" s="8">
        <v>40816</v>
      </c>
      <c r="B2519">
        <v>847348.08</v>
      </c>
      <c r="C2519">
        <v>0</v>
      </c>
      <c r="D2519">
        <v>69.010000000000005</v>
      </c>
      <c r="E2519">
        <v>3.6840000000000002</v>
      </c>
      <c r="F2519">
        <v>136.4195</v>
      </c>
      <c r="G2519">
        <v>8.89</v>
      </c>
      <c r="N2519" s="8"/>
    </row>
    <row r="2520" spans="1:14" x14ac:dyDescent="0.25">
      <c r="A2520" s="8">
        <v>40823</v>
      </c>
      <c r="B2520">
        <v>1019741.1</v>
      </c>
      <c r="C2520">
        <v>0</v>
      </c>
      <c r="D2520">
        <v>54.65</v>
      </c>
      <c r="E2520">
        <v>3.633</v>
      </c>
      <c r="F2520">
        <v>136.47200000000001</v>
      </c>
      <c r="G2520">
        <v>8.4710000000000001</v>
      </c>
      <c r="N2520" s="8"/>
    </row>
    <row r="2521" spans="1:14" x14ac:dyDescent="0.25">
      <c r="A2521" s="8">
        <v>40830</v>
      </c>
      <c r="B2521">
        <v>953533.95</v>
      </c>
      <c r="C2521">
        <v>0</v>
      </c>
      <c r="D2521">
        <v>60.26</v>
      </c>
      <c r="E2521">
        <v>3.5830000000000002</v>
      </c>
      <c r="F2521">
        <v>136.51509680000001</v>
      </c>
      <c r="G2521">
        <v>8.4710000000000001</v>
      </c>
      <c r="N2521" s="8"/>
    </row>
    <row r="2522" spans="1:14" x14ac:dyDescent="0.25">
      <c r="A2522" s="8">
        <v>40837</v>
      </c>
      <c r="B2522">
        <v>1048212.62</v>
      </c>
      <c r="C2522">
        <v>0</v>
      </c>
      <c r="D2522">
        <v>55.83</v>
      </c>
      <c r="E2522">
        <v>3.6179999999999999</v>
      </c>
      <c r="F2522">
        <v>136.5017742</v>
      </c>
      <c r="G2522">
        <v>8.4710000000000001</v>
      </c>
      <c r="N2522" s="8"/>
    </row>
    <row r="2523" spans="1:14" x14ac:dyDescent="0.25">
      <c r="A2523" s="8">
        <v>40844</v>
      </c>
      <c r="B2523">
        <v>1106642.6299999999</v>
      </c>
      <c r="C2523">
        <v>0</v>
      </c>
      <c r="D2523">
        <v>45.61</v>
      </c>
      <c r="E2523">
        <v>3.6040000000000001</v>
      </c>
      <c r="F2523">
        <v>136.48845159999999</v>
      </c>
      <c r="G2523">
        <v>8.4710000000000001</v>
      </c>
      <c r="N2523" s="8"/>
    </row>
    <row r="2524" spans="1:14" x14ac:dyDescent="0.25">
      <c r="A2524" s="8">
        <v>40851</v>
      </c>
      <c r="B2524">
        <v>1100625.06</v>
      </c>
      <c r="C2524">
        <v>0</v>
      </c>
      <c r="D2524">
        <v>38.29</v>
      </c>
      <c r="E2524">
        <v>3.5859999999999999</v>
      </c>
      <c r="F2524">
        <v>136.47512900000001</v>
      </c>
      <c r="G2524">
        <v>8.4710000000000001</v>
      </c>
      <c r="N2524" s="8"/>
    </row>
    <row r="2525" spans="1:14" x14ac:dyDescent="0.25">
      <c r="A2525" s="8">
        <v>40858</v>
      </c>
      <c r="B2525">
        <v>1079931.6299999999</v>
      </c>
      <c r="C2525">
        <v>0</v>
      </c>
      <c r="D2525">
        <v>45.69</v>
      </c>
      <c r="E2525">
        <v>3.57</v>
      </c>
      <c r="F2525">
        <v>136.46180649999999</v>
      </c>
      <c r="G2525">
        <v>8.4710000000000001</v>
      </c>
      <c r="N2525" s="8"/>
    </row>
    <row r="2526" spans="1:14" x14ac:dyDescent="0.25">
      <c r="A2526" s="8">
        <v>40865</v>
      </c>
      <c r="B2526">
        <v>1056992.18</v>
      </c>
      <c r="C2526">
        <v>0</v>
      </c>
      <c r="D2526">
        <v>47.88</v>
      </c>
      <c r="E2526">
        <v>3.5710000000000002</v>
      </c>
      <c r="F2526">
        <v>136.46666669999999</v>
      </c>
      <c r="G2526">
        <v>8.4710000000000001</v>
      </c>
      <c r="N2526" s="8"/>
    </row>
    <row r="2527" spans="1:14" x14ac:dyDescent="0.25">
      <c r="A2527" s="8">
        <v>40872</v>
      </c>
      <c r="B2527">
        <v>1624170.99</v>
      </c>
      <c r="C2527">
        <v>1</v>
      </c>
      <c r="D2527">
        <v>41.97</v>
      </c>
      <c r="E2527">
        <v>3.536</v>
      </c>
      <c r="F2527">
        <v>136.47880000000001</v>
      </c>
      <c r="G2527">
        <v>8.4710000000000001</v>
      </c>
      <c r="N2527" s="8"/>
    </row>
    <row r="2528" spans="1:14" x14ac:dyDescent="0.25">
      <c r="A2528" s="8">
        <v>40879</v>
      </c>
      <c r="B2528">
        <v>1188047.6100000001</v>
      </c>
      <c r="C2528">
        <v>0</v>
      </c>
      <c r="D2528">
        <v>46.25</v>
      </c>
      <c r="E2528">
        <v>3.5009999999999999</v>
      </c>
      <c r="F2528">
        <v>136.49093329999999</v>
      </c>
      <c r="G2528">
        <v>8.4710000000000001</v>
      </c>
      <c r="N2528" s="8"/>
    </row>
    <row r="2529" spans="1:14" x14ac:dyDescent="0.25">
      <c r="A2529" s="8">
        <v>40886</v>
      </c>
      <c r="B2529">
        <v>1368471.23</v>
      </c>
      <c r="C2529">
        <v>0</v>
      </c>
      <c r="D2529">
        <v>42.36</v>
      </c>
      <c r="E2529">
        <v>3.47</v>
      </c>
      <c r="F2529">
        <v>136.50306670000001</v>
      </c>
      <c r="G2529">
        <v>8.4710000000000001</v>
      </c>
      <c r="N2529" s="8"/>
    </row>
    <row r="2530" spans="1:14" x14ac:dyDescent="0.25">
      <c r="A2530" s="8">
        <v>40893</v>
      </c>
      <c r="B2530">
        <v>1516924.23</v>
      </c>
      <c r="C2530">
        <v>0</v>
      </c>
      <c r="D2530">
        <v>35.520000000000003</v>
      </c>
      <c r="E2530">
        <v>3.4449999999999998</v>
      </c>
      <c r="F2530">
        <v>136.53351610000001</v>
      </c>
      <c r="G2530">
        <v>8.4710000000000001</v>
      </c>
      <c r="N2530" s="8"/>
    </row>
    <row r="2531" spans="1:14" x14ac:dyDescent="0.25">
      <c r="A2531" s="8">
        <v>40900</v>
      </c>
      <c r="B2531">
        <v>1882393.4</v>
      </c>
      <c r="C2531">
        <v>0</v>
      </c>
      <c r="D2531">
        <v>35.78</v>
      </c>
      <c r="E2531">
        <v>3.4129999999999998</v>
      </c>
      <c r="F2531">
        <v>136.58838710000001</v>
      </c>
      <c r="G2531">
        <v>8.4710000000000001</v>
      </c>
      <c r="N2531" s="8"/>
    </row>
    <row r="2532" spans="1:14" x14ac:dyDescent="0.25">
      <c r="A2532" s="8">
        <v>40907</v>
      </c>
      <c r="B2532">
        <v>1010562.49</v>
      </c>
      <c r="C2532">
        <v>1</v>
      </c>
      <c r="D2532">
        <v>32.36</v>
      </c>
      <c r="E2532">
        <v>3.4020000000000001</v>
      </c>
      <c r="F2532">
        <v>136.6432581</v>
      </c>
      <c r="G2532">
        <v>8.4710000000000001</v>
      </c>
      <c r="N2532" s="8"/>
    </row>
    <row r="2533" spans="1:14" x14ac:dyDescent="0.25">
      <c r="A2533" s="8">
        <v>40914</v>
      </c>
      <c r="B2533">
        <v>977286.07</v>
      </c>
      <c r="C2533">
        <v>0</v>
      </c>
      <c r="D2533">
        <v>31.27</v>
      </c>
      <c r="E2533">
        <v>3.4390000000000001</v>
      </c>
      <c r="F2533">
        <v>136.69812899999999</v>
      </c>
      <c r="G2533">
        <v>8.0749999999999993</v>
      </c>
      <c r="N2533" s="8"/>
    </row>
    <row r="2534" spans="1:14" x14ac:dyDescent="0.25">
      <c r="A2534" s="8">
        <v>40921</v>
      </c>
      <c r="B2534">
        <v>890130.25</v>
      </c>
      <c r="C2534">
        <v>0</v>
      </c>
      <c r="D2534">
        <v>35.25</v>
      </c>
      <c r="E2534">
        <v>3.5230000000000001</v>
      </c>
      <c r="F2534">
        <v>136.75299999999999</v>
      </c>
      <c r="G2534">
        <v>8.0749999999999993</v>
      </c>
      <c r="N2534" s="8"/>
    </row>
    <row r="2535" spans="1:14" x14ac:dyDescent="0.25">
      <c r="A2535" s="8">
        <v>40928</v>
      </c>
      <c r="B2535">
        <v>937522.77</v>
      </c>
      <c r="C2535">
        <v>0</v>
      </c>
      <c r="D2535">
        <v>24.2</v>
      </c>
      <c r="E2535">
        <v>3.5419999999999998</v>
      </c>
      <c r="F2535">
        <v>136.85641939999999</v>
      </c>
      <c r="G2535">
        <v>8.0749999999999993</v>
      </c>
      <c r="N2535" s="8"/>
    </row>
    <row r="2536" spans="1:14" x14ac:dyDescent="0.25">
      <c r="A2536" s="8">
        <v>40935</v>
      </c>
      <c r="B2536">
        <v>825584.22</v>
      </c>
      <c r="C2536">
        <v>0</v>
      </c>
      <c r="D2536">
        <v>30.44</v>
      </c>
      <c r="E2536">
        <v>3.5680000000000001</v>
      </c>
      <c r="F2536">
        <v>136.95983870000001</v>
      </c>
      <c r="G2536">
        <v>8.0749999999999993</v>
      </c>
      <c r="N2536" s="8"/>
    </row>
    <row r="2537" spans="1:14" x14ac:dyDescent="0.25">
      <c r="A2537" s="8">
        <v>40942</v>
      </c>
      <c r="B2537">
        <v>1049772.04</v>
      </c>
      <c r="C2537">
        <v>0</v>
      </c>
      <c r="D2537">
        <v>37.619999999999997</v>
      </c>
      <c r="E2537">
        <v>3.633</v>
      </c>
      <c r="F2537">
        <v>137.06325810000001</v>
      </c>
      <c r="G2537">
        <v>8.0749999999999993</v>
      </c>
      <c r="N2537" s="8"/>
    </row>
    <row r="2538" spans="1:14" x14ac:dyDescent="0.25">
      <c r="A2538" s="8">
        <v>40949</v>
      </c>
      <c r="B2538">
        <v>1161615.51</v>
      </c>
      <c r="C2538">
        <v>1</v>
      </c>
      <c r="D2538">
        <v>32.83</v>
      </c>
      <c r="E2538">
        <v>3.6549999999999998</v>
      </c>
      <c r="F2538">
        <v>137.1666774</v>
      </c>
      <c r="G2538">
        <v>8.0749999999999993</v>
      </c>
      <c r="N2538" s="8"/>
    </row>
    <row r="2539" spans="1:14" x14ac:dyDescent="0.25">
      <c r="A2539" s="8">
        <v>40956</v>
      </c>
      <c r="B2539">
        <v>1115985.81</v>
      </c>
      <c r="C2539">
        <v>0</v>
      </c>
      <c r="D2539">
        <v>32.869999999999997</v>
      </c>
      <c r="E2539">
        <v>3.7029999999999998</v>
      </c>
      <c r="F2539">
        <v>137.25831030000001</v>
      </c>
      <c r="G2539">
        <v>8.0749999999999993</v>
      </c>
      <c r="N2539" s="8"/>
    </row>
    <row r="2540" spans="1:14" x14ac:dyDescent="0.25">
      <c r="A2540" s="8">
        <v>40963</v>
      </c>
      <c r="B2540">
        <v>1037861.11</v>
      </c>
      <c r="C2540">
        <v>0</v>
      </c>
      <c r="D2540">
        <v>36.340000000000003</v>
      </c>
      <c r="E2540">
        <v>3.7509999999999999</v>
      </c>
      <c r="F2540">
        <v>137.34110340000001</v>
      </c>
      <c r="G2540">
        <v>8.0749999999999993</v>
      </c>
      <c r="N2540" s="8"/>
    </row>
    <row r="2541" spans="1:14" x14ac:dyDescent="0.25">
      <c r="A2541" s="8">
        <v>40970</v>
      </c>
      <c r="B2541">
        <v>1047178.91</v>
      </c>
      <c r="C2541">
        <v>0</v>
      </c>
      <c r="D2541">
        <v>33.590000000000003</v>
      </c>
      <c r="E2541">
        <v>3.827</v>
      </c>
      <c r="F2541">
        <v>137.42389660000001</v>
      </c>
      <c r="G2541">
        <v>8.0749999999999993</v>
      </c>
      <c r="N2541" s="8"/>
    </row>
    <row r="2542" spans="1:14" x14ac:dyDescent="0.25">
      <c r="A2542" s="8">
        <v>40977</v>
      </c>
      <c r="B2542">
        <v>1084894.47</v>
      </c>
      <c r="C2542">
        <v>0</v>
      </c>
      <c r="D2542">
        <v>38.1</v>
      </c>
      <c r="E2542">
        <v>3.8759999999999999</v>
      </c>
      <c r="F2542">
        <v>137.50668970000001</v>
      </c>
      <c r="G2542">
        <v>8.0749999999999993</v>
      </c>
      <c r="N2542" s="8"/>
    </row>
    <row r="2543" spans="1:14" x14ac:dyDescent="0.25">
      <c r="A2543" s="8">
        <v>40984</v>
      </c>
      <c r="B2543">
        <v>1022018.43</v>
      </c>
      <c r="C2543">
        <v>0</v>
      </c>
      <c r="D2543">
        <v>45.84</v>
      </c>
      <c r="E2543">
        <v>3.867</v>
      </c>
      <c r="F2543">
        <v>137.58438709999999</v>
      </c>
      <c r="G2543">
        <v>8.0749999999999993</v>
      </c>
      <c r="N2543" s="8"/>
    </row>
    <row r="2544" spans="1:14" x14ac:dyDescent="0.25">
      <c r="A2544" s="8">
        <v>40991</v>
      </c>
      <c r="B2544">
        <v>1031139.3</v>
      </c>
      <c r="C2544">
        <v>0</v>
      </c>
      <c r="D2544">
        <v>58.06</v>
      </c>
      <c r="E2544">
        <v>3.8889999999999998</v>
      </c>
      <c r="F2544">
        <v>137.65529029999999</v>
      </c>
      <c r="G2544">
        <v>8.0749999999999993</v>
      </c>
      <c r="N2544" s="8"/>
    </row>
    <row r="2545" spans="1:14" x14ac:dyDescent="0.25">
      <c r="A2545" s="8">
        <v>40998</v>
      </c>
      <c r="B2545">
        <v>1009121.2</v>
      </c>
      <c r="C2545">
        <v>0</v>
      </c>
      <c r="D2545">
        <v>45.35</v>
      </c>
      <c r="E2545">
        <v>3.9209999999999998</v>
      </c>
      <c r="F2545">
        <v>137.72619349999999</v>
      </c>
      <c r="G2545">
        <v>8.0749999999999993</v>
      </c>
      <c r="N2545" s="8"/>
    </row>
    <row r="2546" spans="1:14" x14ac:dyDescent="0.25">
      <c r="A2546" s="8">
        <v>41005</v>
      </c>
      <c r="B2546">
        <v>1200815.3</v>
      </c>
      <c r="C2546">
        <v>0</v>
      </c>
      <c r="D2546">
        <v>43.8</v>
      </c>
      <c r="E2546">
        <v>3.9569999999999999</v>
      </c>
      <c r="F2546">
        <v>137.79709679999999</v>
      </c>
      <c r="G2546">
        <v>8.3040000000000003</v>
      </c>
      <c r="N2546" s="8"/>
    </row>
    <row r="2547" spans="1:14" x14ac:dyDescent="0.25">
      <c r="A2547" s="8">
        <v>41012</v>
      </c>
      <c r="B2547">
        <v>998443.5</v>
      </c>
      <c r="C2547">
        <v>0</v>
      </c>
      <c r="D2547">
        <v>47.75</v>
      </c>
      <c r="E2547">
        <v>4.0250000000000004</v>
      </c>
      <c r="F2547">
        <v>137.86799999999999</v>
      </c>
      <c r="G2547">
        <v>8.3040000000000003</v>
      </c>
      <c r="N2547" s="8"/>
    </row>
    <row r="2548" spans="1:14" x14ac:dyDescent="0.25">
      <c r="A2548" s="8">
        <v>41019</v>
      </c>
      <c r="B2548">
        <v>1025813.8</v>
      </c>
      <c r="C2548">
        <v>0</v>
      </c>
      <c r="D2548">
        <v>60.88</v>
      </c>
      <c r="E2548">
        <v>4.0460000000000003</v>
      </c>
      <c r="F2548">
        <v>137.92306669999999</v>
      </c>
      <c r="G2548">
        <v>8.3040000000000003</v>
      </c>
      <c r="N2548" s="8"/>
    </row>
    <row r="2549" spans="1:14" x14ac:dyDescent="0.25">
      <c r="A2549" s="8">
        <v>41026</v>
      </c>
      <c r="B2549">
        <v>961186.23</v>
      </c>
      <c r="C2549">
        <v>0</v>
      </c>
      <c r="D2549">
        <v>50.43</v>
      </c>
      <c r="E2549">
        <v>4.0229999999999997</v>
      </c>
      <c r="F2549">
        <v>137.9781333</v>
      </c>
      <c r="G2549">
        <v>8.3040000000000003</v>
      </c>
      <c r="N2549" s="8"/>
    </row>
    <row r="2550" spans="1:14" x14ac:dyDescent="0.25">
      <c r="A2550" s="8">
        <v>41033</v>
      </c>
      <c r="B2550">
        <v>1050027.8899999999</v>
      </c>
      <c r="C2550">
        <v>0</v>
      </c>
      <c r="D2550">
        <v>49.66</v>
      </c>
      <c r="E2550">
        <v>3.9910000000000001</v>
      </c>
      <c r="F2550">
        <v>138.03319999999999</v>
      </c>
      <c r="G2550">
        <v>8.3040000000000003</v>
      </c>
      <c r="N2550" s="8"/>
    </row>
    <row r="2551" spans="1:14" x14ac:dyDescent="0.25">
      <c r="A2551" s="8">
        <v>41040</v>
      </c>
      <c r="B2551">
        <v>1060433.1000000001</v>
      </c>
      <c r="C2551">
        <v>0</v>
      </c>
      <c r="D2551">
        <v>57.44</v>
      </c>
      <c r="E2551">
        <v>3.9470000000000001</v>
      </c>
      <c r="F2551">
        <v>138.08826669999999</v>
      </c>
      <c r="G2551">
        <v>8.3040000000000003</v>
      </c>
      <c r="N2551" s="8"/>
    </row>
    <row r="2552" spans="1:14" x14ac:dyDescent="0.25">
      <c r="A2552" s="8">
        <v>41047</v>
      </c>
      <c r="B2552">
        <v>1047444.59</v>
      </c>
      <c r="C2552">
        <v>0</v>
      </c>
      <c r="D2552">
        <v>62.31</v>
      </c>
      <c r="E2552">
        <v>3.899</v>
      </c>
      <c r="F2552">
        <v>138.1065806</v>
      </c>
      <c r="G2552">
        <v>8.3040000000000003</v>
      </c>
      <c r="N2552" s="8"/>
    </row>
    <row r="2553" spans="1:14" x14ac:dyDescent="0.25">
      <c r="A2553" s="8">
        <v>41054</v>
      </c>
      <c r="B2553">
        <v>1088446.58</v>
      </c>
      <c r="C2553">
        <v>0</v>
      </c>
      <c r="D2553">
        <v>65.48</v>
      </c>
      <c r="E2553">
        <v>3.85</v>
      </c>
      <c r="F2553">
        <v>138.11019350000001</v>
      </c>
      <c r="G2553">
        <v>8.3040000000000003</v>
      </c>
      <c r="N2553" s="8"/>
    </row>
    <row r="2554" spans="1:14" x14ac:dyDescent="0.25">
      <c r="A2554" s="8">
        <v>41061</v>
      </c>
      <c r="B2554">
        <v>1118313.7</v>
      </c>
      <c r="C2554">
        <v>0</v>
      </c>
      <c r="D2554">
        <v>71.42</v>
      </c>
      <c r="E2554">
        <v>3.798</v>
      </c>
      <c r="F2554">
        <v>138.11380650000001</v>
      </c>
      <c r="G2554">
        <v>8.3040000000000003</v>
      </c>
      <c r="N2554" s="8"/>
    </row>
    <row r="2555" spans="1:14" x14ac:dyDescent="0.25">
      <c r="A2555" s="8">
        <v>41068</v>
      </c>
      <c r="B2555">
        <v>1110479.94</v>
      </c>
      <c r="C2555">
        <v>0</v>
      </c>
      <c r="D2555">
        <v>59.1</v>
      </c>
      <c r="E2555">
        <v>3.746</v>
      </c>
      <c r="F2555">
        <v>138.11741939999999</v>
      </c>
      <c r="G2555">
        <v>8.3040000000000003</v>
      </c>
      <c r="N2555" s="8"/>
    </row>
    <row r="2556" spans="1:14" x14ac:dyDescent="0.25">
      <c r="A2556" s="8">
        <v>41075</v>
      </c>
      <c r="B2556">
        <v>1057425.83</v>
      </c>
      <c r="C2556">
        <v>0</v>
      </c>
      <c r="D2556">
        <v>66.58</v>
      </c>
      <c r="E2556">
        <v>3.6829999999999998</v>
      </c>
      <c r="F2556">
        <v>138.12953329999999</v>
      </c>
      <c r="G2556">
        <v>8.3040000000000003</v>
      </c>
      <c r="N2556" s="8"/>
    </row>
    <row r="2557" spans="1:14" x14ac:dyDescent="0.25">
      <c r="A2557" s="8">
        <v>41082</v>
      </c>
      <c r="B2557">
        <v>1080357.8899999999</v>
      </c>
      <c r="C2557">
        <v>0</v>
      </c>
      <c r="D2557">
        <v>70.92</v>
      </c>
      <c r="E2557">
        <v>3.629</v>
      </c>
      <c r="F2557">
        <v>138.16290000000001</v>
      </c>
      <c r="G2557">
        <v>8.3040000000000003</v>
      </c>
      <c r="N2557" s="8"/>
    </row>
    <row r="2558" spans="1:14" x14ac:dyDescent="0.25">
      <c r="A2558" s="8">
        <v>41089</v>
      </c>
      <c r="B2558">
        <v>1097006.3</v>
      </c>
      <c r="C2558">
        <v>0</v>
      </c>
      <c r="D2558">
        <v>70.17</v>
      </c>
      <c r="E2558">
        <v>3.577</v>
      </c>
      <c r="F2558">
        <v>138.1962667</v>
      </c>
      <c r="G2558">
        <v>8.3040000000000003</v>
      </c>
      <c r="N2558" s="8"/>
    </row>
    <row r="2559" spans="1:14" x14ac:dyDescent="0.25">
      <c r="A2559" s="8">
        <v>41096</v>
      </c>
      <c r="B2559">
        <v>1158247.31</v>
      </c>
      <c r="C2559">
        <v>0</v>
      </c>
      <c r="D2559">
        <v>76.08</v>
      </c>
      <c r="E2559">
        <v>3.5379999999999998</v>
      </c>
      <c r="F2559">
        <v>138.22963329999999</v>
      </c>
      <c r="G2559">
        <v>8.5350000000000001</v>
      </c>
      <c r="N2559" s="8"/>
    </row>
    <row r="2560" spans="1:14" x14ac:dyDescent="0.25">
      <c r="A2560" s="8">
        <v>41103</v>
      </c>
      <c r="B2560">
        <v>1024784.92</v>
      </c>
      <c r="C2560">
        <v>0</v>
      </c>
      <c r="D2560">
        <v>75.09</v>
      </c>
      <c r="E2560">
        <v>3.5609999999999999</v>
      </c>
      <c r="F2560">
        <v>138.26300000000001</v>
      </c>
      <c r="G2560">
        <v>8.5350000000000001</v>
      </c>
      <c r="N2560" s="8"/>
    </row>
    <row r="2561" spans="1:14" x14ac:dyDescent="0.25">
      <c r="A2561" s="8">
        <v>41110</v>
      </c>
      <c r="B2561">
        <v>1033543.56</v>
      </c>
      <c r="C2561">
        <v>0</v>
      </c>
      <c r="D2561">
        <v>77.430000000000007</v>
      </c>
      <c r="E2561">
        <v>3.61</v>
      </c>
      <c r="F2561">
        <v>138.2331935</v>
      </c>
      <c r="G2561">
        <v>8.5350000000000001</v>
      </c>
      <c r="N2561" s="8"/>
    </row>
    <row r="2562" spans="1:14" x14ac:dyDescent="0.25">
      <c r="A2562" s="8">
        <v>41117</v>
      </c>
      <c r="B2562">
        <v>924506.26</v>
      </c>
      <c r="C2562">
        <v>0</v>
      </c>
      <c r="D2562">
        <v>72.97</v>
      </c>
      <c r="E2562">
        <v>3.7010000000000001</v>
      </c>
      <c r="F2562">
        <v>138.20338709999999</v>
      </c>
      <c r="G2562">
        <v>8.5350000000000001</v>
      </c>
      <c r="N2562" s="8"/>
    </row>
    <row r="2563" spans="1:14" x14ac:dyDescent="0.25">
      <c r="A2563" s="8">
        <v>41124</v>
      </c>
      <c r="B2563">
        <v>1052066.58</v>
      </c>
      <c r="C2563">
        <v>0</v>
      </c>
      <c r="D2563">
        <v>72.67</v>
      </c>
      <c r="E2563">
        <v>3.698</v>
      </c>
      <c r="F2563">
        <v>138.17358060000001</v>
      </c>
      <c r="G2563">
        <v>8.5350000000000001</v>
      </c>
      <c r="N2563" s="8"/>
    </row>
    <row r="2564" spans="1:14" x14ac:dyDescent="0.25">
      <c r="A2564" s="8">
        <v>41131</v>
      </c>
      <c r="B2564">
        <v>967304.07</v>
      </c>
      <c r="C2564">
        <v>0</v>
      </c>
      <c r="D2564">
        <v>75.7</v>
      </c>
      <c r="E2564">
        <v>3.7719999999999998</v>
      </c>
      <c r="F2564">
        <v>138.1437742</v>
      </c>
      <c r="G2564">
        <v>8.5350000000000001</v>
      </c>
      <c r="N2564" s="8"/>
    </row>
    <row r="2565" spans="1:14" x14ac:dyDescent="0.25">
      <c r="A2565" s="8">
        <v>41138</v>
      </c>
      <c r="B2565">
        <v>1048134.24</v>
      </c>
      <c r="C2565">
        <v>0</v>
      </c>
      <c r="D2565">
        <v>73.25</v>
      </c>
      <c r="E2565">
        <v>3.84</v>
      </c>
      <c r="F2565">
        <v>138.18570969999999</v>
      </c>
      <c r="G2565">
        <v>8.5350000000000001</v>
      </c>
      <c r="N2565" s="8"/>
    </row>
    <row r="2566" spans="1:14" x14ac:dyDescent="0.25">
      <c r="A2566" s="8">
        <v>41145</v>
      </c>
      <c r="B2566">
        <v>1145840.9099999999</v>
      </c>
      <c r="C2566">
        <v>0</v>
      </c>
      <c r="D2566">
        <v>68.52</v>
      </c>
      <c r="E2566">
        <v>3.8740000000000001</v>
      </c>
      <c r="F2566">
        <v>138.2814516</v>
      </c>
      <c r="G2566">
        <v>8.5350000000000001</v>
      </c>
      <c r="N2566" s="8"/>
    </row>
    <row r="2567" spans="1:14" x14ac:dyDescent="0.25">
      <c r="A2567" s="8">
        <v>41152</v>
      </c>
      <c r="B2567">
        <v>1117097.23</v>
      </c>
      <c r="C2567">
        <v>0</v>
      </c>
      <c r="D2567">
        <v>70.09</v>
      </c>
      <c r="E2567">
        <v>3.8839999999999999</v>
      </c>
      <c r="F2567">
        <v>138.3771935</v>
      </c>
      <c r="G2567">
        <v>8.5350000000000001</v>
      </c>
      <c r="N2567" s="8"/>
    </row>
    <row r="2568" spans="1:14" x14ac:dyDescent="0.25">
      <c r="A2568" s="8">
        <v>41159</v>
      </c>
      <c r="B2568">
        <v>1083521.24</v>
      </c>
      <c r="C2568">
        <v>1</v>
      </c>
      <c r="D2568">
        <v>71.849999999999994</v>
      </c>
      <c r="E2568">
        <v>3.9209999999999998</v>
      </c>
      <c r="F2568">
        <v>138.47293550000001</v>
      </c>
      <c r="G2568">
        <v>8.5350000000000001</v>
      </c>
      <c r="N2568" s="8"/>
    </row>
    <row r="2569" spans="1:14" x14ac:dyDescent="0.25">
      <c r="A2569" s="8">
        <v>41166</v>
      </c>
      <c r="B2569">
        <v>960476.1</v>
      </c>
      <c r="C2569">
        <v>0</v>
      </c>
      <c r="D2569">
        <v>64.45</v>
      </c>
      <c r="E2569">
        <v>3.988</v>
      </c>
      <c r="F2569">
        <v>138.56729999999999</v>
      </c>
      <c r="G2569">
        <v>8.5350000000000001</v>
      </c>
      <c r="N2569" s="8"/>
    </row>
    <row r="2570" spans="1:14" x14ac:dyDescent="0.25">
      <c r="A2570" s="8">
        <v>41173</v>
      </c>
      <c r="B2570">
        <v>971386.65</v>
      </c>
      <c r="C2570">
        <v>0</v>
      </c>
      <c r="D2570">
        <v>60.23</v>
      </c>
      <c r="E2570">
        <v>4.056</v>
      </c>
      <c r="F2570">
        <v>138.6534</v>
      </c>
      <c r="G2570">
        <v>8.5350000000000001</v>
      </c>
      <c r="N2570" s="8"/>
    </row>
    <row r="2571" spans="1:14" x14ac:dyDescent="0.25">
      <c r="A2571" s="8">
        <v>41180</v>
      </c>
      <c r="B2571">
        <v>1002856.2</v>
      </c>
      <c r="C2571">
        <v>0</v>
      </c>
      <c r="D2571">
        <v>58.24</v>
      </c>
      <c r="E2571">
        <v>4.0179999999999998</v>
      </c>
      <c r="F2571">
        <v>138.73949999999999</v>
      </c>
      <c r="G2571">
        <v>8.5350000000000001</v>
      </c>
      <c r="N2571" s="8"/>
    </row>
    <row r="2572" spans="1:14" x14ac:dyDescent="0.25">
      <c r="A2572" s="8">
        <v>41187</v>
      </c>
      <c r="B2572">
        <v>1092204.79</v>
      </c>
      <c r="C2572">
        <v>0</v>
      </c>
      <c r="D2572">
        <v>59.68</v>
      </c>
      <c r="E2572">
        <v>4.0270000000000001</v>
      </c>
      <c r="F2572">
        <v>138.82560000000001</v>
      </c>
      <c r="G2572">
        <v>8.2430000000000003</v>
      </c>
      <c r="N2572" s="8"/>
    </row>
    <row r="2573" spans="1:14" x14ac:dyDescent="0.25">
      <c r="A2573" s="8">
        <v>41194</v>
      </c>
      <c r="B2573">
        <v>1074079</v>
      </c>
      <c r="C2573">
        <v>0</v>
      </c>
      <c r="D2573">
        <v>50.97</v>
      </c>
      <c r="E2573">
        <v>4.0289999999999999</v>
      </c>
      <c r="F2573">
        <v>138.9117</v>
      </c>
      <c r="G2573">
        <v>8.2430000000000003</v>
      </c>
      <c r="N2573" s="8"/>
    </row>
    <row r="2574" spans="1:14" x14ac:dyDescent="0.25">
      <c r="A2574" s="8">
        <v>41201</v>
      </c>
      <c r="B2574">
        <v>1048706.75</v>
      </c>
      <c r="C2574">
        <v>0</v>
      </c>
      <c r="D2574">
        <v>51.96</v>
      </c>
      <c r="E2574">
        <v>4</v>
      </c>
      <c r="F2574">
        <v>138.83361289999999</v>
      </c>
      <c r="G2574">
        <v>8.2430000000000003</v>
      </c>
      <c r="N2574" s="8"/>
    </row>
    <row r="2575" spans="1:14" x14ac:dyDescent="0.25">
      <c r="A2575" s="8">
        <v>41208</v>
      </c>
      <c r="B2575">
        <v>1127516.25</v>
      </c>
      <c r="C2575">
        <v>0</v>
      </c>
      <c r="D2575">
        <v>56.09</v>
      </c>
      <c r="E2575">
        <v>3.9169999999999998</v>
      </c>
      <c r="F2575">
        <v>138.72816130000001</v>
      </c>
      <c r="G2575">
        <v>8.2430000000000003</v>
      </c>
      <c r="N2575" s="8"/>
    </row>
    <row r="2576" spans="1:14" x14ac:dyDescent="0.25">
      <c r="A2576" s="8">
        <v>40214</v>
      </c>
      <c r="B2576">
        <v>1507637.17</v>
      </c>
      <c r="C2576">
        <v>0</v>
      </c>
      <c r="D2576">
        <v>20.96</v>
      </c>
      <c r="E2576">
        <v>2.9540000000000002</v>
      </c>
      <c r="F2576">
        <v>131.5279032</v>
      </c>
      <c r="G2576">
        <v>8.35</v>
      </c>
      <c r="N2576" s="8"/>
    </row>
    <row r="2577" spans="1:14" x14ac:dyDescent="0.25">
      <c r="A2577" s="8">
        <v>40221</v>
      </c>
      <c r="B2577">
        <v>1536549.95</v>
      </c>
      <c r="C2577">
        <v>1</v>
      </c>
      <c r="D2577">
        <v>23.22</v>
      </c>
      <c r="E2577">
        <v>2.94</v>
      </c>
      <c r="F2577">
        <v>131.58661290000001</v>
      </c>
      <c r="G2577">
        <v>8.35</v>
      </c>
      <c r="N2577" s="8"/>
    </row>
    <row r="2578" spans="1:14" x14ac:dyDescent="0.25">
      <c r="A2578" s="8">
        <v>40228</v>
      </c>
      <c r="B2578">
        <v>1515976.11</v>
      </c>
      <c r="C2578">
        <v>0</v>
      </c>
      <c r="D2578">
        <v>28.57</v>
      </c>
      <c r="E2578">
        <v>2.9089999999999998</v>
      </c>
      <c r="F2578">
        <v>131.637</v>
      </c>
      <c r="G2578">
        <v>8.35</v>
      </c>
      <c r="N2578" s="8"/>
    </row>
    <row r="2579" spans="1:14" x14ac:dyDescent="0.25">
      <c r="A2579" s="8">
        <v>40235</v>
      </c>
      <c r="B2579">
        <v>1373270.06</v>
      </c>
      <c r="C2579">
        <v>0</v>
      </c>
      <c r="D2579">
        <v>30.33</v>
      </c>
      <c r="E2579">
        <v>2.91</v>
      </c>
      <c r="F2579">
        <v>131.68600000000001</v>
      </c>
      <c r="G2579">
        <v>8.35</v>
      </c>
      <c r="N2579" s="8"/>
    </row>
    <row r="2580" spans="1:14" x14ac:dyDescent="0.25">
      <c r="A2580" s="8">
        <v>40242</v>
      </c>
      <c r="B2580">
        <v>1495844.57</v>
      </c>
      <c r="C2580">
        <v>0</v>
      </c>
      <c r="D2580">
        <v>32.92</v>
      </c>
      <c r="E2580">
        <v>2.919</v>
      </c>
      <c r="F2580">
        <v>131.73500000000001</v>
      </c>
      <c r="G2580">
        <v>8.35</v>
      </c>
      <c r="N2580" s="8"/>
    </row>
    <row r="2581" spans="1:14" x14ac:dyDescent="0.25">
      <c r="A2581" s="8">
        <v>40249</v>
      </c>
      <c r="B2581">
        <v>1467889.2</v>
      </c>
      <c r="C2581">
        <v>0</v>
      </c>
      <c r="D2581">
        <v>39.06</v>
      </c>
      <c r="E2581">
        <v>2.9380000000000002</v>
      </c>
      <c r="F2581">
        <v>131.78399999999999</v>
      </c>
      <c r="G2581">
        <v>8.35</v>
      </c>
      <c r="N2581" s="8"/>
    </row>
    <row r="2582" spans="1:14" x14ac:dyDescent="0.25">
      <c r="A2582" s="8">
        <v>40256</v>
      </c>
      <c r="B2582">
        <v>1332940.3500000001</v>
      </c>
      <c r="C2582">
        <v>0</v>
      </c>
      <c r="D2582">
        <v>43.74</v>
      </c>
      <c r="E2582">
        <v>2.96</v>
      </c>
      <c r="F2582">
        <v>131.8242903</v>
      </c>
      <c r="G2582">
        <v>8.35</v>
      </c>
      <c r="N2582" s="8"/>
    </row>
    <row r="2583" spans="1:14" x14ac:dyDescent="0.25">
      <c r="A2583" s="8">
        <v>40263</v>
      </c>
      <c r="B2583">
        <v>1427023.45</v>
      </c>
      <c r="C2583">
        <v>0</v>
      </c>
      <c r="D2583">
        <v>39.07</v>
      </c>
      <c r="E2583">
        <v>2.9630000000000001</v>
      </c>
      <c r="F2583">
        <v>131.86312899999999</v>
      </c>
      <c r="G2583">
        <v>8.35</v>
      </c>
      <c r="N2583" s="8"/>
    </row>
    <row r="2584" spans="1:14" x14ac:dyDescent="0.25">
      <c r="A2584" s="8">
        <v>40270</v>
      </c>
      <c r="B2584">
        <v>1642970.27</v>
      </c>
      <c r="C2584">
        <v>0</v>
      </c>
      <c r="D2584">
        <v>45.26</v>
      </c>
      <c r="E2584">
        <v>2.9569999999999999</v>
      </c>
      <c r="F2584">
        <v>131.9019677</v>
      </c>
      <c r="G2584">
        <v>8.1850000000000005</v>
      </c>
      <c r="N2584" s="8"/>
    </row>
    <row r="2585" spans="1:14" x14ac:dyDescent="0.25">
      <c r="A2585" s="8">
        <v>40277</v>
      </c>
      <c r="B2585">
        <v>1489613.32</v>
      </c>
      <c r="C2585">
        <v>0</v>
      </c>
      <c r="D2585">
        <v>55.66</v>
      </c>
      <c r="E2585">
        <v>2.992</v>
      </c>
      <c r="F2585">
        <v>131.94080650000001</v>
      </c>
      <c r="G2585">
        <v>8.1850000000000005</v>
      </c>
      <c r="N2585" s="8"/>
    </row>
    <row r="2586" spans="1:14" x14ac:dyDescent="0.25">
      <c r="A2586" s="8">
        <v>40284</v>
      </c>
      <c r="B2586">
        <v>1460354.67</v>
      </c>
      <c r="C2586">
        <v>0</v>
      </c>
      <c r="D2586">
        <v>49.67</v>
      </c>
      <c r="E2586">
        <v>3.01</v>
      </c>
      <c r="F2586">
        <v>131.98089999999999</v>
      </c>
      <c r="G2586">
        <v>8.1850000000000005</v>
      </c>
      <c r="N2586" s="8"/>
    </row>
    <row r="2587" spans="1:14" x14ac:dyDescent="0.25">
      <c r="A2587" s="8">
        <v>40291</v>
      </c>
      <c r="B2587">
        <v>1456793.33</v>
      </c>
      <c r="C2587">
        <v>0</v>
      </c>
      <c r="D2587">
        <v>46.87</v>
      </c>
      <c r="E2587">
        <v>3.0209999999999999</v>
      </c>
      <c r="F2587">
        <v>132.0226667</v>
      </c>
      <c r="G2587">
        <v>8.1850000000000005</v>
      </c>
      <c r="N2587" s="8"/>
    </row>
    <row r="2588" spans="1:14" x14ac:dyDescent="0.25">
      <c r="A2588" s="8">
        <v>40298</v>
      </c>
      <c r="B2588">
        <v>1405065.57</v>
      </c>
      <c r="C2588">
        <v>0</v>
      </c>
      <c r="D2588">
        <v>49.89</v>
      </c>
      <c r="E2588">
        <v>3.0419999999999998</v>
      </c>
      <c r="F2588">
        <v>132.06443329999999</v>
      </c>
      <c r="G2588">
        <v>8.1850000000000005</v>
      </c>
      <c r="N2588" s="8"/>
    </row>
    <row r="2589" spans="1:14" x14ac:dyDescent="0.25">
      <c r="A2589" s="8">
        <v>40305</v>
      </c>
      <c r="B2589">
        <v>1566219.77</v>
      </c>
      <c r="C2589">
        <v>0</v>
      </c>
      <c r="D2589">
        <v>62.54</v>
      </c>
      <c r="E2589">
        <v>3.0950000000000002</v>
      </c>
      <c r="F2589">
        <v>132.1062</v>
      </c>
      <c r="G2589">
        <v>8.1850000000000005</v>
      </c>
      <c r="N2589" s="8"/>
    </row>
    <row r="2590" spans="1:14" x14ac:dyDescent="0.25">
      <c r="A2590" s="8">
        <v>40312</v>
      </c>
      <c r="B2590">
        <v>1437319.45</v>
      </c>
      <c r="C2590">
        <v>0</v>
      </c>
      <c r="D2590">
        <v>46.53</v>
      </c>
      <c r="E2590">
        <v>3.1120000000000001</v>
      </c>
      <c r="F2590">
        <v>132.152129</v>
      </c>
      <c r="G2590">
        <v>8.1850000000000005</v>
      </c>
      <c r="N2590" s="8"/>
    </row>
    <row r="2591" spans="1:14" x14ac:dyDescent="0.25">
      <c r="A2591" s="8">
        <v>40319</v>
      </c>
      <c r="B2591">
        <v>1377716.17</v>
      </c>
      <c r="C2591">
        <v>0</v>
      </c>
      <c r="D2591">
        <v>57.53</v>
      </c>
      <c r="E2591">
        <v>3.0960000000000001</v>
      </c>
      <c r="F2591">
        <v>132.2230323</v>
      </c>
      <c r="G2591">
        <v>8.1850000000000005</v>
      </c>
      <c r="N2591" s="8"/>
    </row>
    <row r="2592" spans="1:14" x14ac:dyDescent="0.25">
      <c r="A2592" s="8">
        <v>40326</v>
      </c>
      <c r="B2592">
        <v>1648882.62</v>
      </c>
      <c r="C2592">
        <v>0</v>
      </c>
      <c r="D2592">
        <v>68.849999999999994</v>
      </c>
      <c r="E2592">
        <v>3.0459999999999998</v>
      </c>
      <c r="F2592">
        <v>132.2939355</v>
      </c>
      <c r="G2592">
        <v>8.1850000000000005</v>
      </c>
      <c r="N2592" s="8"/>
    </row>
    <row r="2593" spans="1:14" x14ac:dyDescent="0.25">
      <c r="A2593" s="8">
        <v>40333</v>
      </c>
      <c r="B2593">
        <v>1519013.49</v>
      </c>
      <c r="C2593">
        <v>0</v>
      </c>
      <c r="D2593">
        <v>68.88</v>
      </c>
      <c r="E2593">
        <v>3.0059999999999998</v>
      </c>
      <c r="F2593">
        <v>132.36483870000001</v>
      </c>
      <c r="G2593">
        <v>8.1850000000000005</v>
      </c>
      <c r="N2593" s="8"/>
    </row>
    <row r="2594" spans="1:14" x14ac:dyDescent="0.25">
      <c r="A2594" s="8">
        <v>40340</v>
      </c>
      <c r="B2594">
        <v>1410683.94</v>
      </c>
      <c r="C2594">
        <v>0</v>
      </c>
      <c r="D2594">
        <v>61.64</v>
      </c>
      <c r="E2594">
        <v>2.972</v>
      </c>
      <c r="F2594">
        <v>132.43574190000001</v>
      </c>
      <c r="G2594">
        <v>8.1850000000000005</v>
      </c>
      <c r="N2594" s="8"/>
    </row>
    <row r="2595" spans="1:14" x14ac:dyDescent="0.25">
      <c r="A2595" s="8">
        <v>40347</v>
      </c>
      <c r="B2595">
        <v>1457314.39</v>
      </c>
      <c r="C2595">
        <v>0</v>
      </c>
      <c r="D2595">
        <v>66.25</v>
      </c>
      <c r="E2595">
        <v>2.9420000000000002</v>
      </c>
      <c r="F2595">
        <v>132.47333330000001</v>
      </c>
      <c r="G2595">
        <v>8.1850000000000005</v>
      </c>
      <c r="N2595" s="8"/>
    </row>
    <row r="2596" spans="1:14" x14ac:dyDescent="0.25">
      <c r="A2596" s="8">
        <v>40354</v>
      </c>
      <c r="B2596">
        <v>1450407.32</v>
      </c>
      <c r="C2596">
        <v>0</v>
      </c>
      <c r="D2596">
        <v>72.3</v>
      </c>
      <c r="E2596">
        <v>2.9580000000000002</v>
      </c>
      <c r="F2596">
        <v>132.49760000000001</v>
      </c>
      <c r="G2596">
        <v>8.1850000000000005</v>
      </c>
      <c r="N2596" s="8"/>
    </row>
    <row r="2597" spans="1:14" x14ac:dyDescent="0.25">
      <c r="A2597" s="8">
        <v>40361</v>
      </c>
      <c r="B2597">
        <v>1549018.68</v>
      </c>
      <c r="C2597">
        <v>0</v>
      </c>
      <c r="D2597">
        <v>66.25</v>
      </c>
      <c r="E2597">
        <v>2.9580000000000002</v>
      </c>
      <c r="F2597">
        <v>132.5218667</v>
      </c>
      <c r="G2597">
        <v>8.0990000000000002</v>
      </c>
      <c r="N2597" s="8"/>
    </row>
    <row r="2598" spans="1:14" x14ac:dyDescent="0.25">
      <c r="A2598" s="8">
        <v>40368</v>
      </c>
      <c r="B2598">
        <v>1577541.24</v>
      </c>
      <c r="C2598">
        <v>0</v>
      </c>
      <c r="D2598">
        <v>78.22</v>
      </c>
      <c r="E2598">
        <v>2.94</v>
      </c>
      <c r="F2598">
        <v>132.54613330000001</v>
      </c>
      <c r="G2598">
        <v>8.0990000000000002</v>
      </c>
      <c r="N2598" s="8"/>
    </row>
    <row r="2599" spans="1:14" x14ac:dyDescent="0.25">
      <c r="A2599" s="8">
        <v>40375</v>
      </c>
      <c r="B2599">
        <v>1412157.02</v>
      </c>
      <c r="C2599">
        <v>0</v>
      </c>
      <c r="D2599">
        <v>74.599999999999994</v>
      </c>
      <c r="E2599">
        <v>2.9329999999999998</v>
      </c>
      <c r="F2599">
        <v>132.5667742</v>
      </c>
      <c r="G2599">
        <v>8.0990000000000002</v>
      </c>
      <c r="N2599" s="8"/>
    </row>
    <row r="2600" spans="1:14" x14ac:dyDescent="0.25">
      <c r="A2600" s="8">
        <v>40382</v>
      </c>
      <c r="B2600">
        <v>1372043.71</v>
      </c>
      <c r="C2600">
        <v>0</v>
      </c>
      <c r="D2600">
        <v>74.680000000000007</v>
      </c>
      <c r="E2600">
        <v>2.9239999999999999</v>
      </c>
      <c r="F2600">
        <v>132.5825806</v>
      </c>
      <c r="G2600">
        <v>8.0990000000000002</v>
      </c>
      <c r="N2600" s="8"/>
    </row>
    <row r="2601" spans="1:14" x14ac:dyDescent="0.25">
      <c r="A2601" s="8">
        <v>40389</v>
      </c>
      <c r="B2601">
        <v>1366395.96</v>
      </c>
      <c r="C2601">
        <v>0</v>
      </c>
      <c r="D2601">
        <v>72.83</v>
      </c>
      <c r="E2601">
        <v>2.9319999999999999</v>
      </c>
      <c r="F2601">
        <v>132.5983871</v>
      </c>
      <c r="G2601">
        <v>8.0990000000000002</v>
      </c>
      <c r="N2601" s="8"/>
    </row>
    <row r="2602" spans="1:14" x14ac:dyDescent="0.25">
      <c r="A2602" s="8">
        <v>40396</v>
      </c>
      <c r="B2602">
        <v>1492060.89</v>
      </c>
      <c r="C2602">
        <v>0</v>
      </c>
      <c r="D2602">
        <v>74.2</v>
      </c>
      <c r="E2602">
        <v>2.9420000000000002</v>
      </c>
      <c r="F2602">
        <v>132.6141935</v>
      </c>
      <c r="G2602">
        <v>8.0990000000000002</v>
      </c>
      <c r="N2602" s="8"/>
    </row>
    <row r="2603" spans="1:14" x14ac:dyDescent="0.25">
      <c r="A2603" s="8">
        <v>40403</v>
      </c>
      <c r="B2603">
        <v>1418027.08</v>
      </c>
      <c r="C2603">
        <v>0</v>
      </c>
      <c r="D2603">
        <v>72.709999999999994</v>
      </c>
      <c r="E2603">
        <v>2.923</v>
      </c>
      <c r="F2603">
        <v>132.63</v>
      </c>
      <c r="G2603">
        <v>8.0990000000000002</v>
      </c>
      <c r="N2603" s="8"/>
    </row>
    <row r="2604" spans="1:14" x14ac:dyDescent="0.25">
      <c r="A2604" s="8">
        <v>40410</v>
      </c>
      <c r="B2604">
        <v>1419383.19</v>
      </c>
      <c r="C2604">
        <v>0</v>
      </c>
      <c r="D2604">
        <v>72.22</v>
      </c>
      <c r="E2604">
        <v>2.9129999999999998</v>
      </c>
      <c r="F2604">
        <v>132.66161289999999</v>
      </c>
      <c r="G2604">
        <v>8.0990000000000002</v>
      </c>
      <c r="N2604" s="8"/>
    </row>
    <row r="2605" spans="1:14" x14ac:dyDescent="0.25">
      <c r="A2605" s="8">
        <v>40417</v>
      </c>
      <c r="B2605">
        <v>1557888.16</v>
      </c>
      <c r="C2605">
        <v>0</v>
      </c>
      <c r="D2605">
        <v>66.400000000000006</v>
      </c>
      <c r="E2605">
        <v>2.8849999999999998</v>
      </c>
      <c r="F2605">
        <v>132.69322579999999</v>
      </c>
      <c r="G2605">
        <v>8.0990000000000002</v>
      </c>
      <c r="N2605" s="8"/>
    </row>
    <row r="2606" spans="1:14" x14ac:dyDescent="0.25">
      <c r="A2606" s="8">
        <v>40424</v>
      </c>
      <c r="B2606">
        <v>1623519.64</v>
      </c>
      <c r="C2606">
        <v>0</v>
      </c>
      <c r="D2606">
        <v>74.69</v>
      </c>
      <c r="E2606">
        <v>2.86</v>
      </c>
      <c r="F2606">
        <v>132.72483869999999</v>
      </c>
      <c r="G2606">
        <v>8.0990000000000002</v>
      </c>
      <c r="N2606" s="8"/>
    </row>
    <row r="2607" spans="1:14" x14ac:dyDescent="0.25">
      <c r="A2607" s="8">
        <v>40431</v>
      </c>
      <c r="B2607">
        <v>1591453.39</v>
      </c>
      <c r="C2607">
        <v>1</v>
      </c>
      <c r="D2607">
        <v>63.36</v>
      </c>
      <c r="E2607">
        <v>2.8370000000000002</v>
      </c>
      <c r="F2607">
        <v>132.75645159999999</v>
      </c>
      <c r="G2607">
        <v>8.0990000000000002</v>
      </c>
      <c r="N2607" s="8"/>
    </row>
    <row r="2608" spans="1:14" x14ac:dyDescent="0.25">
      <c r="A2608" s="8">
        <v>40438</v>
      </c>
      <c r="B2608">
        <v>1386789.31</v>
      </c>
      <c r="C2608">
        <v>0</v>
      </c>
      <c r="D2608">
        <v>58.68</v>
      </c>
      <c r="E2608">
        <v>2.8460000000000001</v>
      </c>
      <c r="F2608">
        <v>132.76706669999999</v>
      </c>
      <c r="G2608">
        <v>8.0990000000000002</v>
      </c>
      <c r="N2608" s="8"/>
    </row>
    <row r="2609" spans="1:14" x14ac:dyDescent="0.25">
      <c r="A2609" s="8">
        <v>40445</v>
      </c>
      <c r="B2609">
        <v>1318343.58</v>
      </c>
      <c r="C2609">
        <v>0</v>
      </c>
      <c r="D2609">
        <v>63.43</v>
      </c>
      <c r="E2609">
        <v>2.8370000000000002</v>
      </c>
      <c r="F2609">
        <v>132.76193330000001</v>
      </c>
      <c r="G2609">
        <v>8.0990000000000002</v>
      </c>
      <c r="N2609" s="8"/>
    </row>
    <row r="2610" spans="1:14" x14ac:dyDescent="0.25">
      <c r="A2610" s="8">
        <v>40452</v>
      </c>
      <c r="B2610">
        <v>1379456.3</v>
      </c>
      <c r="C2610">
        <v>0</v>
      </c>
      <c r="D2610">
        <v>59.91</v>
      </c>
      <c r="E2610">
        <v>2.84</v>
      </c>
      <c r="F2610">
        <v>132.7568</v>
      </c>
      <c r="G2610">
        <v>8.0670000000000002</v>
      </c>
      <c r="N2610" s="8"/>
    </row>
    <row r="2611" spans="1:14" x14ac:dyDescent="0.25">
      <c r="A2611" s="8">
        <v>40459</v>
      </c>
      <c r="B2611">
        <v>1428960.72</v>
      </c>
      <c r="C2611">
        <v>0</v>
      </c>
      <c r="D2611">
        <v>53.74</v>
      </c>
      <c r="E2611">
        <v>2.903</v>
      </c>
      <c r="F2611">
        <v>132.75166669999999</v>
      </c>
      <c r="G2611">
        <v>8.0670000000000002</v>
      </c>
      <c r="N2611" s="8"/>
    </row>
    <row r="2612" spans="1:14" x14ac:dyDescent="0.25">
      <c r="A2612" s="8">
        <v>40466</v>
      </c>
      <c r="B2612">
        <v>1369317.63</v>
      </c>
      <c r="C2612">
        <v>0</v>
      </c>
      <c r="D2612">
        <v>51.32</v>
      </c>
      <c r="E2612">
        <v>2.9990000000000001</v>
      </c>
      <c r="F2612">
        <v>132.7633548</v>
      </c>
      <c r="G2612">
        <v>8.0670000000000002</v>
      </c>
      <c r="N2612" s="8"/>
    </row>
    <row r="2613" spans="1:14" x14ac:dyDescent="0.25">
      <c r="A2613" s="8">
        <v>40473</v>
      </c>
      <c r="B2613">
        <v>1357154.71</v>
      </c>
      <c r="C2613">
        <v>0</v>
      </c>
      <c r="D2613">
        <v>48.45</v>
      </c>
      <c r="E2613">
        <v>3.0489999999999999</v>
      </c>
      <c r="F2613">
        <v>132.8170968</v>
      </c>
      <c r="G2613">
        <v>8.0670000000000002</v>
      </c>
      <c r="N2613" s="8"/>
    </row>
    <row r="2614" spans="1:14" x14ac:dyDescent="0.25">
      <c r="A2614" s="8">
        <v>40480</v>
      </c>
      <c r="B2614">
        <v>1404576.48</v>
      </c>
      <c r="C2614">
        <v>0</v>
      </c>
      <c r="D2614">
        <v>56.11</v>
      </c>
      <c r="E2614">
        <v>3.0550000000000002</v>
      </c>
      <c r="F2614">
        <v>132.87083870000001</v>
      </c>
      <c r="G2614">
        <v>8.0670000000000002</v>
      </c>
      <c r="N2614" s="8"/>
    </row>
    <row r="2615" spans="1:14" x14ac:dyDescent="0.25">
      <c r="A2615" s="8">
        <v>40487</v>
      </c>
      <c r="B2615">
        <v>1435379.25</v>
      </c>
      <c r="C2615">
        <v>0</v>
      </c>
      <c r="D2615">
        <v>41.78</v>
      </c>
      <c r="E2615">
        <v>3.0489999999999999</v>
      </c>
      <c r="F2615">
        <v>132.92458060000001</v>
      </c>
      <c r="G2615">
        <v>8.0670000000000002</v>
      </c>
      <c r="N2615" s="8"/>
    </row>
    <row r="2616" spans="1:14" x14ac:dyDescent="0.25">
      <c r="A2616" s="8">
        <v>40494</v>
      </c>
      <c r="B2616">
        <v>1490235.86</v>
      </c>
      <c r="C2616">
        <v>0</v>
      </c>
      <c r="D2616">
        <v>40.299999999999997</v>
      </c>
      <c r="E2616">
        <v>3.0649999999999999</v>
      </c>
      <c r="F2616">
        <v>132.97832260000001</v>
      </c>
      <c r="G2616">
        <v>8.0670000000000002</v>
      </c>
      <c r="N2616" s="8"/>
    </row>
    <row r="2617" spans="1:14" x14ac:dyDescent="0.25">
      <c r="A2617" s="8">
        <v>40501</v>
      </c>
      <c r="B2617">
        <v>1377593.1</v>
      </c>
      <c r="C2617">
        <v>0</v>
      </c>
      <c r="D2617">
        <v>44.22</v>
      </c>
      <c r="E2617">
        <v>3.1379999999999999</v>
      </c>
      <c r="F2617">
        <v>132.91720000000001</v>
      </c>
      <c r="G2617">
        <v>8.0670000000000002</v>
      </c>
      <c r="N2617" s="8"/>
    </row>
    <row r="2618" spans="1:14" x14ac:dyDescent="0.25">
      <c r="A2618" s="8">
        <v>40508</v>
      </c>
      <c r="B2618">
        <v>1993367.83</v>
      </c>
      <c r="C2618">
        <v>1</v>
      </c>
      <c r="D2618">
        <v>42.62</v>
      </c>
      <c r="E2618">
        <v>3.1859999999999999</v>
      </c>
      <c r="F2618">
        <v>132.8369333</v>
      </c>
      <c r="G2618">
        <v>8.0670000000000002</v>
      </c>
      <c r="N2618" s="8"/>
    </row>
    <row r="2619" spans="1:14" x14ac:dyDescent="0.25">
      <c r="A2619" s="8">
        <v>40515</v>
      </c>
      <c r="B2619">
        <v>1615987.96</v>
      </c>
      <c r="C2619">
        <v>0</v>
      </c>
      <c r="D2619">
        <v>36.64</v>
      </c>
      <c r="E2619">
        <v>3.2</v>
      </c>
      <c r="F2619">
        <v>132.75666670000001</v>
      </c>
      <c r="G2619">
        <v>8.0670000000000002</v>
      </c>
      <c r="N2619" s="8"/>
    </row>
    <row r="2620" spans="1:14" x14ac:dyDescent="0.25">
      <c r="A2620" s="8">
        <v>40522</v>
      </c>
      <c r="B2620">
        <v>1799070.98</v>
      </c>
      <c r="C2620">
        <v>0</v>
      </c>
      <c r="D2620">
        <v>25.12</v>
      </c>
      <c r="E2620">
        <v>3.2549999999999999</v>
      </c>
      <c r="F2620">
        <v>132.6764</v>
      </c>
      <c r="G2620">
        <v>8.0670000000000002</v>
      </c>
      <c r="N2620" s="8"/>
    </row>
    <row r="2621" spans="1:14" x14ac:dyDescent="0.25">
      <c r="A2621" s="8">
        <v>40529</v>
      </c>
      <c r="B2621">
        <v>1911967.44</v>
      </c>
      <c r="C2621">
        <v>0</v>
      </c>
      <c r="D2621">
        <v>26.83</v>
      </c>
      <c r="E2621">
        <v>3.3010000000000002</v>
      </c>
      <c r="F2621">
        <v>132.6804516</v>
      </c>
      <c r="G2621">
        <v>8.0670000000000002</v>
      </c>
      <c r="N2621" s="8"/>
    </row>
    <row r="2622" spans="1:14" x14ac:dyDescent="0.25">
      <c r="A2622" s="8">
        <v>40536</v>
      </c>
      <c r="B2622">
        <v>2678206.42</v>
      </c>
      <c r="C2622">
        <v>0</v>
      </c>
      <c r="D2622">
        <v>26.05</v>
      </c>
      <c r="E2622">
        <v>3.3090000000000002</v>
      </c>
      <c r="F2622">
        <v>132.74774189999999</v>
      </c>
      <c r="G2622">
        <v>8.0670000000000002</v>
      </c>
      <c r="N2622" s="8"/>
    </row>
    <row r="2623" spans="1:14" x14ac:dyDescent="0.25">
      <c r="A2623" s="8">
        <v>40543</v>
      </c>
      <c r="B2623">
        <v>1275146.94</v>
      </c>
      <c r="C2623">
        <v>1</v>
      </c>
      <c r="D2623">
        <v>28.65</v>
      </c>
      <c r="E2623">
        <v>3.3359999999999999</v>
      </c>
      <c r="F2623">
        <v>132.81503230000001</v>
      </c>
      <c r="G2623">
        <v>8.0670000000000002</v>
      </c>
      <c r="N2623" s="8"/>
    </row>
    <row r="2624" spans="1:14" x14ac:dyDescent="0.25">
      <c r="A2624" s="8">
        <v>40550</v>
      </c>
      <c r="B2624">
        <v>1224175.99</v>
      </c>
      <c r="C2624">
        <v>0</v>
      </c>
      <c r="D2624">
        <v>31.34</v>
      </c>
      <c r="E2624">
        <v>3.351</v>
      </c>
      <c r="F2624">
        <v>132.88232260000001</v>
      </c>
      <c r="G2624">
        <v>7.7709999999999999</v>
      </c>
      <c r="N2624" s="8"/>
    </row>
    <row r="2625" spans="1:14" x14ac:dyDescent="0.25">
      <c r="A2625" s="8">
        <v>40557</v>
      </c>
      <c r="B2625">
        <v>1181204.53</v>
      </c>
      <c r="C2625">
        <v>0</v>
      </c>
      <c r="D2625">
        <v>21.68</v>
      </c>
      <c r="E2625">
        <v>3.367</v>
      </c>
      <c r="F2625">
        <v>132.9510645</v>
      </c>
      <c r="G2625">
        <v>7.7709999999999999</v>
      </c>
      <c r="N2625" s="8"/>
    </row>
    <row r="2626" spans="1:14" x14ac:dyDescent="0.25">
      <c r="A2626" s="8">
        <v>40564</v>
      </c>
      <c r="B2626">
        <v>1212967.8400000001</v>
      </c>
      <c r="C2626">
        <v>0</v>
      </c>
      <c r="D2626">
        <v>22.8</v>
      </c>
      <c r="E2626">
        <v>3.391</v>
      </c>
      <c r="F2626">
        <v>133.02851609999999</v>
      </c>
      <c r="G2626">
        <v>7.7709999999999999</v>
      </c>
      <c r="N2626" s="8"/>
    </row>
    <row r="2627" spans="1:14" x14ac:dyDescent="0.25">
      <c r="A2627" s="8">
        <v>40571</v>
      </c>
      <c r="B2627">
        <v>1284185.49</v>
      </c>
      <c r="C2627">
        <v>0</v>
      </c>
      <c r="D2627">
        <v>20.66</v>
      </c>
      <c r="E2627">
        <v>3.4020000000000001</v>
      </c>
      <c r="F2627">
        <v>133.10596770000001</v>
      </c>
      <c r="G2627">
        <v>7.7709999999999999</v>
      </c>
      <c r="N2627" s="8"/>
    </row>
    <row r="2628" spans="1:14" x14ac:dyDescent="0.25">
      <c r="A2628" s="8">
        <v>40578</v>
      </c>
      <c r="B2628">
        <v>1370562.11</v>
      </c>
      <c r="C2628">
        <v>0</v>
      </c>
      <c r="D2628">
        <v>21.02</v>
      </c>
      <c r="E2628">
        <v>3.4</v>
      </c>
      <c r="F2628">
        <v>133.18341939999999</v>
      </c>
      <c r="G2628">
        <v>7.7709999999999999</v>
      </c>
      <c r="N2628" s="8"/>
    </row>
    <row r="2629" spans="1:14" x14ac:dyDescent="0.25">
      <c r="A2629" s="8">
        <v>40585</v>
      </c>
      <c r="B2629">
        <v>1430851.11</v>
      </c>
      <c r="C2629">
        <v>1</v>
      </c>
      <c r="D2629">
        <v>21.79</v>
      </c>
      <c r="E2629">
        <v>3.4159999999999999</v>
      </c>
      <c r="F2629">
        <v>133.26087100000001</v>
      </c>
      <c r="G2629">
        <v>7.7709999999999999</v>
      </c>
      <c r="N2629" s="8"/>
    </row>
    <row r="2630" spans="1:14" x14ac:dyDescent="0.25">
      <c r="A2630" s="8">
        <v>40592</v>
      </c>
      <c r="B2630">
        <v>1457270.16</v>
      </c>
      <c r="C2630">
        <v>0</v>
      </c>
      <c r="D2630">
        <v>34.74</v>
      </c>
      <c r="E2630">
        <v>3.42</v>
      </c>
      <c r="F2630">
        <v>133.37014289999999</v>
      </c>
      <c r="G2630">
        <v>7.7709999999999999</v>
      </c>
      <c r="N2630" s="8"/>
    </row>
    <row r="2631" spans="1:14" x14ac:dyDescent="0.25">
      <c r="A2631" s="8">
        <v>40599</v>
      </c>
      <c r="B2631">
        <v>1296658.47</v>
      </c>
      <c r="C2631">
        <v>0</v>
      </c>
      <c r="D2631">
        <v>23.24</v>
      </c>
      <c r="E2631">
        <v>3.452</v>
      </c>
      <c r="F2631">
        <v>133.4921429</v>
      </c>
      <c r="G2631">
        <v>7.7709999999999999</v>
      </c>
      <c r="N2631" s="8"/>
    </row>
    <row r="2632" spans="1:14" x14ac:dyDescent="0.25">
      <c r="A2632" s="8">
        <v>40606</v>
      </c>
      <c r="B2632">
        <v>1433569.44</v>
      </c>
      <c r="C2632">
        <v>0</v>
      </c>
      <c r="D2632">
        <v>29.28</v>
      </c>
      <c r="E2632">
        <v>3.605</v>
      </c>
      <c r="F2632">
        <v>133.61414289999999</v>
      </c>
      <c r="G2632">
        <v>7.7709999999999999</v>
      </c>
      <c r="N2632" s="8"/>
    </row>
    <row r="2633" spans="1:14" x14ac:dyDescent="0.25">
      <c r="A2633" s="8">
        <v>40613</v>
      </c>
      <c r="B2633">
        <v>1351450.43</v>
      </c>
      <c r="C2633">
        <v>0</v>
      </c>
      <c r="D2633">
        <v>35.590000000000003</v>
      </c>
      <c r="E2633">
        <v>3.7519999999999998</v>
      </c>
      <c r="F2633">
        <v>133.7361429</v>
      </c>
      <c r="G2633">
        <v>7.7709999999999999</v>
      </c>
      <c r="N2633" s="8"/>
    </row>
    <row r="2634" spans="1:14" x14ac:dyDescent="0.25">
      <c r="A2634" s="8">
        <v>40620</v>
      </c>
      <c r="B2634">
        <v>1257972.3700000001</v>
      </c>
      <c r="C2634">
        <v>0</v>
      </c>
      <c r="D2634">
        <v>40.32</v>
      </c>
      <c r="E2634">
        <v>3.7959999999999998</v>
      </c>
      <c r="F2634">
        <v>133.8492258</v>
      </c>
      <c r="G2634">
        <v>7.7709999999999999</v>
      </c>
      <c r="N2634" s="8"/>
    </row>
    <row r="2635" spans="1:14" x14ac:dyDescent="0.25">
      <c r="A2635" s="8">
        <v>40627</v>
      </c>
      <c r="B2635">
        <v>1266564.94</v>
      </c>
      <c r="C2635">
        <v>0</v>
      </c>
      <c r="D2635">
        <v>33.26</v>
      </c>
      <c r="E2635">
        <v>3.7890000000000001</v>
      </c>
      <c r="F2635">
        <v>133.95874190000001</v>
      </c>
      <c r="G2635">
        <v>7.7709999999999999</v>
      </c>
      <c r="N2635" s="8"/>
    </row>
    <row r="2636" spans="1:14" x14ac:dyDescent="0.25">
      <c r="A2636" s="8">
        <v>40634</v>
      </c>
      <c r="B2636">
        <v>1305950.22</v>
      </c>
      <c r="C2636">
        <v>0</v>
      </c>
      <c r="D2636">
        <v>30.68</v>
      </c>
      <c r="E2636">
        <v>3.8109999999999999</v>
      </c>
      <c r="F2636">
        <v>134.06825810000001</v>
      </c>
      <c r="G2636">
        <v>7.6580000000000004</v>
      </c>
      <c r="N2636" s="8"/>
    </row>
    <row r="2637" spans="1:14" x14ac:dyDescent="0.25">
      <c r="A2637" s="8">
        <v>40641</v>
      </c>
      <c r="B2637">
        <v>1419911.91</v>
      </c>
      <c r="C2637">
        <v>0</v>
      </c>
      <c r="D2637">
        <v>41.26</v>
      </c>
      <c r="E2637">
        <v>3.895</v>
      </c>
      <c r="F2637">
        <v>134.17777419999999</v>
      </c>
      <c r="G2637">
        <v>7.6580000000000004</v>
      </c>
      <c r="N2637" s="8"/>
    </row>
    <row r="2638" spans="1:14" x14ac:dyDescent="0.25">
      <c r="A2638" s="8">
        <v>40648</v>
      </c>
      <c r="B2638">
        <v>1392093.04</v>
      </c>
      <c r="C2638">
        <v>0</v>
      </c>
      <c r="D2638">
        <v>48.67</v>
      </c>
      <c r="E2638">
        <v>3.9809999999999999</v>
      </c>
      <c r="F2638">
        <v>134.2784667</v>
      </c>
      <c r="G2638">
        <v>7.6580000000000004</v>
      </c>
      <c r="N2638" s="8"/>
    </row>
    <row r="2639" spans="1:14" x14ac:dyDescent="0.25">
      <c r="A2639" s="8">
        <v>40655</v>
      </c>
      <c r="B2639">
        <v>1514288.82</v>
      </c>
      <c r="C2639">
        <v>0</v>
      </c>
      <c r="D2639">
        <v>41.66</v>
      </c>
      <c r="E2639">
        <v>4.0609999999999999</v>
      </c>
      <c r="F2639">
        <v>134.3571</v>
      </c>
      <c r="G2639">
        <v>7.6580000000000004</v>
      </c>
      <c r="N2639" s="8"/>
    </row>
    <row r="2640" spans="1:14" x14ac:dyDescent="0.25">
      <c r="A2640" s="8">
        <v>40662</v>
      </c>
      <c r="B2640">
        <v>1297237.7</v>
      </c>
      <c r="C2640">
        <v>0</v>
      </c>
      <c r="D2640">
        <v>54.23</v>
      </c>
      <c r="E2640">
        <v>4.117</v>
      </c>
      <c r="F2640">
        <v>134.43573330000001</v>
      </c>
      <c r="G2640">
        <v>7.6580000000000004</v>
      </c>
      <c r="N2640" s="8"/>
    </row>
    <row r="2641" spans="1:14" x14ac:dyDescent="0.25">
      <c r="A2641" s="8">
        <v>40669</v>
      </c>
      <c r="B2641">
        <v>1451953.95</v>
      </c>
      <c r="C2641">
        <v>0</v>
      </c>
      <c r="D2641">
        <v>50.43</v>
      </c>
      <c r="E2641">
        <v>4.1920000000000002</v>
      </c>
      <c r="F2641">
        <v>134.51436670000001</v>
      </c>
      <c r="G2641">
        <v>7.6580000000000004</v>
      </c>
      <c r="N2641" s="8"/>
    </row>
    <row r="2642" spans="1:14" x14ac:dyDescent="0.25">
      <c r="A2642" s="8">
        <v>40676</v>
      </c>
      <c r="B2642">
        <v>1429143.06</v>
      </c>
      <c r="C2642">
        <v>0</v>
      </c>
      <c r="D2642">
        <v>54.2</v>
      </c>
      <c r="E2642">
        <v>4.2110000000000003</v>
      </c>
      <c r="F2642">
        <v>134.59299999999999</v>
      </c>
      <c r="G2642">
        <v>7.6580000000000004</v>
      </c>
      <c r="N2642" s="8"/>
    </row>
    <row r="2643" spans="1:14" x14ac:dyDescent="0.25">
      <c r="A2643" s="8">
        <v>40683</v>
      </c>
      <c r="B2643">
        <v>1355234.3</v>
      </c>
      <c r="C2643">
        <v>0</v>
      </c>
      <c r="D2643">
        <v>52.8</v>
      </c>
      <c r="E2643">
        <v>4.202</v>
      </c>
      <c r="F2643">
        <v>134.68038709999999</v>
      </c>
      <c r="G2643">
        <v>7.6580000000000004</v>
      </c>
      <c r="N2643" s="8"/>
    </row>
    <row r="2644" spans="1:14" x14ac:dyDescent="0.25">
      <c r="A2644" s="8">
        <v>40690</v>
      </c>
      <c r="B2644">
        <v>1388553.11</v>
      </c>
      <c r="C2644">
        <v>0</v>
      </c>
      <c r="D2644">
        <v>63.2</v>
      </c>
      <c r="E2644">
        <v>4.1340000000000003</v>
      </c>
      <c r="F2644">
        <v>134.76777419999999</v>
      </c>
      <c r="G2644">
        <v>7.6580000000000004</v>
      </c>
      <c r="N2644" s="8"/>
    </row>
    <row r="2645" spans="1:14" x14ac:dyDescent="0.25">
      <c r="A2645" s="8">
        <v>40697</v>
      </c>
      <c r="B2645">
        <v>1457345.75</v>
      </c>
      <c r="C2645">
        <v>0</v>
      </c>
      <c r="D2645">
        <v>66.010000000000005</v>
      </c>
      <c r="E2645">
        <v>4.069</v>
      </c>
      <c r="F2645">
        <v>134.85516129999999</v>
      </c>
      <c r="G2645">
        <v>7.6580000000000004</v>
      </c>
      <c r="N2645" s="8"/>
    </row>
    <row r="2646" spans="1:14" x14ac:dyDescent="0.25">
      <c r="A2646" s="8">
        <v>40704</v>
      </c>
      <c r="B2646">
        <v>1467473.63</v>
      </c>
      <c r="C2646">
        <v>0</v>
      </c>
      <c r="D2646">
        <v>68.260000000000005</v>
      </c>
      <c r="E2646">
        <v>4.0250000000000004</v>
      </c>
      <c r="F2646">
        <v>134.94254839999999</v>
      </c>
      <c r="G2646">
        <v>7.6580000000000004</v>
      </c>
      <c r="N2646" s="8"/>
    </row>
    <row r="2647" spans="1:14" x14ac:dyDescent="0.25">
      <c r="A2647" s="8">
        <v>40711</v>
      </c>
      <c r="B2647">
        <v>1418973.62</v>
      </c>
      <c r="C2647">
        <v>0</v>
      </c>
      <c r="D2647">
        <v>64.02</v>
      </c>
      <c r="E2647">
        <v>3.9889999999999999</v>
      </c>
      <c r="F2647">
        <v>135.08373330000001</v>
      </c>
      <c r="G2647">
        <v>7.6580000000000004</v>
      </c>
      <c r="N2647" s="8"/>
    </row>
    <row r="2648" spans="1:14" x14ac:dyDescent="0.25">
      <c r="A2648" s="8">
        <v>40718</v>
      </c>
      <c r="B2648">
        <v>1440785.7</v>
      </c>
      <c r="C2648">
        <v>0</v>
      </c>
      <c r="D2648">
        <v>68.400000000000006</v>
      </c>
      <c r="E2648">
        <v>3.964</v>
      </c>
      <c r="F2648">
        <v>135.26526670000001</v>
      </c>
      <c r="G2648">
        <v>7.6580000000000004</v>
      </c>
      <c r="N2648" s="8"/>
    </row>
    <row r="2649" spans="1:14" x14ac:dyDescent="0.25">
      <c r="A2649" s="8">
        <v>40725</v>
      </c>
      <c r="B2649">
        <v>1462731.93</v>
      </c>
      <c r="C2649">
        <v>0</v>
      </c>
      <c r="D2649">
        <v>67.64</v>
      </c>
      <c r="E2649">
        <v>3.9159999999999999</v>
      </c>
      <c r="F2649">
        <v>135.4468</v>
      </c>
      <c r="G2649">
        <v>7.806</v>
      </c>
      <c r="N2649" s="8"/>
    </row>
    <row r="2650" spans="1:14" x14ac:dyDescent="0.25">
      <c r="A2650" s="8">
        <v>40732</v>
      </c>
      <c r="B2650">
        <v>1465489.75</v>
      </c>
      <c r="C2650">
        <v>0</v>
      </c>
      <c r="D2650">
        <v>73.2</v>
      </c>
      <c r="E2650">
        <v>3.8860000000000001</v>
      </c>
      <c r="F2650">
        <v>135.62833330000001</v>
      </c>
      <c r="G2650">
        <v>7.806</v>
      </c>
      <c r="N2650" s="8"/>
    </row>
    <row r="2651" spans="1:14" x14ac:dyDescent="0.25">
      <c r="A2651" s="8">
        <v>40739</v>
      </c>
      <c r="B2651">
        <v>1391580.41</v>
      </c>
      <c r="C2651">
        <v>0</v>
      </c>
      <c r="D2651">
        <v>73.7</v>
      </c>
      <c r="E2651">
        <v>3.915</v>
      </c>
      <c r="F2651">
        <v>135.7837419</v>
      </c>
      <c r="G2651">
        <v>7.806</v>
      </c>
      <c r="N2651" s="8"/>
    </row>
    <row r="2652" spans="1:14" x14ac:dyDescent="0.25">
      <c r="A2652" s="8">
        <v>40746</v>
      </c>
      <c r="B2652">
        <v>1377119.45</v>
      </c>
      <c r="C2652">
        <v>0</v>
      </c>
      <c r="D2652">
        <v>79.37</v>
      </c>
      <c r="E2652">
        <v>3.972</v>
      </c>
      <c r="F2652">
        <v>135.87383869999999</v>
      </c>
      <c r="G2652">
        <v>7.806</v>
      </c>
      <c r="N2652" s="8"/>
    </row>
    <row r="2653" spans="1:14" x14ac:dyDescent="0.25">
      <c r="A2653" s="8">
        <v>40753</v>
      </c>
      <c r="B2653">
        <v>1298775.8</v>
      </c>
      <c r="C2653">
        <v>0</v>
      </c>
      <c r="D2653">
        <v>74.86</v>
      </c>
      <c r="E2653">
        <v>4.0039999999999996</v>
      </c>
      <c r="F2653">
        <v>135.96393549999999</v>
      </c>
      <c r="G2653">
        <v>7.806</v>
      </c>
      <c r="N2653" s="8"/>
    </row>
    <row r="2654" spans="1:14" x14ac:dyDescent="0.25">
      <c r="A2654" s="8">
        <v>40760</v>
      </c>
      <c r="B2654">
        <v>1408968.55</v>
      </c>
      <c r="C2654">
        <v>0</v>
      </c>
      <c r="D2654">
        <v>73.84</v>
      </c>
      <c r="E2654">
        <v>4.0199999999999996</v>
      </c>
      <c r="F2654">
        <v>136.05403229999999</v>
      </c>
      <c r="G2654">
        <v>7.806</v>
      </c>
      <c r="N2654" s="8"/>
    </row>
    <row r="2655" spans="1:14" x14ac:dyDescent="0.25">
      <c r="A2655" s="8">
        <v>40767</v>
      </c>
      <c r="B2655">
        <v>1360969.45</v>
      </c>
      <c r="C2655">
        <v>0</v>
      </c>
      <c r="D2655">
        <v>70.92</v>
      </c>
      <c r="E2655">
        <v>3.9950000000000001</v>
      </c>
      <c r="F2655">
        <v>136.14412899999999</v>
      </c>
      <c r="G2655">
        <v>7.806</v>
      </c>
      <c r="N2655" s="8"/>
    </row>
    <row r="2656" spans="1:14" x14ac:dyDescent="0.25">
      <c r="A2656" s="8">
        <v>40774</v>
      </c>
      <c r="B2656">
        <v>1391792.69</v>
      </c>
      <c r="C2656">
        <v>0</v>
      </c>
      <c r="D2656">
        <v>71.14</v>
      </c>
      <c r="E2656">
        <v>3.9420000000000002</v>
      </c>
      <c r="F2656">
        <v>136.18312900000001</v>
      </c>
      <c r="G2656">
        <v>7.806</v>
      </c>
      <c r="N2656" s="8"/>
    </row>
    <row r="2657" spans="1:14" x14ac:dyDescent="0.25">
      <c r="A2657" s="8">
        <v>40781</v>
      </c>
      <c r="B2657">
        <v>1547729.24</v>
      </c>
      <c r="C2657">
        <v>0</v>
      </c>
      <c r="D2657">
        <v>69.34</v>
      </c>
      <c r="E2657">
        <v>3.9060000000000001</v>
      </c>
      <c r="F2657">
        <v>136.21361289999999</v>
      </c>
      <c r="G2657">
        <v>7.806</v>
      </c>
      <c r="N2657" s="8"/>
    </row>
    <row r="2658" spans="1:14" x14ac:dyDescent="0.25">
      <c r="A2658" s="8">
        <v>40788</v>
      </c>
      <c r="B2658">
        <v>1609951.02</v>
      </c>
      <c r="C2658">
        <v>0</v>
      </c>
      <c r="D2658">
        <v>69.27</v>
      </c>
      <c r="E2658">
        <v>3.879</v>
      </c>
      <c r="F2658">
        <v>136.24409679999999</v>
      </c>
      <c r="G2658">
        <v>7.806</v>
      </c>
      <c r="N2658" s="8"/>
    </row>
    <row r="2659" spans="1:14" x14ac:dyDescent="0.25">
      <c r="A2659" s="8">
        <v>40795</v>
      </c>
      <c r="B2659">
        <v>1566712.79</v>
      </c>
      <c r="C2659">
        <v>1</v>
      </c>
      <c r="D2659">
        <v>68.28</v>
      </c>
      <c r="E2659">
        <v>3.93</v>
      </c>
      <c r="F2659">
        <v>136.27458060000001</v>
      </c>
      <c r="G2659">
        <v>7.806</v>
      </c>
      <c r="N2659" s="8"/>
    </row>
    <row r="2660" spans="1:14" x14ac:dyDescent="0.25">
      <c r="A2660" s="8">
        <v>40802</v>
      </c>
      <c r="B2660">
        <v>1365633.53</v>
      </c>
      <c r="C2660">
        <v>0</v>
      </c>
      <c r="D2660">
        <v>62.76</v>
      </c>
      <c r="E2660">
        <v>3.9369999999999998</v>
      </c>
      <c r="F2660">
        <v>136.31450000000001</v>
      </c>
      <c r="G2660">
        <v>7.806</v>
      </c>
      <c r="N2660" s="8"/>
    </row>
    <row r="2661" spans="1:14" x14ac:dyDescent="0.25">
      <c r="A2661" s="8">
        <v>40809</v>
      </c>
      <c r="B2661">
        <v>1300375.76</v>
      </c>
      <c r="C2661">
        <v>0</v>
      </c>
      <c r="D2661">
        <v>61.32</v>
      </c>
      <c r="E2661">
        <v>3.899</v>
      </c>
      <c r="F2661">
        <v>136.36699999999999</v>
      </c>
      <c r="G2661">
        <v>7.806</v>
      </c>
      <c r="N2661" s="8"/>
    </row>
    <row r="2662" spans="1:14" x14ac:dyDescent="0.25">
      <c r="A2662" s="8">
        <v>40816</v>
      </c>
      <c r="B2662">
        <v>1330757.22</v>
      </c>
      <c r="C2662">
        <v>0</v>
      </c>
      <c r="D2662">
        <v>64.989999999999995</v>
      </c>
      <c r="E2662">
        <v>3.8580000000000001</v>
      </c>
      <c r="F2662">
        <v>136.4195</v>
      </c>
      <c r="G2662">
        <v>7.806</v>
      </c>
      <c r="N2662" s="8"/>
    </row>
    <row r="2663" spans="1:14" x14ac:dyDescent="0.25">
      <c r="A2663" s="8">
        <v>40823</v>
      </c>
      <c r="B2663">
        <v>1461718.87</v>
      </c>
      <c r="C2663">
        <v>0</v>
      </c>
      <c r="D2663">
        <v>53.1</v>
      </c>
      <c r="E2663">
        <v>3.7749999999999999</v>
      </c>
      <c r="F2663">
        <v>136.47200000000001</v>
      </c>
      <c r="G2663">
        <v>7.8659999999999997</v>
      </c>
      <c r="N2663" s="8"/>
    </row>
    <row r="2664" spans="1:14" x14ac:dyDescent="0.25">
      <c r="A2664" s="8">
        <v>40830</v>
      </c>
      <c r="B2664">
        <v>1318905.53</v>
      </c>
      <c r="C2664">
        <v>0</v>
      </c>
      <c r="D2664">
        <v>61.86</v>
      </c>
      <c r="E2664">
        <v>3.7440000000000002</v>
      </c>
      <c r="F2664">
        <v>136.51509680000001</v>
      </c>
      <c r="G2664">
        <v>7.8659999999999997</v>
      </c>
      <c r="N2664" s="8"/>
    </row>
    <row r="2665" spans="1:14" x14ac:dyDescent="0.25">
      <c r="A2665" s="8">
        <v>40837</v>
      </c>
      <c r="B2665">
        <v>1374863.1</v>
      </c>
      <c r="C2665">
        <v>0</v>
      </c>
      <c r="D2665">
        <v>52.05</v>
      </c>
      <c r="E2665">
        <v>3.7570000000000001</v>
      </c>
      <c r="F2665">
        <v>136.5017742</v>
      </c>
      <c r="G2665">
        <v>7.8659999999999997</v>
      </c>
      <c r="N2665" s="8"/>
    </row>
    <row r="2666" spans="1:14" x14ac:dyDescent="0.25">
      <c r="A2666" s="8">
        <v>40844</v>
      </c>
      <c r="B2666">
        <v>1396612.36</v>
      </c>
      <c r="C2666">
        <v>0</v>
      </c>
      <c r="D2666">
        <v>46.49</v>
      </c>
      <c r="E2666">
        <v>3.7570000000000001</v>
      </c>
      <c r="F2666">
        <v>136.48845159999999</v>
      </c>
      <c r="G2666">
        <v>7.8659999999999997</v>
      </c>
      <c r="N2666" s="8"/>
    </row>
    <row r="2667" spans="1:14" x14ac:dyDescent="0.25">
      <c r="A2667" s="8">
        <v>40851</v>
      </c>
      <c r="B2667">
        <v>1480289.64</v>
      </c>
      <c r="C2667">
        <v>0</v>
      </c>
      <c r="D2667">
        <v>44.97</v>
      </c>
      <c r="E2667">
        <v>3.738</v>
      </c>
      <c r="F2667">
        <v>136.47512900000001</v>
      </c>
      <c r="G2667">
        <v>7.8659999999999997</v>
      </c>
      <c r="N2667" s="8"/>
    </row>
    <row r="2668" spans="1:14" x14ac:dyDescent="0.25">
      <c r="A2668" s="8">
        <v>40858</v>
      </c>
      <c r="B2668">
        <v>1502078.93</v>
      </c>
      <c r="C2668">
        <v>0</v>
      </c>
      <c r="D2668">
        <v>48.22</v>
      </c>
      <c r="E2668">
        <v>3.7189999999999999</v>
      </c>
      <c r="F2668">
        <v>136.46180649999999</v>
      </c>
      <c r="G2668">
        <v>7.8659999999999997</v>
      </c>
      <c r="N2668" s="8"/>
    </row>
    <row r="2669" spans="1:14" x14ac:dyDescent="0.25">
      <c r="A2669" s="8">
        <v>40865</v>
      </c>
      <c r="B2669">
        <v>1411835.57</v>
      </c>
      <c r="C2669">
        <v>0</v>
      </c>
      <c r="D2669">
        <v>48.21</v>
      </c>
      <c r="E2669">
        <v>3.7170000000000001</v>
      </c>
      <c r="F2669">
        <v>136.46666669999999</v>
      </c>
      <c r="G2669">
        <v>7.8659999999999997</v>
      </c>
      <c r="N2669" s="8"/>
    </row>
    <row r="2670" spans="1:14" x14ac:dyDescent="0.25">
      <c r="A2670" s="8">
        <v>40872</v>
      </c>
      <c r="B2670">
        <v>1974646.78</v>
      </c>
      <c r="C2670">
        <v>1</v>
      </c>
      <c r="D2670">
        <v>42.75</v>
      </c>
      <c r="E2670">
        <v>3.6890000000000001</v>
      </c>
      <c r="F2670">
        <v>136.47880000000001</v>
      </c>
      <c r="G2670">
        <v>7.8659999999999997</v>
      </c>
      <c r="N2670" s="8"/>
    </row>
    <row r="2671" spans="1:14" x14ac:dyDescent="0.25">
      <c r="A2671" s="8">
        <v>40879</v>
      </c>
      <c r="B2671">
        <v>1484708.38</v>
      </c>
      <c r="C2671">
        <v>0</v>
      </c>
      <c r="D2671">
        <v>45.67</v>
      </c>
      <c r="E2671">
        <v>3.6659999999999999</v>
      </c>
      <c r="F2671">
        <v>136.49093329999999</v>
      </c>
      <c r="G2671">
        <v>7.8659999999999997</v>
      </c>
      <c r="N2671" s="8"/>
    </row>
    <row r="2672" spans="1:14" x14ac:dyDescent="0.25">
      <c r="A2672" s="8">
        <v>40886</v>
      </c>
      <c r="B2672">
        <v>1713769.06</v>
      </c>
      <c r="C2672">
        <v>0</v>
      </c>
      <c r="D2672">
        <v>40.18</v>
      </c>
      <c r="E2672">
        <v>3.6269999999999998</v>
      </c>
      <c r="F2672">
        <v>136.50306670000001</v>
      </c>
      <c r="G2672">
        <v>7.8659999999999997</v>
      </c>
      <c r="N2672" s="8"/>
    </row>
    <row r="2673" spans="1:14" x14ac:dyDescent="0.25">
      <c r="A2673" s="8">
        <v>40893</v>
      </c>
      <c r="B2673">
        <v>1852179.15</v>
      </c>
      <c r="C2673">
        <v>0</v>
      </c>
      <c r="D2673">
        <v>37.07</v>
      </c>
      <c r="E2673">
        <v>3.6110000000000002</v>
      </c>
      <c r="F2673">
        <v>136.53351610000001</v>
      </c>
      <c r="G2673">
        <v>7.8659999999999997</v>
      </c>
      <c r="N2673" s="8"/>
    </row>
    <row r="2674" spans="1:14" x14ac:dyDescent="0.25">
      <c r="A2674" s="8">
        <v>40900</v>
      </c>
      <c r="B2674">
        <v>2480159.4700000002</v>
      </c>
      <c r="C2674">
        <v>0</v>
      </c>
      <c r="D2674">
        <v>36.090000000000003</v>
      </c>
      <c r="E2674">
        <v>3.5870000000000002</v>
      </c>
      <c r="F2674">
        <v>136.58838710000001</v>
      </c>
      <c r="G2674">
        <v>7.8659999999999997</v>
      </c>
      <c r="N2674" s="8"/>
    </row>
    <row r="2675" spans="1:14" x14ac:dyDescent="0.25">
      <c r="A2675" s="8">
        <v>40907</v>
      </c>
      <c r="B2675">
        <v>1405168.06</v>
      </c>
      <c r="C2675">
        <v>1</v>
      </c>
      <c r="D2675">
        <v>31.65</v>
      </c>
      <c r="E2675">
        <v>3.5659999999999998</v>
      </c>
      <c r="F2675">
        <v>136.6432581</v>
      </c>
      <c r="G2675">
        <v>7.8659999999999997</v>
      </c>
      <c r="N2675" s="8"/>
    </row>
    <row r="2676" spans="1:14" x14ac:dyDescent="0.25">
      <c r="A2676" s="8">
        <v>40914</v>
      </c>
      <c r="B2676">
        <v>1266570.3999999999</v>
      </c>
      <c r="C2676">
        <v>0</v>
      </c>
      <c r="D2676">
        <v>31.84</v>
      </c>
      <c r="E2676">
        <v>3.585</v>
      </c>
      <c r="F2676">
        <v>136.69812899999999</v>
      </c>
      <c r="G2676">
        <v>7.9429999999999996</v>
      </c>
      <c r="N2676" s="8"/>
    </row>
    <row r="2677" spans="1:14" x14ac:dyDescent="0.25">
      <c r="A2677" s="8">
        <v>40921</v>
      </c>
      <c r="B2677">
        <v>1182198.7</v>
      </c>
      <c r="C2677">
        <v>0</v>
      </c>
      <c r="D2677">
        <v>37.08</v>
      </c>
      <c r="E2677">
        <v>3.6659999999999999</v>
      </c>
      <c r="F2677">
        <v>136.75299999999999</v>
      </c>
      <c r="G2677">
        <v>7.9429999999999996</v>
      </c>
      <c r="N2677" s="8"/>
    </row>
    <row r="2678" spans="1:14" x14ac:dyDescent="0.25">
      <c r="A2678" s="8">
        <v>40928</v>
      </c>
      <c r="B2678">
        <v>1237104.73</v>
      </c>
      <c r="C2678">
        <v>0</v>
      </c>
      <c r="D2678">
        <v>23.44</v>
      </c>
      <c r="E2678">
        <v>3.7050000000000001</v>
      </c>
      <c r="F2678">
        <v>136.85641939999999</v>
      </c>
      <c r="G2678">
        <v>7.9429999999999996</v>
      </c>
      <c r="N2678" s="8"/>
    </row>
    <row r="2679" spans="1:14" x14ac:dyDescent="0.25">
      <c r="A2679" s="8">
        <v>40935</v>
      </c>
      <c r="B2679">
        <v>1279623.26</v>
      </c>
      <c r="C2679">
        <v>0</v>
      </c>
      <c r="D2679">
        <v>32.409999999999997</v>
      </c>
      <c r="E2679">
        <v>3.7370000000000001</v>
      </c>
      <c r="F2679">
        <v>136.95983870000001</v>
      </c>
      <c r="G2679">
        <v>7.9429999999999996</v>
      </c>
      <c r="N2679" s="8"/>
    </row>
    <row r="2680" spans="1:14" x14ac:dyDescent="0.25">
      <c r="A2680" s="8">
        <v>40942</v>
      </c>
      <c r="B2680">
        <v>1345311.65</v>
      </c>
      <c r="C2680">
        <v>0</v>
      </c>
      <c r="D2680">
        <v>36.22</v>
      </c>
      <c r="E2680">
        <v>3.7959999999999998</v>
      </c>
      <c r="F2680">
        <v>137.06325810000001</v>
      </c>
      <c r="G2680">
        <v>7.9429999999999996</v>
      </c>
      <c r="N2680" s="8"/>
    </row>
    <row r="2681" spans="1:14" x14ac:dyDescent="0.25">
      <c r="A2681" s="8">
        <v>40949</v>
      </c>
      <c r="B2681">
        <v>1499496.67</v>
      </c>
      <c r="C2681">
        <v>1</v>
      </c>
      <c r="D2681">
        <v>32.61</v>
      </c>
      <c r="E2681">
        <v>3.8260000000000001</v>
      </c>
      <c r="F2681">
        <v>137.1666774</v>
      </c>
      <c r="G2681">
        <v>7.9429999999999996</v>
      </c>
      <c r="N2681" s="8"/>
    </row>
    <row r="2682" spans="1:14" x14ac:dyDescent="0.25">
      <c r="A2682" s="8">
        <v>40956</v>
      </c>
      <c r="B2682">
        <v>1424720.27</v>
      </c>
      <c r="C2682">
        <v>0</v>
      </c>
      <c r="D2682">
        <v>30.95</v>
      </c>
      <c r="E2682">
        <v>3.8740000000000001</v>
      </c>
      <c r="F2682">
        <v>137.25831030000001</v>
      </c>
      <c r="G2682">
        <v>7.9429999999999996</v>
      </c>
      <c r="N2682" s="8"/>
    </row>
    <row r="2683" spans="1:14" x14ac:dyDescent="0.25">
      <c r="A2683" s="8">
        <v>40963</v>
      </c>
      <c r="B2683">
        <v>1352470.09</v>
      </c>
      <c r="C2683">
        <v>0</v>
      </c>
      <c r="D2683">
        <v>33.909999999999997</v>
      </c>
      <c r="E2683">
        <v>3.9169999999999998</v>
      </c>
      <c r="F2683">
        <v>137.34110340000001</v>
      </c>
      <c r="G2683">
        <v>7.9429999999999996</v>
      </c>
      <c r="N2683" s="8"/>
    </row>
    <row r="2684" spans="1:14" x14ac:dyDescent="0.25">
      <c r="A2684" s="8">
        <v>40970</v>
      </c>
      <c r="B2684">
        <v>1308977.05</v>
      </c>
      <c r="C2684">
        <v>0</v>
      </c>
      <c r="D2684">
        <v>34.83</v>
      </c>
      <c r="E2684">
        <v>3.9830000000000001</v>
      </c>
      <c r="F2684">
        <v>137.42389660000001</v>
      </c>
      <c r="G2684">
        <v>7.9429999999999996</v>
      </c>
      <c r="N2684" s="8"/>
    </row>
    <row r="2685" spans="1:14" x14ac:dyDescent="0.25">
      <c r="A2685" s="8">
        <v>40977</v>
      </c>
      <c r="B2685">
        <v>1358816.46</v>
      </c>
      <c r="C2685">
        <v>0</v>
      </c>
      <c r="D2685">
        <v>38.15</v>
      </c>
      <c r="E2685">
        <v>4.0209999999999999</v>
      </c>
      <c r="F2685">
        <v>137.50668970000001</v>
      </c>
      <c r="G2685">
        <v>7.9429999999999996</v>
      </c>
      <c r="N2685" s="8"/>
    </row>
    <row r="2686" spans="1:14" x14ac:dyDescent="0.25">
      <c r="A2686" s="8">
        <v>40984</v>
      </c>
      <c r="B2686">
        <v>1312849.1000000001</v>
      </c>
      <c r="C2686">
        <v>0</v>
      </c>
      <c r="D2686">
        <v>48.2</v>
      </c>
      <c r="E2686">
        <v>4.0209999999999999</v>
      </c>
      <c r="F2686">
        <v>137.58438709999999</v>
      </c>
      <c r="G2686">
        <v>7.9429999999999996</v>
      </c>
      <c r="N2686" s="8"/>
    </row>
    <row r="2687" spans="1:14" x14ac:dyDescent="0.25">
      <c r="A2687" s="8">
        <v>40991</v>
      </c>
      <c r="B2687">
        <v>1342254.55</v>
      </c>
      <c r="C2687">
        <v>0</v>
      </c>
      <c r="D2687">
        <v>56.72</v>
      </c>
      <c r="E2687">
        <v>4.0540000000000003</v>
      </c>
      <c r="F2687">
        <v>137.65529029999999</v>
      </c>
      <c r="G2687">
        <v>7.9429999999999996</v>
      </c>
      <c r="N2687" s="8"/>
    </row>
    <row r="2688" spans="1:14" x14ac:dyDescent="0.25">
      <c r="A2688" s="8">
        <v>40998</v>
      </c>
      <c r="B2688">
        <v>1327139.3500000001</v>
      </c>
      <c r="C2688">
        <v>0</v>
      </c>
      <c r="D2688">
        <v>43.47</v>
      </c>
      <c r="E2688">
        <v>4.0979999999999999</v>
      </c>
      <c r="F2688">
        <v>137.72619349999999</v>
      </c>
      <c r="G2688">
        <v>7.9429999999999996</v>
      </c>
      <c r="N2688" s="8"/>
    </row>
    <row r="2689" spans="1:14" x14ac:dyDescent="0.25">
      <c r="A2689" s="8">
        <v>41005</v>
      </c>
      <c r="B2689">
        <v>1631737.68</v>
      </c>
      <c r="C2689">
        <v>0</v>
      </c>
      <c r="D2689">
        <v>40.229999999999997</v>
      </c>
      <c r="E2689">
        <v>4.1429999999999998</v>
      </c>
      <c r="F2689">
        <v>137.79709679999999</v>
      </c>
      <c r="G2689">
        <v>8.15</v>
      </c>
      <c r="N2689" s="8"/>
    </row>
    <row r="2690" spans="1:14" x14ac:dyDescent="0.25">
      <c r="A2690" s="8">
        <v>41012</v>
      </c>
      <c r="B2690">
        <v>1365098.46</v>
      </c>
      <c r="C2690">
        <v>0</v>
      </c>
      <c r="D2690">
        <v>44.42</v>
      </c>
      <c r="E2690">
        <v>4.1870000000000003</v>
      </c>
      <c r="F2690">
        <v>137.86799999999999</v>
      </c>
      <c r="G2690">
        <v>8.15</v>
      </c>
      <c r="N2690" s="8"/>
    </row>
    <row r="2691" spans="1:14" x14ac:dyDescent="0.25">
      <c r="A2691" s="8">
        <v>41019</v>
      </c>
      <c r="B2691">
        <v>1255087.26</v>
      </c>
      <c r="C2691">
        <v>0</v>
      </c>
      <c r="D2691">
        <v>55.2</v>
      </c>
      <c r="E2691">
        <v>4.17</v>
      </c>
      <c r="F2691">
        <v>137.92306669999999</v>
      </c>
      <c r="G2691">
        <v>8.15</v>
      </c>
      <c r="N2691" s="8"/>
    </row>
    <row r="2692" spans="1:14" x14ac:dyDescent="0.25">
      <c r="A2692" s="8">
        <v>41026</v>
      </c>
      <c r="B2692">
        <v>1285897.24</v>
      </c>
      <c r="C2692">
        <v>0</v>
      </c>
      <c r="D2692">
        <v>42.45</v>
      </c>
      <c r="E2692">
        <v>4.1630000000000003</v>
      </c>
      <c r="F2692">
        <v>137.9781333</v>
      </c>
      <c r="G2692">
        <v>8.15</v>
      </c>
      <c r="N2692" s="8"/>
    </row>
    <row r="2693" spans="1:14" x14ac:dyDescent="0.25">
      <c r="A2693" s="8">
        <v>41033</v>
      </c>
      <c r="B2693">
        <v>1405007.44</v>
      </c>
      <c r="C2693">
        <v>0</v>
      </c>
      <c r="D2693">
        <v>50.76</v>
      </c>
      <c r="E2693">
        <v>4.1239999999999997</v>
      </c>
      <c r="F2693">
        <v>138.03319999999999</v>
      </c>
      <c r="G2693">
        <v>8.15</v>
      </c>
      <c r="N2693" s="8"/>
    </row>
    <row r="2694" spans="1:14" x14ac:dyDescent="0.25">
      <c r="A2694" s="8">
        <v>41040</v>
      </c>
      <c r="B2694">
        <v>1442873.22</v>
      </c>
      <c r="C2694">
        <v>0</v>
      </c>
      <c r="D2694">
        <v>55.33</v>
      </c>
      <c r="E2694">
        <v>4.0549999999999997</v>
      </c>
      <c r="F2694">
        <v>138.08826669999999</v>
      </c>
      <c r="G2694">
        <v>8.15</v>
      </c>
      <c r="N2694" s="8"/>
    </row>
    <row r="2695" spans="1:14" x14ac:dyDescent="0.25">
      <c r="A2695" s="8">
        <v>41047</v>
      </c>
      <c r="B2695">
        <v>1366937.1</v>
      </c>
      <c r="C2695">
        <v>0</v>
      </c>
      <c r="D2695">
        <v>58.81</v>
      </c>
      <c r="E2695">
        <v>4.0289999999999999</v>
      </c>
      <c r="F2695">
        <v>138.1065806</v>
      </c>
      <c r="G2695">
        <v>8.15</v>
      </c>
      <c r="N2695" s="8"/>
    </row>
    <row r="2696" spans="1:14" x14ac:dyDescent="0.25">
      <c r="A2696" s="8">
        <v>41054</v>
      </c>
      <c r="B2696">
        <v>1485540.28</v>
      </c>
      <c r="C2696">
        <v>0</v>
      </c>
      <c r="D2696">
        <v>67.790000000000006</v>
      </c>
      <c r="E2696">
        <v>3.9790000000000001</v>
      </c>
      <c r="F2696">
        <v>138.11019350000001</v>
      </c>
      <c r="G2696">
        <v>8.15</v>
      </c>
      <c r="N2696" s="8"/>
    </row>
    <row r="2697" spans="1:14" x14ac:dyDescent="0.25">
      <c r="A2697" s="8">
        <v>41061</v>
      </c>
      <c r="B2697">
        <v>1450733.29</v>
      </c>
      <c r="C2697">
        <v>0</v>
      </c>
      <c r="D2697">
        <v>68.180000000000007</v>
      </c>
      <c r="E2697">
        <v>3.915</v>
      </c>
      <c r="F2697">
        <v>138.11380650000001</v>
      </c>
      <c r="G2697">
        <v>8.15</v>
      </c>
      <c r="N2697" s="8"/>
    </row>
    <row r="2698" spans="1:14" x14ac:dyDescent="0.25">
      <c r="A2698" s="8">
        <v>41068</v>
      </c>
      <c r="B2698">
        <v>1390122.11</v>
      </c>
      <c r="C2698">
        <v>0</v>
      </c>
      <c r="D2698">
        <v>60.19</v>
      </c>
      <c r="E2698">
        <v>3.871</v>
      </c>
      <c r="F2698">
        <v>138.11741939999999</v>
      </c>
      <c r="G2698">
        <v>8.15</v>
      </c>
      <c r="N2698" s="8"/>
    </row>
    <row r="2699" spans="1:14" x14ac:dyDescent="0.25">
      <c r="A2699" s="8">
        <v>41075</v>
      </c>
      <c r="B2699">
        <v>1440263.15</v>
      </c>
      <c r="C2699">
        <v>0</v>
      </c>
      <c r="D2699">
        <v>68.19</v>
      </c>
      <c r="E2699">
        <v>3.786</v>
      </c>
      <c r="F2699">
        <v>138.12953329999999</v>
      </c>
      <c r="G2699">
        <v>8.15</v>
      </c>
      <c r="N2699" s="8"/>
    </row>
    <row r="2700" spans="1:14" x14ac:dyDescent="0.25">
      <c r="A2700" s="8">
        <v>41082</v>
      </c>
      <c r="B2700">
        <v>1468350.36</v>
      </c>
      <c r="C2700">
        <v>0</v>
      </c>
      <c r="D2700">
        <v>75.83</v>
      </c>
      <c r="E2700">
        <v>3.722</v>
      </c>
      <c r="F2700">
        <v>138.16290000000001</v>
      </c>
      <c r="G2700">
        <v>8.15</v>
      </c>
      <c r="N2700" s="8"/>
    </row>
    <row r="2701" spans="1:14" x14ac:dyDescent="0.25">
      <c r="A2701" s="8">
        <v>41089</v>
      </c>
      <c r="B2701">
        <v>1379652.65</v>
      </c>
      <c r="C2701">
        <v>0</v>
      </c>
      <c r="D2701">
        <v>69.92</v>
      </c>
      <c r="E2701">
        <v>3.6669999999999998</v>
      </c>
      <c r="F2701">
        <v>138.1962667</v>
      </c>
      <c r="G2701">
        <v>8.15</v>
      </c>
      <c r="N2701" s="8"/>
    </row>
    <row r="2702" spans="1:14" x14ac:dyDescent="0.25">
      <c r="A2702" s="8">
        <v>41096</v>
      </c>
      <c r="B2702">
        <v>1557120.44</v>
      </c>
      <c r="C2702">
        <v>0</v>
      </c>
      <c r="D2702">
        <v>76.069999999999993</v>
      </c>
      <c r="E2702">
        <v>3.6459999999999999</v>
      </c>
      <c r="F2702">
        <v>138.22963329999999</v>
      </c>
      <c r="G2702">
        <v>8.1929999999999996</v>
      </c>
      <c r="N2702" s="8"/>
    </row>
    <row r="2703" spans="1:14" x14ac:dyDescent="0.25">
      <c r="A2703" s="8">
        <v>41103</v>
      </c>
      <c r="B2703">
        <v>1321741.3500000001</v>
      </c>
      <c r="C2703">
        <v>0</v>
      </c>
      <c r="D2703">
        <v>73.17</v>
      </c>
      <c r="E2703">
        <v>3.6890000000000001</v>
      </c>
      <c r="F2703">
        <v>138.26300000000001</v>
      </c>
      <c r="G2703">
        <v>8.1929999999999996</v>
      </c>
      <c r="N2703" s="8"/>
    </row>
    <row r="2704" spans="1:14" x14ac:dyDescent="0.25">
      <c r="A2704" s="8">
        <v>41110</v>
      </c>
      <c r="B2704">
        <v>1317672.92</v>
      </c>
      <c r="C2704">
        <v>0</v>
      </c>
      <c r="D2704">
        <v>76.17</v>
      </c>
      <c r="E2704">
        <v>3.7320000000000002</v>
      </c>
      <c r="F2704">
        <v>138.2331935</v>
      </c>
      <c r="G2704">
        <v>8.1929999999999996</v>
      </c>
      <c r="N2704" s="8"/>
    </row>
    <row r="2705" spans="1:14" x14ac:dyDescent="0.25">
      <c r="A2705" s="8">
        <v>41117</v>
      </c>
      <c r="B2705">
        <v>1248915.43</v>
      </c>
      <c r="C2705">
        <v>0</v>
      </c>
      <c r="D2705">
        <v>74.430000000000007</v>
      </c>
      <c r="E2705">
        <v>3.82</v>
      </c>
      <c r="F2705">
        <v>138.20338709999999</v>
      </c>
      <c r="G2705">
        <v>8.1929999999999996</v>
      </c>
      <c r="N2705" s="8"/>
    </row>
    <row r="2706" spans="1:14" x14ac:dyDescent="0.25">
      <c r="A2706" s="8">
        <v>41124</v>
      </c>
      <c r="B2706">
        <v>1342123.78</v>
      </c>
      <c r="C2706">
        <v>0</v>
      </c>
      <c r="D2706">
        <v>73.41</v>
      </c>
      <c r="E2706">
        <v>3.819</v>
      </c>
      <c r="F2706">
        <v>138.17358060000001</v>
      </c>
      <c r="G2706">
        <v>8.1929999999999996</v>
      </c>
      <c r="N2706" s="8"/>
    </row>
    <row r="2707" spans="1:14" x14ac:dyDescent="0.25">
      <c r="A2707" s="8">
        <v>41131</v>
      </c>
      <c r="B2707">
        <v>1408907.89</v>
      </c>
      <c r="C2707">
        <v>0</v>
      </c>
      <c r="D2707">
        <v>74.45</v>
      </c>
      <c r="E2707">
        <v>3.863</v>
      </c>
      <c r="F2707">
        <v>138.1437742</v>
      </c>
      <c r="G2707">
        <v>8.1929999999999996</v>
      </c>
      <c r="N2707" s="8"/>
    </row>
    <row r="2708" spans="1:14" x14ac:dyDescent="0.25">
      <c r="A2708" s="8">
        <v>41138</v>
      </c>
      <c r="B2708">
        <v>1375101.26</v>
      </c>
      <c r="C2708">
        <v>0</v>
      </c>
      <c r="D2708">
        <v>69.83</v>
      </c>
      <c r="E2708">
        <v>3.9630000000000001</v>
      </c>
      <c r="F2708">
        <v>138.18570969999999</v>
      </c>
      <c r="G2708">
        <v>8.1929999999999996</v>
      </c>
      <c r="N2708" s="8"/>
    </row>
    <row r="2709" spans="1:14" x14ac:dyDescent="0.25">
      <c r="A2709" s="8">
        <v>41145</v>
      </c>
      <c r="B2709">
        <v>1544653.37</v>
      </c>
      <c r="C2709">
        <v>0</v>
      </c>
      <c r="D2709">
        <v>66.66</v>
      </c>
      <c r="E2709">
        <v>3.9969999999999999</v>
      </c>
      <c r="F2709">
        <v>138.2814516</v>
      </c>
      <c r="G2709">
        <v>8.1929999999999996</v>
      </c>
      <c r="N2709" s="8"/>
    </row>
    <row r="2710" spans="1:14" x14ac:dyDescent="0.25">
      <c r="A2710" s="8">
        <v>41152</v>
      </c>
      <c r="B2710">
        <v>1542719.87</v>
      </c>
      <c r="C2710">
        <v>0</v>
      </c>
      <c r="D2710">
        <v>71.849999999999994</v>
      </c>
      <c r="E2710">
        <v>4.0259999999999998</v>
      </c>
      <c r="F2710">
        <v>138.3771935</v>
      </c>
      <c r="G2710">
        <v>8.1929999999999996</v>
      </c>
      <c r="N2710" s="8"/>
    </row>
    <row r="2711" spans="1:14" x14ac:dyDescent="0.25">
      <c r="A2711" s="8">
        <v>41159</v>
      </c>
      <c r="B2711">
        <v>1497073.82</v>
      </c>
      <c r="C2711">
        <v>1</v>
      </c>
      <c r="D2711">
        <v>72.2</v>
      </c>
      <c r="E2711">
        <v>4.0759999999999996</v>
      </c>
      <c r="F2711">
        <v>138.47293550000001</v>
      </c>
      <c r="G2711">
        <v>8.1929999999999996</v>
      </c>
      <c r="N2711" s="8"/>
    </row>
    <row r="2712" spans="1:14" x14ac:dyDescent="0.25">
      <c r="A2712" s="8">
        <v>41166</v>
      </c>
      <c r="B2712">
        <v>1370653.41</v>
      </c>
      <c r="C2712">
        <v>0</v>
      </c>
      <c r="D2712">
        <v>65.08</v>
      </c>
      <c r="E2712">
        <v>4.0880000000000001</v>
      </c>
      <c r="F2712">
        <v>138.56729999999999</v>
      </c>
      <c r="G2712">
        <v>8.1929999999999996</v>
      </c>
      <c r="N2712" s="8"/>
    </row>
    <row r="2713" spans="1:14" x14ac:dyDescent="0.25">
      <c r="A2713" s="8">
        <v>41173</v>
      </c>
      <c r="B2713">
        <v>1338572.29</v>
      </c>
      <c r="C2713">
        <v>0</v>
      </c>
      <c r="D2713">
        <v>60.62</v>
      </c>
      <c r="E2713">
        <v>4.2030000000000003</v>
      </c>
      <c r="F2713">
        <v>138.6534</v>
      </c>
      <c r="G2713">
        <v>8.1929999999999996</v>
      </c>
      <c r="N2713" s="8"/>
    </row>
    <row r="2714" spans="1:14" x14ac:dyDescent="0.25">
      <c r="A2714" s="8">
        <v>41180</v>
      </c>
      <c r="B2714">
        <v>1338299.02</v>
      </c>
      <c r="C2714">
        <v>0</v>
      </c>
      <c r="D2714">
        <v>56.81</v>
      </c>
      <c r="E2714">
        <v>4.1580000000000004</v>
      </c>
      <c r="F2714">
        <v>138.73949999999999</v>
      </c>
      <c r="G2714">
        <v>8.1929999999999996</v>
      </c>
      <c r="N2714" s="8"/>
    </row>
    <row r="2715" spans="1:14" x14ac:dyDescent="0.25">
      <c r="A2715" s="8">
        <v>41187</v>
      </c>
      <c r="B2715">
        <v>1408016.1</v>
      </c>
      <c r="C2715">
        <v>0</v>
      </c>
      <c r="D2715">
        <v>59.86</v>
      </c>
      <c r="E2715">
        <v>4.1509999999999998</v>
      </c>
      <c r="F2715">
        <v>138.82560000000001</v>
      </c>
      <c r="G2715">
        <v>7.992</v>
      </c>
      <c r="N2715" s="8"/>
    </row>
    <row r="2716" spans="1:14" x14ac:dyDescent="0.25">
      <c r="A2716" s="8">
        <v>41194</v>
      </c>
      <c r="B2716">
        <v>1352809.5</v>
      </c>
      <c r="C2716">
        <v>0</v>
      </c>
      <c r="D2716">
        <v>48.29</v>
      </c>
      <c r="E2716">
        <v>4.1859999999999999</v>
      </c>
      <c r="F2716">
        <v>138.9117</v>
      </c>
      <c r="G2716">
        <v>7.992</v>
      </c>
      <c r="N2716" s="8"/>
    </row>
    <row r="2717" spans="1:14" x14ac:dyDescent="0.25">
      <c r="A2717" s="8">
        <v>41201</v>
      </c>
      <c r="B2717">
        <v>1321102.3500000001</v>
      </c>
      <c r="C2717">
        <v>0</v>
      </c>
      <c r="D2717">
        <v>53.44</v>
      </c>
      <c r="E2717">
        <v>4.1529999999999996</v>
      </c>
      <c r="F2717">
        <v>138.83361289999999</v>
      </c>
      <c r="G2717">
        <v>7.992</v>
      </c>
      <c r="N2717" s="8"/>
    </row>
    <row r="2718" spans="1:14" x14ac:dyDescent="0.25">
      <c r="A2718" s="8">
        <v>41208</v>
      </c>
      <c r="B2718">
        <v>1322117.96</v>
      </c>
      <c r="C2718">
        <v>0</v>
      </c>
      <c r="D2718">
        <v>56.49</v>
      </c>
      <c r="E2718">
        <v>4.0709999999999997</v>
      </c>
      <c r="F2718">
        <v>138.72816130000001</v>
      </c>
      <c r="G2718">
        <v>7.992</v>
      </c>
      <c r="N2718" s="8"/>
    </row>
    <row r="2719" spans="1:14" x14ac:dyDescent="0.25">
      <c r="A2719" s="8">
        <v>40214</v>
      </c>
      <c r="B2719">
        <v>2401395.4700000002</v>
      </c>
      <c r="C2719">
        <v>0</v>
      </c>
      <c r="D2719">
        <v>25.92</v>
      </c>
      <c r="E2719">
        <v>2.7839999999999998</v>
      </c>
      <c r="F2719">
        <v>204.24719350000001</v>
      </c>
      <c r="G2719">
        <v>8.1869999999999994</v>
      </c>
      <c r="N2719" s="8"/>
    </row>
    <row r="2720" spans="1:14" x14ac:dyDescent="0.25">
      <c r="A2720" s="8">
        <v>40221</v>
      </c>
      <c r="B2720">
        <v>2109107.9</v>
      </c>
      <c r="C2720">
        <v>1</v>
      </c>
      <c r="D2720">
        <v>22.12</v>
      </c>
      <c r="E2720">
        <v>2.7730000000000001</v>
      </c>
      <c r="F2720">
        <v>204.3857472</v>
      </c>
      <c r="G2720">
        <v>8.1869999999999994</v>
      </c>
      <c r="N2720" s="8"/>
    </row>
    <row r="2721" spans="1:14" x14ac:dyDescent="0.25">
      <c r="A2721" s="8">
        <v>40228</v>
      </c>
      <c r="B2721">
        <v>2161549.7599999998</v>
      </c>
      <c r="C2721">
        <v>0</v>
      </c>
      <c r="D2721">
        <v>25.43</v>
      </c>
      <c r="E2721">
        <v>2.7450000000000001</v>
      </c>
      <c r="F2721">
        <v>204.4321004</v>
      </c>
      <c r="G2721">
        <v>8.1869999999999994</v>
      </c>
      <c r="N2721" s="8"/>
    </row>
    <row r="2722" spans="1:14" x14ac:dyDescent="0.25">
      <c r="A2722" s="8">
        <v>40235</v>
      </c>
      <c r="B2722">
        <v>1898193.95</v>
      </c>
      <c r="C2722">
        <v>0</v>
      </c>
      <c r="D2722">
        <v>32.32</v>
      </c>
      <c r="E2722">
        <v>2.754</v>
      </c>
      <c r="F2722">
        <v>204.46308690000001</v>
      </c>
      <c r="G2722">
        <v>8.1869999999999994</v>
      </c>
      <c r="N2722" s="8"/>
    </row>
    <row r="2723" spans="1:14" x14ac:dyDescent="0.25">
      <c r="A2723" s="8">
        <v>40242</v>
      </c>
      <c r="B2723">
        <v>2119213.7200000002</v>
      </c>
      <c r="C2723">
        <v>0</v>
      </c>
      <c r="D2723">
        <v>31.75</v>
      </c>
      <c r="E2723">
        <v>2.7770000000000001</v>
      </c>
      <c r="F2723">
        <v>204.49407339999999</v>
      </c>
      <c r="G2723">
        <v>8.1869999999999994</v>
      </c>
      <c r="N2723" s="8"/>
    </row>
    <row r="2724" spans="1:14" x14ac:dyDescent="0.25">
      <c r="A2724" s="8">
        <v>40249</v>
      </c>
      <c r="B2724">
        <v>2010974.84</v>
      </c>
      <c r="C2724">
        <v>0</v>
      </c>
      <c r="D2724">
        <v>43.82</v>
      </c>
      <c r="E2724">
        <v>2.8180000000000001</v>
      </c>
      <c r="F2724">
        <v>204.52505980000001</v>
      </c>
      <c r="G2724">
        <v>8.1869999999999994</v>
      </c>
      <c r="N2724" s="8"/>
    </row>
    <row r="2725" spans="1:14" x14ac:dyDescent="0.25">
      <c r="A2725" s="8">
        <v>40256</v>
      </c>
      <c r="B2725">
        <v>1951848.43</v>
      </c>
      <c r="C2725">
        <v>0</v>
      </c>
      <c r="D2725">
        <v>47.32</v>
      </c>
      <c r="E2725">
        <v>2.8439999999999999</v>
      </c>
      <c r="F2725">
        <v>204.3782258</v>
      </c>
      <c r="G2725">
        <v>8.1869999999999994</v>
      </c>
      <c r="N2725" s="8"/>
    </row>
    <row r="2726" spans="1:14" x14ac:dyDescent="0.25">
      <c r="A2726" s="8">
        <v>40263</v>
      </c>
      <c r="B2726">
        <v>1894742.95</v>
      </c>
      <c r="C2726">
        <v>0</v>
      </c>
      <c r="D2726">
        <v>50.49</v>
      </c>
      <c r="E2726">
        <v>2.8540000000000001</v>
      </c>
      <c r="F2726">
        <v>204.20175499999999</v>
      </c>
      <c r="G2726">
        <v>8.1869999999999994</v>
      </c>
      <c r="N2726" s="8"/>
    </row>
    <row r="2727" spans="1:14" x14ac:dyDescent="0.25">
      <c r="A2727" s="8">
        <v>40270</v>
      </c>
      <c r="B2727">
        <v>2405395.2200000002</v>
      </c>
      <c r="C2727">
        <v>0</v>
      </c>
      <c r="D2727">
        <v>51</v>
      </c>
      <c r="E2727">
        <v>2.85</v>
      </c>
      <c r="F2727">
        <v>204.02528419999999</v>
      </c>
      <c r="G2727">
        <v>7.8559999999999999</v>
      </c>
      <c r="N2727" s="8"/>
    </row>
    <row r="2728" spans="1:14" x14ac:dyDescent="0.25">
      <c r="A2728" s="8">
        <v>40277</v>
      </c>
      <c r="B2728">
        <v>2007796.26</v>
      </c>
      <c r="C2728">
        <v>0</v>
      </c>
      <c r="D2728">
        <v>65.099999999999994</v>
      </c>
      <c r="E2728">
        <v>2.8690000000000002</v>
      </c>
      <c r="F2728">
        <v>203.84881340000001</v>
      </c>
      <c r="G2728">
        <v>7.8559999999999999</v>
      </c>
      <c r="N2728" s="8"/>
    </row>
    <row r="2729" spans="1:14" x14ac:dyDescent="0.25">
      <c r="A2729" s="8">
        <v>40284</v>
      </c>
      <c r="B2729">
        <v>1985784.59</v>
      </c>
      <c r="C2729">
        <v>0</v>
      </c>
      <c r="D2729">
        <v>55.43</v>
      </c>
      <c r="E2729">
        <v>2.899</v>
      </c>
      <c r="F2729">
        <v>203.7307486</v>
      </c>
      <c r="G2729">
        <v>7.8559999999999999</v>
      </c>
      <c r="N2729" s="8"/>
    </row>
    <row r="2730" spans="1:14" x14ac:dyDescent="0.25">
      <c r="A2730" s="8">
        <v>40291</v>
      </c>
      <c r="B2730">
        <v>1878862.42</v>
      </c>
      <c r="C2730">
        <v>0</v>
      </c>
      <c r="D2730">
        <v>50.65</v>
      </c>
      <c r="E2730">
        <v>2.9020000000000001</v>
      </c>
      <c r="F2730">
        <v>203.6905586</v>
      </c>
      <c r="G2730">
        <v>7.8559999999999999</v>
      </c>
      <c r="N2730" s="8"/>
    </row>
    <row r="2731" spans="1:14" x14ac:dyDescent="0.25">
      <c r="A2731" s="8">
        <v>40298</v>
      </c>
      <c r="B2731">
        <v>1919053.21</v>
      </c>
      <c r="C2731">
        <v>0</v>
      </c>
      <c r="D2731">
        <v>54.75</v>
      </c>
      <c r="E2731">
        <v>2.9209999999999998</v>
      </c>
      <c r="F2731">
        <v>203.65036850000001</v>
      </c>
      <c r="G2731">
        <v>7.8559999999999999</v>
      </c>
      <c r="N2731" s="8"/>
    </row>
    <row r="2732" spans="1:14" x14ac:dyDescent="0.25">
      <c r="A2732" s="8">
        <v>40305</v>
      </c>
      <c r="B2732">
        <v>2137202.38</v>
      </c>
      <c r="C2732">
        <v>0</v>
      </c>
      <c r="D2732">
        <v>66.739999999999995</v>
      </c>
      <c r="E2732">
        <v>2.9660000000000002</v>
      </c>
      <c r="F2732">
        <v>203.6101784</v>
      </c>
      <c r="G2732">
        <v>7.8559999999999999</v>
      </c>
      <c r="N2732" s="8"/>
    </row>
    <row r="2733" spans="1:14" x14ac:dyDescent="0.25">
      <c r="A2733" s="8">
        <v>40312</v>
      </c>
      <c r="B2733">
        <v>2033211.62</v>
      </c>
      <c r="C2733">
        <v>0</v>
      </c>
      <c r="D2733">
        <v>55.91</v>
      </c>
      <c r="E2733">
        <v>2.9820000000000002</v>
      </c>
      <c r="F2733">
        <v>203.61339150000001</v>
      </c>
      <c r="G2733">
        <v>7.8559999999999999</v>
      </c>
      <c r="N2733" s="8"/>
    </row>
    <row r="2734" spans="1:14" x14ac:dyDescent="0.25">
      <c r="A2734" s="8">
        <v>40319</v>
      </c>
      <c r="B2734">
        <v>1893736.9</v>
      </c>
      <c r="C2734">
        <v>0</v>
      </c>
      <c r="D2734">
        <v>60.38</v>
      </c>
      <c r="E2734">
        <v>2.9580000000000002</v>
      </c>
      <c r="F2734">
        <v>203.87702350000001</v>
      </c>
      <c r="G2734">
        <v>7.8559999999999999</v>
      </c>
      <c r="N2734" s="8"/>
    </row>
    <row r="2735" spans="1:14" x14ac:dyDescent="0.25">
      <c r="A2735" s="8">
        <v>40326</v>
      </c>
      <c r="B2735">
        <v>2065984.95</v>
      </c>
      <c r="C2735">
        <v>0</v>
      </c>
      <c r="D2735">
        <v>70.97</v>
      </c>
      <c r="E2735">
        <v>2.899</v>
      </c>
      <c r="F2735">
        <v>204.1406556</v>
      </c>
      <c r="G2735">
        <v>7.8559999999999999</v>
      </c>
      <c r="N2735" s="8"/>
    </row>
    <row r="2736" spans="1:14" x14ac:dyDescent="0.25">
      <c r="A2736" s="8">
        <v>40333</v>
      </c>
      <c r="B2736">
        <v>2203619.35</v>
      </c>
      <c r="C2736">
        <v>0</v>
      </c>
      <c r="D2736">
        <v>72.52</v>
      </c>
      <c r="E2736">
        <v>2.847</v>
      </c>
      <c r="F2736">
        <v>204.4042877</v>
      </c>
      <c r="G2736">
        <v>7.8559999999999999</v>
      </c>
      <c r="N2736" s="8"/>
    </row>
    <row r="2737" spans="1:14" x14ac:dyDescent="0.25">
      <c r="A2737" s="8">
        <v>40340</v>
      </c>
      <c r="B2737">
        <v>2100489.79</v>
      </c>
      <c r="C2737">
        <v>0</v>
      </c>
      <c r="D2737">
        <v>67.319999999999993</v>
      </c>
      <c r="E2737">
        <v>2.8090000000000002</v>
      </c>
      <c r="F2737">
        <v>204.66791979999999</v>
      </c>
      <c r="G2737">
        <v>7.8559999999999999</v>
      </c>
      <c r="N2737" s="8"/>
    </row>
    <row r="2738" spans="1:14" x14ac:dyDescent="0.25">
      <c r="A2738" s="8">
        <v>40347</v>
      </c>
      <c r="B2738">
        <v>2091903.63</v>
      </c>
      <c r="C2738">
        <v>0</v>
      </c>
      <c r="D2738">
        <v>72.62</v>
      </c>
      <c r="E2738">
        <v>2.78</v>
      </c>
      <c r="F2738">
        <v>204.67003600000001</v>
      </c>
      <c r="G2738">
        <v>7.8559999999999999</v>
      </c>
      <c r="N2738" s="8"/>
    </row>
    <row r="2739" spans="1:14" x14ac:dyDescent="0.25">
      <c r="A2739" s="8">
        <v>40354</v>
      </c>
      <c r="B2739">
        <v>1973135.87</v>
      </c>
      <c r="C2739">
        <v>0</v>
      </c>
      <c r="D2739">
        <v>75.17</v>
      </c>
      <c r="E2739">
        <v>2.8079999999999998</v>
      </c>
      <c r="F2739">
        <v>204.5675459</v>
      </c>
      <c r="G2739">
        <v>7.8559999999999999</v>
      </c>
      <c r="N2739" s="8"/>
    </row>
    <row r="2740" spans="1:14" x14ac:dyDescent="0.25">
      <c r="A2740" s="8">
        <v>40361</v>
      </c>
      <c r="B2740">
        <v>2143676.77</v>
      </c>
      <c r="C2740">
        <v>0</v>
      </c>
      <c r="D2740">
        <v>70.099999999999994</v>
      </c>
      <c r="E2740">
        <v>2.8149999999999999</v>
      </c>
      <c r="F2740">
        <v>204.46505590000001</v>
      </c>
      <c r="G2740">
        <v>7.5270000000000001</v>
      </c>
      <c r="N2740" s="8"/>
    </row>
    <row r="2741" spans="1:14" x14ac:dyDescent="0.25">
      <c r="A2741" s="8">
        <v>40368</v>
      </c>
      <c r="B2741">
        <v>2107285.85</v>
      </c>
      <c r="C2741">
        <v>0</v>
      </c>
      <c r="D2741">
        <v>78.09</v>
      </c>
      <c r="E2741">
        <v>2.7930000000000001</v>
      </c>
      <c r="F2741">
        <v>204.3625658</v>
      </c>
      <c r="G2741">
        <v>7.5270000000000001</v>
      </c>
      <c r="N2741" s="8"/>
    </row>
    <row r="2742" spans="1:14" x14ac:dyDescent="0.25">
      <c r="A2742" s="8">
        <v>40375</v>
      </c>
      <c r="B2742">
        <v>2031852.16</v>
      </c>
      <c r="C2742">
        <v>0</v>
      </c>
      <c r="D2742">
        <v>75.14</v>
      </c>
      <c r="E2742">
        <v>2.7829999999999999</v>
      </c>
      <c r="F2742">
        <v>204.3571656</v>
      </c>
      <c r="G2742">
        <v>7.5270000000000001</v>
      </c>
      <c r="N2742" s="8"/>
    </row>
    <row r="2743" spans="1:14" x14ac:dyDescent="0.25">
      <c r="A2743" s="8">
        <v>40382</v>
      </c>
      <c r="B2743">
        <v>1900535.9</v>
      </c>
      <c r="C2743">
        <v>0</v>
      </c>
      <c r="D2743">
        <v>77.75</v>
      </c>
      <c r="E2743">
        <v>2.7709999999999999</v>
      </c>
      <c r="F2743">
        <v>204.48121879999999</v>
      </c>
      <c r="G2743">
        <v>7.5270000000000001</v>
      </c>
      <c r="N2743" s="8"/>
    </row>
    <row r="2744" spans="1:14" x14ac:dyDescent="0.25">
      <c r="A2744" s="8">
        <v>40389</v>
      </c>
      <c r="B2744">
        <v>1955896.59</v>
      </c>
      <c r="C2744">
        <v>0</v>
      </c>
      <c r="D2744">
        <v>76.03</v>
      </c>
      <c r="E2744">
        <v>2.7810000000000001</v>
      </c>
      <c r="F2744">
        <v>204.60527200000001</v>
      </c>
      <c r="G2744">
        <v>7.5270000000000001</v>
      </c>
      <c r="N2744" s="8"/>
    </row>
    <row r="2745" spans="1:14" x14ac:dyDescent="0.25">
      <c r="A2745" s="8">
        <v>40396</v>
      </c>
      <c r="B2745">
        <v>1910177.38</v>
      </c>
      <c r="C2745">
        <v>0</v>
      </c>
      <c r="D2745">
        <v>74.569999999999993</v>
      </c>
      <c r="E2745">
        <v>2.7839999999999998</v>
      </c>
      <c r="F2745">
        <v>204.72932520000001</v>
      </c>
      <c r="G2745">
        <v>7.5270000000000001</v>
      </c>
      <c r="N2745" s="8"/>
    </row>
    <row r="2746" spans="1:14" x14ac:dyDescent="0.25">
      <c r="A2746" s="8">
        <v>40403</v>
      </c>
      <c r="B2746">
        <v>2071022.45</v>
      </c>
      <c r="C2746">
        <v>0</v>
      </c>
      <c r="D2746">
        <v>75.98</v>
      </c>
      <c r="E2746">
        <v>2.8050000000000002</v>
      </c>
      <c r="F2746">
        <v>204.8533784</v>
      </c>
      <c r="G2746">
        <v>7.5270000000000001</v>
      </c>
      <c r="N2746" s="8"/>
    </row>
    <row r="2747" spans="1:14" x14ac:dyDescent="0.25">
      <c r="A2747" s="8">
        <v>40410</v>
      </c>
      <c r="B2747">
        <v>1975374.56</v>
      </c>
      <c r="C2747">
        <v>0</v>
      </c>
      <c r="D2747">
        <v>75.34</v>
      </c>
      <c r="E2747">
        <v>2.7789999999999999</v>
      </c>
      <c r="F2747">
        <v>204.82170439999999</v>
      </c>
      <c r="G2747">
        <v>7.5270000000000001</v>
      </c>
      <c r="N2747" s="8"/>
    </row>
    <row r="2748" spans="1:14" x14ac:dyDescent="0.25">
      <c r="A2748" s="8">
        <v>40417</v>
      </c>
      <c r="B2748">
        <v>1946369.57</v>
      </c>
      <c r="C2748">
        <v>0</v>
      </c>
      <c r="D2748">
        <v>70.510000000000005</v>
      </c>
      <c r="E2748">
        <v>2.7549999999999999</v>
      </c>
      <c r="F2748">
        <v>204.7900305</v>
      </c>
      <c r="G2748">
        <v>7.5270000000000001</v>
      </c>
      <c r="N2748" s="8"/>
    </row>
    <row r="2749" spans="1:14" x14ac:dyDescent="0.25">
      <c r="A2749" s="8">
        <v>40424</v>
      </c>
      <c r="B2749">
        <v>2121561.41</v>
      </c>
      <c r="C2749">
        <v>0</v>
      </c>
      <c r="D2749">
        <v>75.5</v>
      </c>
      <c r="E2749">
        <v>2.7149999999999999</v>
      </c>
      <c r="F2749">
        <v>204.75835660000001</v>
      </c>
      <c r="G2749">
        <v>7.5270000000000001</v>
      </c>
      <c r="N2749" s="8"/>
    </row>
    <row r="2750" spans="1:14" x14ac:dyDescent="0.25">
      <c r="A2750" s="8">
        <v>40431</v>
      </c>
      <c r="B2750">
        <v>2014954.79</v>
      </c>
      <c r="C2750">
        <v>1</v>
      </c>
      <c r="D2750">
        <v>65.02</v>
      </c>
      <c r="E2750">
        <v>2.6989999999999998</v>
      </c>
      <c r="F2750">
        <v>204.7266827</v>
      </c>
      <c r="G2750">
        <v>7.5270000000000001</v>
      </c>
      <c r="N2750" s="8"/>
    </row>
    <row r="2751" spans="1:14" x14ac:dyDescent="0.25">
      <c r="A2751" s="8">
        <v>40438</v>
      </c>
      <c r="B2751">
        <v>1948359.78</v>
      </c>
      <c r="C2751">
        <v>0</v>
      </c>
      <c r="D2751">
        <v>65.28</v>
      </c>
      <c r="E2751">
        <v>2.706</v>
      </c>
      <c r="F2751">
        <v>204.75132790000001</v>
      </c>
      <c r="G2751">
        <v>7.5270000000000001</v>
      </c>
      <c r="N2751" s="8"/>
    </row>
    <row r="2752" spans="1:14" x14ac:dyDescent="0.25">
      <c r="A2752" s="8">
        <v>40445</v>
      </c>
      <c r="B2752">
        <v>1789687.65</v>
      </c>
      <c r="C2752">
        <v>0</v>
      </c>
      <c r="D2752">
        <v>69.37</v>
      </c>
      <c r="E2752">
        <v>2.7130000000000001</v>
      </c>
      <c r="F2752">
        <v>204.81821260000001</v>
      </c>
      <c r="G2752">
        <v>7.5270000000000001</v>
      </c>
      <c r="N2752" s="8"/>
    </row>
    <row r="2753" spans="1:14" x14ac:dyDescent="0.25">
      <c r="A2753" s="8">
        <v>40452</v>
      </c>
      <c r="B2753">
        <v>1933719.21</v>
      </c>
      <c r="C2753">
        <v>0</v>
      </c>
      <c r="D2753">
        <v>61.08</v>
      </c>
      <c r="E2753">
        <v>2.7069999999999999</v>
      </c>
      <c r="F2753">
        <v>204.88509730000001</v>
      </c>
      <c r="G2753">
        <v>7.484</v>
      </c>
      <c r="N2753" s="8"/>
    </row>
    <row r="2754" spans="1:14" x14ac:dyDescent="0.25">
      <c r="A2754" s="8">
        <v>40459</v>
      </c>
      <c r="B2754">
        <v>2060389.27</v>
      </c>
      <c r="C2754">
        <v>0</v>
      </c>
      <c r="D2754">
        <v>51.5</v>
      </c>
      <c r="E2754">
        <v>2.7639999999999998</v>
      </c>
      <c r="F2754">
        <v>204.95198199999999</v>
      </c>
      <c r="G2754">
        <v>7.484</v>
      </c>
      <c r="N2754" s="8"/>
    </row>
    <row r="2755" spans="1:14" x14ac:dyDescent="0.25">
      <c r="A2755" s="8">
        <v>40466</v>
      </c>
      <c r="B2755">
        <v>1950676.39</v>
      </c>
      <c r="C2755">
        <v>0</v>
      </c>
      <c r="D2755">
        <v>59.17</v>
      </c>
      <c r="E2755">
        <v>2.8679999999999999</v>
      </c>
      <c r="F2755">
        <v>205.0137637</v>
      </c>
      <c r="G2755">
        <v>7.484</v>
      </c>
      <c r="N2755" s="8"/>
    </row>
    <row r="2756" spans="1:14" x14ac:dyDescent="0.25">
      <c r="A2756" s="8">
        <v>40473</v>
      </c>
      <c r="B2756">
        <v>1893955.27</v>
      </c>
      <c r="C2756">
        <v>0</v>
      </c>
      <c r="D2756">
        <v>50.52</v>
      </c>
      <c r="E2756">
        <v>2.9169999999999998</v>
      </c>
      <c r="F2756">
        <v>205.06278810000001</v>
      </c>
      <c r="G2756">
        <v>7.484</v>
      </c>
      <c r="N2756" s="8"/>
    </row>
    <row r="2757" spans="1:14" x14ac:dyDescent="0.25">
      <c r="A2757" s="8">
        <v>40480</v>
      </c>
      <c r="B2757">
        <v>1891816</v>
      </c>
      <c r="C2757">
        <v>0</v>
      </c>
      <c r="D2757">
        <v>57.56</v>
      </c>
      <c r="E2757">
        <v>2.9209999999999998</v>
      </c>
      <c r="F2757">
        <v>205.11181260000001</v>
      </c>
      <c r="G2757">
        <v>7.484</v>
      </c>
      <c r="N2757" s="8"/>
    </row>
    <row r="2758" spans="1:14" x14ac:dyDescent="0.25">
      <c r="A2758" s="8">
        <v>40487</v>
      </c>
      <c r="B2758">
        <v>2184316.64</v>
      </c>
      <c r="C2758">
        <v>0</v>
      </c>
      <c r="D2758">
        <v>42.78</v>
      </c>
      <c r="E2758">
        <v>2.9169999999999998</v>
      </c>
      <c r="F2758">
        <v>205.16083699999999</v>
      </c>
      <c r="G2758">
        <v>7.484</v>
      </c>
      <c r="N2758" s="8"/>
    </row>
    <row r="2759" spans="1:14" x14ac:dyDescent="0.25">
      <c r="A2759" s="8">
        <v>40494</v>
      </c>
      <c r="B2759">
        <v>2187765.2799999998</v>
      </c>
      <c r="C2759">
        <v>0</v>
      </c>
      <c r="D2759">
        <v>42.38</v>
      </c>
      <c r="E2759">
        <v>2.931</v>
      </c>
      <c r="F2759">
        <v>205.20986139999999</v>
      </c>
      <c r="G2759">
        <v>7.484</v>
      </c>
      <c r="N2759" s="8"/>
    </row>
    <row r="2760" spans="1:14" x14ac:dyDescent="0.25">
      <c r="A2760" s="8">
        <v>40501</v>
      </c>
      <c r="B2760">
        <v>2105058.91</v>
      </c>
      <c r="C2760">
        <v>0</v>
      </c>
      <c r="D2760">
        <v>45.88</v>
      </c>
      <c r="E2760">
        <v>3</v>
      </c>
      <c r="F2760">
        <v>205.09928110000001</v>
      </c>
      <c r="G2760">
        <v>7.484</v>
      </c>
      <c r="N2760" s="8"/>
    </row>
    <row r="2761" spans="1:14" x14ac:dyDescent="0.25">
      <c r="A2761" s="8">
        <v>40508</v>
      </c>
      <c r="B2761">
        <v>2811634.04</v>
      </c>
      <c r="C2761">
        <v>1</v>
      </c>
      <c r="D2761">
        <v>46.66</v>
      </c>
      <c r="E2761">
        <v>3.0390000000000001</v>
      </c>
      <c r="F2761">
        <v>204.96209999999999</v>
      </c>
      <c r="G2761">
        <v>7.484</v>
      </c>
      <c r="N2761" s="8"/>
    </row>
    <row r="2762" spans="1:14" x14ac:dyDescent="0.25">
      <c r="A2762" s="8">
        <v>40515</v>
      </c>
      <c r="B2762">
        <v>2416051.17</v>
      </c>
      <c r="C2762">
        <v>0</v>
      </c>
      <c r="D2762">
        <v>35.47</v>
      </c>
      <c r="E2762">
        <v>3.0459999999999998</v>
      </c>
      <c r="F2762">
        <v>204.8249189</v>
      </c>
      <c r="G2762">
        <v>7.484</v>
      </c>
      <c r="N2762" s="8"/>
    </row>
    <row r="2763" spans="1:14" x14ac:dyDescent="0.25">
      <c r="A2763" s="8">
        <v>40522</v>
      </c>
      <c r="B2763">
        <v>2752122.08</v>
      </c>
      <c r="C2763">
        <v>0</v>
      </c>
      <c r="D2763">
        <v>24.27</v>
      </c>
      <c r="E2763">
        <v>3.109</v>
      </c>
      <c r="F2763">
        <v>204.68773780000001</v>
      </c>
      <c r="G2763">
        <v>7.484</v>
      </c>
      <c r="N2763" s="8"/>
    </row>
    <row r="2764" spans="1:14" x14ac:dyDescent="0.25">
      <c r="A2764" s="8">
        <v>40529</v>
      </c>
      <c r="B2764">
        <v>2819193.17</v>
      </c>
      <c r="C2764">
        <v>0</v>
      </c>
      <c r="D2764">
        <v>24.07</v>
      </c>
      <c r="E2764">
        <v>3.14</v>
      </c>
      <c r="F2764">
        <v>204.63211939999999</v>
      </c>
      <c r="G2764">
        <v>7.484</v>
      </c>
      <c r="N2764" s="8"/>
    </row>
    <row r="2765" spans="1:14" x14ac:dyDescent="0.25">
      <c r="A2765" s="8">
        <v>40536</v>
      </c>
      <c r="B2765">
        <v>3766687.43</v>
      </c>
      <c r="C2765">
        <v>0</v>
      </c>
      <c r="D2765">
        <v>25.17</v>
      </c>
      <c r="E2765">
        <v>3.141</v>
      </c>
      <c r="F2765">
        <v>204.6376731</v>
      </c>
      <c r="G2765">
        <v>7.484</v>
      </c>
      <c r="N2765" s="8"/>
    </row>
    <row r="2766" spans="1:14" x14ac:dyDescent="0.25">
      <c r="A2766" s="8">
        <v>40543</v>
      </c>
      <c r="B2766">
        <v>1799737.79</v>
      </c>
      <c r="C2766">
        <v>1</v>
      </c>
      <c r="D2766">
        <v>28.85</v>
      </c>
      <c r="E2766">
        <v>3.1789999999999998</v>
      </c>
      <c r="F2766">
        <v>204.64322670000001</v>
      </c>
      <c r="G2766">
        <v>7.484</v>
      </c>
      <c r="N2766" s="8"/>
    </row>
    <row r="2767" spans="1:14" x14ac:dyDescent="0.25">
      <c r="A2767" s="8">
        <v>40550</v>
      </c>
      <c r="B2767">
        <v>1843030.95</v>
      </c>
      <c r="C2767">
        <v>0</v>
      </c>
      <c r="D2767">
        <v>31.43</v>
      </c>
      <c r="E2767">
        <v>3.1930000000000001</v>
      </c>
      <c r="F2767">
        <v>204.6487803</v>
      </c>
      <c r="G2767">
        <v>7.343</v>
      </c>
      <c r="N2767" s="8"/>
    </row>
    <row r="2768" spans="1:14" x14ac:dyDescent="0.25">
      <c r="A2768" s="8">
        <v>40557</v>
      </c>
      <c r="B2768">
        <v>1884345.01</v>
      </c>
      <c r="C2768">
        <v>0</v>
      </c>
      <c r="D2768">
        <v>20.39</v>
      </c>
      <c r="E2768">
        <v>3.2050000000000001</v>
      </c>
      <c r="F2768">
        <v>204.7026042</v>
      </c>
      <c r="G2768">
        <v>7.343</v>
      </c>
      <c r="N2768" s="8"/>
    </row>
    <row r="2769" spans="1:14" x14ac:dyDescent="0.25">
      <c r="A2769" s="8">
        <v>40564</v>
      </c>
      <c r="B2769">
        <v>1781805.66</v>
      </c>
      <c r="C2769">
        <v>0</v>
      </c>
      <c r="D2769">
        <v>27.43</v>
      </c>
      <c r="E2769">
        <v>3.2290000000000001</v>
      </c>
      <c r="F2769">
        <v>205.0460497</v>
      </c>
      <c r="G2769">
        <v>7.343</v>
      </c>
      <c r="N2769" s="8"/>
    </row>
    <row r="2770" spans="1:14" x14ac:dyDescent="0.25">
      <c r="A2770" s="8">
        <v>40571</v>
      </c>
      <c r="B2770">
        <v>1761506.68</v>
      </c>
      <c r="C2770">
        <v>0</v>
      </c>
      <c r="D2770">
        <v>23.21</v>
      </c>
      <c r="E2770">
        <v>3.2370000000000001</v>
      </c>
      <c r="F2770">
        <v>205.3894952</v>
      </c>
      <c r="G2770">
        <v>7.343</v>
      </c>
      <c r="N2770" s="8"/>
    </row>
    <row r="2771" spans="1:14" x14ac:dyDescent="0.25">
      <c r="A2771" s="8">
        <v>40578</v>
      </c>
      <c r="B2771">
        <v>2351143.0699999998</v>
      </c>
      <c r="C2771">
        <v>0</v>
      </c>
      <c r="D2771">
        <v>28.58</v>
      </c>
      <c r="E2771">
        <v>3.2309999999999999</v>
      </c>
      <c r="F2771">
        <v>205.7329407</v>
      </c>
      <c r="G2771">
        <v>7.343</v>
      </c>
      <c r="N2771" s="8"/>
    </row>
    <row r="2772" spans="1:14" x14ac:dyDescent="0.25">
      <c r="A2772" s="8">
        <v>40585</v>
      </c>
      <c r="B2772">
        <v>2211388.14</v>
      </c>
      <c r="C2772">
        <v>1</v>
      </c>
      <c r="D2772">
        <v>25.38</v>
      </c>
      <c r="E2772">
        <v>3.2389999999999999</v>
      </c>
      <c r="F2772">
        <v>206.0763862</v>
      </c>
      <c r="G2772">
        <v>7.343</v>
      </c>
      <c r="N2772" s="8"/>
    </row>
    <row r="2773" spans="1:14" x14ac:dyDescent="0.25">
      <c r="A2773" s="8">
        <v>40592</v>
      </c>
      <c r="B2773">
        <v>2258616.2400000002</v>
      </c>
      <c r="C2773">
        <v>0</v>
      </c>
      <c r="D2773">
        <v>42.95</v>
      </c>
      <c r="E2773">
        <v>3.2450000000000001</v>
      </c>
      <c r="F2773">
        <v>206.3694701</v>
      </c>
      <c r="G2773">
        <v>7.343</v>
      </c>
      <c r="N2773" s="8"/>
    </row>
    <row r="2774" spans="1:14" x14ac:dyDescent="0.25">
      <c r="A2774" s="8">
        <v>40599</v>
      </c>
      <c r="B2774">
        <v>1938608.52</v>
      </c>
      <c r="C2774">
        <v>0</v>
      </c>
      <c r="D2774">
        <v>33.200000000000003</v>
      </c>
      <c r="E2774">
        <v>3.274</v>
      </c>
      <c r="F2774">
        <v>206.6424093</v>
      </c>
      <c r="G2774">
        <v>7.343</v>
      </c>
      <c r="N2774" s="8"/>
    </row>
    <row r="2775" spans="1:14" x14ac:dyDescent="0.25">
      <c r="A2775" s="8">
        <v>40606</v>
      </c>
      <c r="B2775">
        <v>2143424.61</v>
      </c>
      <c r="C2775">
        <v>0</v>
      </c>
      <c r="D2775">
        <v>37.33</v>
      </c>
      <c r="E2775">
        <v>3.4329999999999998</v>
      </c>
      <c r="F2775">
        <v>206.91534849999999</v>
      </c>
      <c r="G2775">
        <v>7.343</v>
      </c>
      <c r="N2775" s="8"/>
    </row>
    <row r="2776" spans="1:14" x14ac:dyDescent="0.25">
      <c r="A2776" s="8">
        <v>40613</v>
      </c>
      <c r="B2776">
        <v>1990932.77</v>
      </c>
      <c r="C2776">
        <v>0</v>
      </c>
      <c r="D2776">
        <v>39.53</v>
      </c>
      <c r="E2776">
        <v>3.5819999999999999</v>
      </c>
      <c r="F2776">
        <v>207.1882876</v>
      </c>
      <c r="G2776">
        <v>7.343</v>
      </c>
      <c r="N2776" s="8"/>
    </row>
    <row r="2777" spans="1:14" x14ac:dyDescent="0.25">
      <c r="A2777" s="8">
        <v>40620</v>
      </c>
      <c r="B2777">
        <v>1931668.64</v>
      </c>
      <c r="C2777">
        <v>0</v>
      </c>
      <c r="D2777">
        <v>44.8</v>
      </c>
      <c r="E2777">
        <v>3.6309999999999998</v>
      </c>
      <c r="F2777">
        <v>207.42838449999999</v>
      </c>
      <c r="G2777">
        <v>7.343</v>
      </c>
      <c r="N2777" s="8"/>
    </row>
    <row r="2778" spans="1:14" x14ac:dyDescent="0.25">
      <c r="A2778" s="8">
        <v>40627</v>
      </c>
      <c r="B2778">
        <v>1824711.21</v>
      </c>
      <c r="C2778">
        <v>0</v>
      </c>
      <c r="D2778">
        <v>44.83</v>
      </c>
      <c r="E2778">
        <v>3.625</v>
      </c>
      <c r="F2778">
        <v>207.65534439999999</v>
      </c>
      <c r="G2778">
        <v>7.343</v>
      </c>
      <c r="N2778" s="8"/>
    </row>
    <row r="2779" spans="1:14" x14ac:dyDescent="0.25">
      <c r="A2779" s="8">
        <v>40634</v>
      </c>
      <c r="B2779">
        <v>1927993.09</v>
      </c>
      <c r="C2779">
        <v>0</v>
      </c>
      <c r="D2779">
        <v>32.43</v>
      </c>
      <c r="E2779">
        <v>3.6379999999999999</v>
      </c>
      <c r="F2779">
        <v>207.88230429999999</v>
      </c>
      <c r="G2779">
        <v>7.2869999999999999</v>
      </c>
      <c r="N2779" s="8"/>
    </row>
    <row r="2780" spans="1:14" x14ac:dyDescent="0.25">
      <c r="A2780" s="8">
        <v>40641</v>
      </c>
      <c r="B2780">
        <v>2027056.39</v>
      </c>
      <c r="C2780">
        <v>0</v>
      </c>
      <c r="D2780">
        <v>47.09</v>
      </c>
      <c r="E2780">
        <v>3.72</v>
      </c>
      <c r="F2780">
        <v>208.10926420000001</v>
      </c>
      <c r="G2780">
        <v>7.2869999999999999</v>
      </c>
      <c r="N2780" s="8"/>
    </row>
    <row r="2781" spans="1:14" x14ac:dyDescent="0.25">
      <c r="A2781" s="8">
        <v>40648</v>
      </c>
      <c r="B2781">
        <v>2057406.33</v>
      </c>
      <c r="C2781">
        <v>0</v>
      </c>
      <c r="D2781">
        <v>55</v>
      </c>
      <c r="E2781">
        <v>3.8210000000000002</v>
      </c>
      <c r="F2781">
        <v>208.3172811</v>
      </c>
      <c r="G2781">
        <v>7.2869999999999999</v>
      </c>
      <c r="N2781" s="8"/>
    </row>
    <row r="2782" spans="1:14" x14ac:dyDescent="0.25">
      <c r="A2782" s="8">
        <v>40655</v>
      </c>
      <c r="B2782">
        <v>2313861.81</v>
      </c>
      <c r="C2782">
        <v>0</v>
      </c>
      <c r="D2782">
        <v>52.56</v>
      </c>
      <c r="E2782">
        <v>3.8919999999999999</v>
      </c>
      <c r="F2782">
        <v>208.47794049999999</v>
      </c>
      <c r="G2782">
        <v>7.2869999999999999</v>
      </c>
      <c r="N2782" s="8"/>
    </row>
    <row r="2783" spans="1:14" x14ac:dyDescent="0.25">
      <c r="A2783" s="8">
        <v>40662</v>
      </c>
      <c r="B2783">
        <v>1881788.19</v>
      </c>
      <c r="C2783">
        <v>0</v>
      </c>
      <c r="D2783">
        <v>62.97</v>
      </c>
      <c r="E2783">
        <v>3.9620000000000002</v>
      </c>
      <c r="F2783">
        <v>208.6386</v>
      </c>
      <c r="G2783">
        <v>7.2869999999999999</v>
      </c>
      <c r="N2783" s="8"/>
    </row>
    <row r="2784" spans="1:14" x14ac:dyDescent="0.25">
      <c r="A2784" s="8">
        <v>40669</v>
      </c>
      <c r="B2784">
        <v>2090838.44</v>
      </c>
      <c r="C2784">
        <v>0</v>
      </c>
      <c r="D2784">
        <v>53.41</v>
      </c>
      <c r="E2784">
        <v>4.0460000000000003</v>
      </c>
      <c r="F2784">
        <v>208.79925950000001</v>
      </c>
      <c r="G2784">
        <v>7.2869999999999999</v>
      </c>
      <c r="N2784" s="8"/>
    </row>
    <row r="2785" spans="1:14" x14ac:dyDescent="0.25">
      <c r="A2785" s="8">
        <v>40676</v>
      </c>
      <c r="B2785">
        <v>2036748.53</v>
      </c>
      <c r="C2785">
        <v>0</v>
      </c>
      <c r="D2785">
        <v>62.26</v>
      </c>
      <c r="E2785">
        <v>4.0659999999999998</v>
      </c>
      <c r="F2785">
        <v>208.95991889999999</v>
      </c>
      <c r="G2785">
        <v>7.2869999999999999</v>
      </c>
      <c r="N2785" s="8"/>
    </row>
    <row r="2786" spans="1:14" x14ac:dyDescent="0.25">
      <c r="A2786" s="8">
        <v>40683</v>
      </c>
      <c r="B2786">
        <v>1953416.06</v>
      </c>
      <c r="C2786">
        <v>0</v>
      </c>
      <c r="D2786">
        <v>59.01</v>
      </c>
      <c r="E2786">
        <v>4.0620000000000003</v>
      </c>
      <c r="F2786">
        <v>208.75831650000001</v>
      </c>
      <c r="G2786">
        <v>7.2869999999999999</v>
      </c>
      <c r="N2786" s="8"/>
    </row>
    <row r="2787" spans="1:14" x14ac:dyDescent="0.25">
      <c r="A2787" s="8">
        <v>40690</v>
      </c>
      <c r="B2787">
        <v>1944433.17</v>
      </c>
      <c r="C2787">
        <v>0</v>
      </c>
      <c r="D2787">
        <v>69.12</v>
      </c>
      <c r="E2787">
        <v>3.9849999999999999</v>
      </c>
      <c r="F2787">
        <v>208.556714</v>
      </c>
      <c r="G2787">
        <v>7.2869999999999999</v>
      </c>
      <c r="N2787" s="8"/>
    </row>
    <row r="2788" spans="1:14" x14ac:dyDescent="0.25">
      <c r="A2788" s="8">
        <v>40697</v>
      </c>
      <c r="B2788">
        <v>2182246.69</v>
      </c>
      <c r="C2788">
        <v>0</v>
      </c>
      <c r="D2788">
        <v>73.510000000000005</v>
      </c>
      <c r="E2788">
        <v>3.9220000000000002</v>
      </c>
      <c r="F2788">
        <v>208.35511159999999</v>
      </c>
      <c r="G2788">
        <v>7.2869999999999999</v>
      </c>
      <c r="N2788" s="8"/>
    </row>
    <row r="2789" spans="1:14" x14ac:dyDescent="0.25">
      <c r="A2789" s="8">
        <v>40704</v>
      </c>
      <c r="B2789">
        <v>2135062.04</v>
      </c>
      <c r="C2789">
        <v>0</v>
      </c>
      <c r="D2789">
        <v>73.64</v>
      </c>
      <c r="E2789">
        <v>3.8809999999999998</v>
      </c>
      <c r="F2789">
        <v>208.1535092</v>
      </c>
      <c r="G2789">
        <v>7.2869999999999999</v>
      </c>
      <c r="N2789" s="8"/>
    </row>
    <row r="2790" spans="1:14" x14ac:dyDescent="0.25">
      <c r="A2790" s="8">
        <v>40711</v>
      </c>
      <c r="B2790">
        <v>2065191.27</v>
      </c>
      <c r="C2790">
        <v>0</v>
      </c>
      <c r="D2790">
        <v>66.41</v>
      </c>
      <c r="E2790">
        <v>3.8420000000000001</v>
      </c>
      <c r="F2790">
        <v>208.12656039999999</v>
      </c>
      <c r="G2790">
        <v>7.2869999999999999</v>
      </c>
      <c r="N2790" s="8"/>
    </row>
    <row r="2791" spans="1:14" x14ac:dyDescent="0.25">
      <c r="A2791" s="8">
        <v>40718</v>
      </c>
      <c r="B2791">
        <v>1950826.32</v>
      </c>
      <c r="C2791">
        <v>0</v>
      </c>
      <c r="D2791">
        <v>72.400000000000006</v>
      </c>
      <c r="E2791">
        <v>3.8039999999999998</v>
      </c>
      <c r="F2791">
        <v>208.23060179999999</v>
      </c>
      <c r="G2791">
        <v>7.2869999999999999</v>
      </c>
      <c r="N2791" s="8"/>
    </row>
    <row r="2792" spans="1:14" x14ac:dyDescent="0.25">
      <c r="A2792" s="8">
        <v>40725</v>
      </c>
      <c r="B2792">
        <v>2053165.41</v>
      </c>
      <c r="C2792">
        <v>0</v>
      </c>
      <c r="D2792">
        <v>69.66</v>
      </c>
      <c r="E2792">
        <v>3.7480000000000002</v>
      </c>
      <c r="F2792">
        <v>208.33464319999999</v>
      </c>
      <c r="G2792">
        <v>7.274</v>
      </c>
      <c r="N2792" s="8"/>
    </row>
    <row r="2793" spans="1:14" x14ac:dyDescent="0.25">
      <c r="A2793" s="8">
        <v>40732</v>
      </c>
      <c r="B2793">
        <v>2123787.79</v>
      </c>
      <c r="C2793">
        <v>0</v>
      </c>
      <c r="D2793">
        <v>74.69</v>
      </c>
      <c r="E2793">
        <v>3.7109999999999999</v>
      </c>
      <c r="F2793">
        <v>208.43868470000001</v>
      </c>
      <c r="G2793">
        <v>7.274</v>
      </c>
      <c r="N2793" s="8"/>
    </row>
    <row r="2794" spans="1:14" x14ac:dyDescent="0.25">
      <c r="A2794" s="8">
        <v>40739</v>
      </c>
      <c r="B2794">
        <v>2039875.75</v>
      </c>
      <c r="C2794">
        <v>0</v>
      </c>
      <c r="D2794">
        <v>74.88</v>
      </c>
      <c r="E2794">
        <v>3.76</v>
      </c>
      <c r="F2794">
        <v>208.53093369999999</v>
      </c>
      <c r="G2794">
        <v>7.274</v>
      </c>
      <c r="N2794" s="8"/>
    </row>
    <row r="2795" spans="1:14" x14ac:dyDescent="0.25">
      <c r="A2795" s="8">
        <v>40746</v>
      </c>
      <c r="B2795">
        <v>1950904.84</v>
      </c>
      <c r="C2795">
        <v>0</v>
      </c>
      <c r="D2795">
        <v>78.89</v>
      </c>
      <c r="E2795">
        <v>3.8109999999999999</v>
      </c>
      <c r="F2795">
        <v>208.59370179999999</v>
      </c>
      <c r="G2795">
        <v>7.274</v>
      </c>
      <c r="N2795" s="8"/>
    </row>
    <row r="2796" spans="1:14" x14ac:dyDescent="0.25">
      <c r="A2796" s="8">
        <v>40753</v>
      </c>
      <c r="B2796">
        <v>1858440.92</v>
      </c>
      <c r="C2796">
        <v>0</v>
      </c>
      <c r="D2796">
        <v>77.47</v>
      </c>
      <c r="E2796">
        <v>3.8290000000000002</v>
      </c>
      <c r="F2796">
        <v>208.65646989999999</v>
      </c>
      <c r="G2796">
        <v>7.274</v>
      </c>
      <c r="N2796" s="8"/>
    </row>
    <row r="2797" spans="1:14" x14ac:dyDescent="0.25">
      <c r="A2797" s="8">
        <v>40760</v>
      </c>
      <c r="B2797">
        <v>2189353.63</v>
      </c>
      <c r="C2797">
        <v>0</v>
      </c>
      <c r="D2797">
        <v>77.8</v>
      </c>
      <c r="E2797">
        <v>3.8420000000000001</v>
      </c>
      <c r="F2797">
        <v>208.71923799999999</v>
      </c>
      <c r="G2797">
        <v>7.274</v>
      </c>
      <c r="N2797" s="8"/>
    </row>
    <row r="2798" spans="1:14" x14ac:dyDescent="0.25">
      <c r="A2798" s="8">
        <v>40767</v>
      </c>
      <c r="B2798">
        <v>2052246.4</v>
      </c>
      <c r="C2798">
        <v>0</v>
      </c>
      <c r="D2798">
        <v>73.52</v>
      </c>
      <c r="E2798">
        <v>3.8119999999999998</v>
      </c>
      <c r="F2798">
        <v>208.78200609999999</v>
      </c>
      <c r="G2798">
        <v>7.274</v>
      </c>
      <c r="N2798" s="8"/>
    </row>
    <row r="2799" spans="1:14" x14ac:dyDescent="0.25">
      <c r="A2799" s="8">
        <v>40774</v>
      </c>
      <c r="B2799">
        <v>1990017.93</v>
      </c>
      <c r="C2799">
        <v>0</v>
      </c>
      <c r="D2799">
        <v>71.25</v>
      </c>
      <c r="E2799">
        <v>3.7469999999999999</v>
      </c>
      <c r="F2799">
        <v>208.8424359</v>
      </c>
      <c r="G2799">
        <v>7.274</v>
      </c>
      <c r="N2799" s="8"/>
    </row>
    <row r="2800" spans="1:14" x14ac:dyDescent="0.25">
      <c r="A2800" s="8">
        <v>40781</v>
      </c>
      <c r="B2800">
        <v>1933577.2</v>
      </c>
      <c r="C2800">
        <v>0</v>
      </c>
      <c r="D2800">
        <v>70.150000000000006</v>
      </c>
      <c r="E2800">
        <v>3.7040000000000002</v>
      </c>
      <c r="F2800">
        <v>208.90247600000001</v>
      </c>
      <c r="G2800">
        <v>7.274</v>
      </c>
      <c r="N2800" s="8"/>
    </row>
    <row r="2801" spans="1:14" x14ac:dyDescent="0.25">
      <c r="A2801" s="8">
        <v>40788</v>
      </c>
      <c r="B2801">
        <v>2141765.98</v>
      </c>
      <c r="C2801">
        <v>0</v>
      </c>
      <c r="D2801">
        <v>70.819999999999993</v>
      </c>
      <c r="E2801">
        <v>3.7029999999999998</v>
      </c>
      <c r="F2801">
        <v>208.96251609999999</v>
      </c>
      <c r="G2801">
        <v>7.274</v>
      </c>
      <c r="N2801" s="8"/>
    </row>
    <row r="2802" spans="1:14" x14ac:dyDescent="0.25">
      <c r="A2802" s="8">
        <v>40795</v>
      </c>
      <c r="B2802">
        <v>2050542.56</v>
      </c>
      <c r="C2802">
        <v>1</v>
      </c>
      <c r="D2802">
        <v>68.739999999999995</v>
      </c>
      <c r="E2802">
        <v>3.738</v>
      </c>
      <c r="F2802">
        <v>209.0225562</v>
      </c>
      <c r="G2802">
        <v>7.274</v>
      </c>
      <c r="N2802" s="8"/>
    </row>
    <row r="2803" spans="1:14" x14ac:dyDescent="0.25">
      <c r="A2803" s="8">
        <v>40802</v>
      </c>
      <c r="B2803">
        <v>1979009.46</v>
      </c>
      <c r="C2803">
        <v>0</v>
      </c>
      <c r="D2803">
        <v>64.02</v>
      </c>
      <c r="E2803">
        <v>3.742</v>
      </c>
      <c r="F2803">
        <v>209.18938919999999</v>
      </c>
      <c r="G2803">
        <v>7.274</v>
      </c>
      <c r="N2803" s="8"/>
    </row>
    <row r="2804" spans="1:14" x14ac:dyDescent="0.25">
      <c r="A2804" s="8">
        <v>40809</v>
      </c>
      <c r="B2804">
        <v>1888119.7</v>
      </c>
      <c r="C2804">
        <v>0</v>
      </c>
      <c r="D2804">
        <v>62.15</v>
      </c>
      <c r="E2804">
        <v>3.7109999999999999</v>
      </c>
      <c r="F2804">
        <v>209.4986126</v>
      </c>
      <c r="G2804">
        <v>7.274</v>
      </c>
      <c r="N2804" s="8"/>
    </row>
    <row r="2805" spans="1:14" x14ac:dyDescent="0.25">
      <c r="A2805" s="8">
        <v>40816</v>
      </c>
      <c r="B2805">
        <v>1945808.26</v>
      </c>
      <c r="C2805">
        <v>0</v>
      </c>
      <c r="D2805">
        <v>63.44</v>
      </c>
      <c r="E2805">
        <v>3.645</v>
      </c>
      <c r="F2805">
        <v>209.80783600000001</v>
      </c>
      <c r="G2805">
        <v>7.274</v>
      </c>
      <c r="N2805" s="8"/>
    </row>
    <row r="2806" spans="1:14" x14ac:dyDescent="0.25">
      <c r="A2806" s="8">
        <v>40823</v>
      </c>
      <c r="B2806">
        <v>2135982.79</v>
      </c>
      <c r="C2806">
        <v>0</v>
      </c>
      <c r="D2806">
        <v>52.42</v>
      </c>
      <c r="E2806">
        <v>3.5830000000000002</v>
      </c>
      <c r="F2806">
        <v>210.11705950000001</v>
      </c>
      <c r="G2806">
        <v>7.0819999999999999</v>
      </c>
      <c r="N2806" s="8"/>
    </row>
    <row r="2807" spans="1:14" x14ac:dyDescent="0.25">
      <c r="A2807" s="8">
        <v>40830</v>
      </c>
      <c r="B2807">
        <v>2010107.68</v>
      </c>
      <c r="C2807">
        <v>0</v>
      </c>
      <c r="D2807">
        <v>62.54</v>
      </c>
      <c r="E2807">
        <v>3.5409999999999999</v>
      </c>
      <c r="F2807">
        <v>210.40276019999999</v>
      </c>
      <c r="G2807">
        <v>7.0819999999999999</v>
      </c>
      <c r="N2807" s="8"/>
    </row>
    <row r="2808" spans="1:14" x14ac:dyDescent="0.25">
      <c r="A2808" s="8">
        <v>40837</v>
      </c>
      <c r="B2808">
        <v>2104241.9</v>
      </c>
      <c r="C2808">
        <v>0</v>
      </c>
      <c r="D2808">
        <v>53.69</v>
      </c>
      <c r="E2808">
        <v>3.57</v>
      </c>
      <c r="F2808">
        <v>210.54732519999999</v>
      </c>
      <c r="G2808">
        <v>7.0819999999999999</v>
      </c>
      <c r="N2808" s="8"/>
    </row>
    <row r="2809" spans="1:14" x14ac:dyDescent="0.25">
      <c r="A2809" s="8">
        <v>40844</v>
      </c>
      <c r="B2809">
        <v>2065421.52</v>
      </c>
      <c r="C2809">
        <v>0</v>
      </c>
      <c r="D2809">
        <v>49.36</v>
      </c>
      <c r="E2809">
        <v>3.569</v>
      </c>
      <c r="F2809">
        <v>210.69189009999999</v>
      </c>
      <c r="G2809">
        <v>7.0819999999999999</v>
      </c>
      <c r="N2809" s="8"/>
    </row>
    <row r="2810" spans="1:14" x14ac:dyDescent="0.25">
      <c r="A2810" s="8">
        <v>40851</v>
      </c>
      <c r="B2810">
        <v>2284106.6</v>
      </c>
      <c r="C2810">
        <v>0</v>
      </c>
      <c r="D2810">
        <v>43.88</v>
      </c>
      <c r="E2810">
        <v>3.5510000000000002</v>
      </c>
      <c r="F2810">
        <v>210.83645509999999</v>
      </c>
      <c r="G2810">
        <v>7.0819999999999999</v>
      </c>
      <c r="N2810" s="8"/>
    </row>
    <row r="2811" spans="1:14" x14ac:dyDescent="0.25">
      <c r="A2811" s="8">
        <v>40858</v>
      </c>
      <c r="B2811">
        <v>2269975.85</v>
      </c>
      <c r="C2811">
        <v>0</v>
      </c>
      <c r="D2811">
        <v>47.27</v>
      </c>
      <c r="E2811">
        <v>3.53</v>
      </c>
      <c r="F2811">
        <v>210.98102009999999</v>
      </c>
      <c r="G2811">
        <v>7.0819999999999999</v>
      </c>
      <c r="N2811" s="8"/>
    </row>
    <row r="2812" spans="1:14" x14ac:dyDescent="0.25">
      <c r="A2812" s="8">
        <v>40865</v>
      </c>
      <c r="B2812">
        <v>2169933.8199999998</v>
      </c>
      <c r="C2812">
        <v>0</v>
      </c>
      <c r="D2812">
        <v>49.3</v>
      </c>
      <c r="E2812">
        <v>3.53</v>
      </c>
      <c r="F2812">
        <v>211.18472070000001</v>
      </c>
      <c r="G2812">
        <v>7.0819999999999999</v>
      </c>
      <c r="N2812" s="8"/>
    </row>
    <row r="2813" spans="1:14" x14ac:dyDescent="0.25">
      <c r="A2813" s="8">
        <v>40872</v>
      </c>
      <c r="B2813">
        <v>2906233.25</v>
      </c>
      <c r="C2813">
        <v>1</v>
      </c>
      <c r="D2813">
        <v>46.38</v>
      </c>
      <c r="E2813">
        <v>3.492</v>
      </c>
      <c r="F2813">
        <v>211.4120757</v>
      </c>
      <c r="G2813">
        <v>7.0819999999999999</v>
      </c>
      <c r="N2813" s="8"/>
    </row>
    <row r="2814" spans="1:14" x14ac:dyDescent="0.25">
      <c r="A2814" s="8">
        <v>40879</v>
      </c>
      <c r="B2814">
        <v>2298776.83</v>
      </c>
      <c r="C2814">
        <v>0</v>
      </c>
      <c r="D2814">
        <v>46.32</v>
      </c>
      <c r="E2814">
        <v>3.452</v>
      </c>
      <c r="F2814">
        <v>211.6394306</v>
      </c>
      <c r="G2814">
        <v>7.0819999999999999</v>
      </c>
      <c r="N2814" s="8"/>
    </row>
    <row r="2815" spans="1:14" x14ac:dyDescent="0.25">
      <c r="A2815" s="8">
        <v>40886</v>
      </c>
      <c r="B2815">
        <v>2546123.7799999998</v>
      </c>
      <c r="C2815">
        <v>0</v>
      </c>
      <c r="D2815">
        <v>41.64</v>
      </c>
      <c r="E2815">
        <v>3.415</v>
      </c>
      <c r="F2815">
        <v>211.86678559999999</v>
      </c>
      <c r="G2815">
        <v>7.0819999999999999</v>
      </c>
      <c r="N2815" s="8"/>
    </row>
    <row r="2816" spans="1:14" x14ac:dyDescent="0.25">
      <c r="A2816" s="8">
        <v>40893</v>
      </c>
      <c r="B2816">
        <v>2762816.65</v>
      </c>
      <c r="C2816">
        <v>0</v>
      </c>
      <c r="D2816">
        <v>37.159999999999997</v>
      </c>
      <c r="E2816">
        <v>3.4129999999999998</v>
      </c>
      <c r="F2816">
        <v>212.0685039</v>
      </c>
      <c r="G2816">
        <v>7.0819999999999999</v>
      </c>
      <c r="N2816" s="8"/>
    </row>
    <row r="2817" spans="1:14" x14ac:dyDescent="0.25">
      <c r="A2817" s="8">
        <v>40900</v>
      </c>
      <c r="B2817">
        <v>3555371.03</v>
      </c>
      <c r="C2817">
        <v>0</v>
      </c>
      <c r="D2817">
        <v>40.19</v>
      </c>
      <c r="E2817">
        <v>3.3889999999999998</v>
      </c>
      <c r="F2817">
        <v>212.2360401</v>
      </c>
      <c r="G2817">
        <v>7.0819999999999999</v>
      </c>
      <c r="N2817" s="8"/>
    </row>
    <row r="2818" spans="1:14" x14ac:dyDescent="0.25">
      <c r="A2818" s="8">
        <v>40907</v>
      </c>
      <c r="B2818">
        <v>2043245</v>
      </c>
      <c r="C2818">
        <v>1</v>
      </c>
      <c r="D2818">
        <v>36.35</v>
      </c>
      <c r="E2818">
        <v>3.3889999999999998</v>
      </c>
      <c r="F2818">
        <v>212.4035763</v>
      </c>
      <c r="G2818">
        <v>7.0819999999999999</v>
      </c>
      <c r="N2818" s="8"/>
    </row>
    <row r="2819" spans="1:14" x14ac:dyDescent="0.25">
      <c r="A2819" s="8">
        <v>40914</v>
      </c>
      <c r="B2819">
        <v>1964701.94</v>
      </c>
      <c r="C2819">
        <v>0</v>
      </c>
      <c r="D2819">
        <v>33.42</v>
      </c>
      <c r="E2819">
        <v>3.4220000000000002</v>
      </c>
      <c r="F2819">
        <v>212.5711125</v>
      </c>
      <c r="G2819">
        <v>6.9610000000000003</v>
      </c>
      <c r="N2819" s="8"/>
    </row>
    <row r="2820" spans="1:14" x14ac:dyDescent="0.25">
      <c r="A2820" s="8">
        <v>40921</v>
      </c>
      <c r="B2820">
        <v>1911510.64</v>
      </c>
      <c r="C2820">
        <v>0</v>
      </c>
      <c r="D2820">
        <v>37.79</v>
      </c>
      <c r="E2820">
        <v>3.5129999999999999</v>
      </c>
      <c r="F2820">
        <v>212.7386486</v>
      </c>
      <c r="G2820">
        <v>6.9610000000000003</v>
      </c>
      <c r="N2820" s="8"/>
    </row>
    <row r="2821" spans="1:14" x14ac:dyDescent="0.25">
      <c r="A2821" s="8">
        <v>40928</v>
      </c>
      <c r="B2821">
        <v>1892775.94</v>
      </c>
      <c r="C2821">
        <v>0</v>
      </c>
      <c r="D2821">
        <v>27.65</v>
      </c>
      <c r="E2821">
        <v>3.5329999999999999</v>
      </c>
      <c r="F2821">
        <v>212.83363990000001</v>
      </c>
      <c r="G2821">
        <v>6.9610000000000003</v>
      </c>
      <c r="N2821" s="8"/>
    </row>
    <row r="2822" spans="1:14" x14ac:dyDescent="0.25">
      <c r="A2822" s="8">
        <v>40935</v>
      </c>
      <c r="B2822">
        <v>1761016.51</v>
      </c>
      <c r="C2822">
        <v>0</v>
      </c>
      <c r="D2822">
        <v>37.19</v>
      </c>
      <c r="E2822">
        <v>3.5670000000000002</v>
      </c>
      <c r="F2822">
        <v>212.92863120000001</v>
      </c>
      <c r="G2822">
        <v>6.9610000000000003</v>
      </c>
      <c r="N2822" s="8"/>
    </row>
    <row r="2823" spans="1:14" x14ac:dyDescent="0.25">
      <c r="A2823" s="8">
        <v>40942</v>
      </c>
      <c r="B2823">
        <v>2203523.2000000002</v>
      </c>
      <c r="C2823">
        <v>0</v>
      </c>
      <c r="D2823">
        <v>39.93</v>
      </c>
      <c r="E2823">
        <v>3.617</v>
      </c>
      <c r="F2823">
        <v>213.02362249999999</v>
      </c>
      <c r="G2823">
        <v>6.9610000000000003</v>
      </c>
      <c r="N2823" s="8"/>
    </row>
    <row r="2824" spans="1:14" x14ac:dyDescent="0.25">
      <c r="A2824" s="8">
        <v>40949</v>
      </c>
      <c r="B2824">
        <v>2462978.2799999998</v>
      </c>
      <c r="C2824">
        <v>1</v>
      </c>
      <c r="D2824">
        <v>33.47</v>
      </c>
      <c r="E2824">
        <v>3.64</v>
      </c>
      <c r="F2824">
        <v>213.11861379999999</v>
      </c>
      <c r="G2824">
        <v>6.9610000000000003</v>
      </c>
      <c r="N2824" s="8"/>
    </row>
    <row r="2825" spans="1:14" x14ac:dyDescent="0.25">
      <c r="A2825" s="8">
        <v>40956</v>
      </c>
      <c r="B2825">
        <v>2309025.16</v>
      </c>
      <c r="C2825">
        <v>0</v>
      </c>
      <c r="D2825">
        <v>31.11</v>
      </c>
      <c r="E2825">
        <v>3.6949999999999998</v>
      </c>
      <c r="F2825">
        <v>213.2732106</v>
      </c>
      <c r="G2825">
        <v>6.9610000000000003</v>
      </c>
      <c r="N2825" s="8"/>
    </row>
    <row r="2826" spans="1:14" x14ac:dyDescent="0.25">
      <c r="A2826" s="8">
        <v>40963</v>
      </c>
      <c r="B2826">
        <v>2045837.55</v>
      </c>
      <c r="C2826">
        <v>0</v>
      </c>
      <c r="D2826">
        <v>39.79</v>
      </c>
      <c r="E2826">
        <v>3.7389999999999999</v>
      </c>
      <c r="F2826">
        <v>213.47251159999999</v>
      </c>
      <c r="G2826">
        <v>6.9610000000000003</v>
      </c>
      <c r="N2826" s="8"/>
    </row>
    <row r="2827" spans="1:14" x14ac:dyDescent="0.25">
      <c r="A2827" s="8">
        <v>40970</v>
      </c>
      <c r="B2827">
        <v>2148822.7599999998</v>
      </c>
      <c r="C2827">
        <v>0</v>
      </c>
      <c r="D2827">
        <v>39.979999999999997</v>
      </c>
      <c r="E2827">
        <v>3.8159999999999998</v>
      </c>
      <c r="F2827">
        <v>213.6718127</v>
      </c>
      <c r="G2827">
        <v>6.9610000000000003</v>
      </c>
      <c r="N2827" s="8"/>
    </row>
    <row r="2828" spans="1:14" x14ac:dyDescent="0.25">
      <c r="A2828" s="8">
        <v>40977</v>
      </c>
      <c r="B2828">
        <v>2139265.4</v>
      </c>
      <c r="C2828">
        <v>0</v>
      </c>
      <c r="D2828">
        <v>41.14</v>
      </c>
      <c r="E2828">
        <v>3.8479999999999999</v>
      </c>
      <c r="F2828">
        <v>213.8711137</v>
      </c>
      <c r="G2828">
        <v>6.9610000000000003</v>
      </c>
      <c r="N2828" s="8"/>
    </row>
    <row r="2829" spans="1:14" x14ac:dyDescent="0.25">
      <c r="A2829" s="8">
        <v>40984</v>
      </c>
      <c r="B2829">
        <v>2064991.71</v>
      </c>
      <c r="C2829">
        <v>0</v>
      </c>
      <c r="D2829">
        <v>53.73</v>
      </c>
      <c r="E2829">
        <v>3.8620000000000001</v>
      </c>
      <c r="F2829">
        <v>214.0167132</v>
      </c>
      <c r="G2829">
        <v>6.9610000000000003</v>
      </c>
      <c r="N2829" s="8"/>
    </row>
    <row r="2830" spans="1:14" x14ac:dyDescent="0.25">
      <c r="A2830" s="8">
        <v>40991</v>
      </c>
      <c r="B2830">
        <v>1992436.96</v>
      </c>
      <c r="C2830">
        <v>0</v>
      </c>
      <c r="D2830">
        <v>66.11</v>
      </c>
      <c r="E2830">
        <v>3.9</v>
      </c>
      <c r="F2830">
        <v>214.0907105</v>
      </c>
      <c r="G2830">
        <v>6.9610000000000003</v>
      </c>
      <c r="N2830" s="8"/>
    </row>
    <row r="2831" spans="1:14" x14ac:dyDescent="0.25">
      <c r="A2831" s="8">
        <v>40998</v>
      </c>
      <c r="B2831">
        <v>2074721.74</v>
      </c>
      <c r="C2831">
        <v>0</v>
      </c>
      <c r="D2831">
        <v>51.52</v>
      </c>
      <c r="E2831">
        <v>3.9529999999999998</v>
      </c>
      <c r="F2831">
        <v>214.1647079</v>
      </c>
      <c r="G2831">
        <v>6.9610000000000003</v>
      </c>
      <c r="N2831" s="8"/>
    </row>
    <row r="2832" spans="1:14" x14ac:dyDescent="0.25">
      <c r="A2832" s="8">
        <v>41005</v>
      </c>
      <c r="B2832">
        <v>2565259.92</v>
      </c>
      <c r="C2832">
        <v>0</v>
      </c>
      <c r="D2832">
        <v>50.06</v>
      </c>
      <c r="E2832">
        <v>3.996</v>
      </c>
      <c r="F2832">
        <v>214.23870529999999</v>
      </c>
      <c r="G2832">
        <v>7.1390000000000002</v>
      </c>
      <c r="N2832" s="8"/>
    </row>
    <row r="2833" spans="1:14" x14ac:dyDescent="0.25">
      <c r="A2833" s="8">
        <v>41012</v>
      </c>
      <c r="B2833">
        <v>2045396.06</v>
      </c>
      <c r="C2833">
        <v>0</v>
      </c>
      <c r="D2833">
        <v>45.68</v>
      </c>
      <c r="E2833">
        <v>4.0439999999999996</v>
      </c>
      <c r="F2833">
        <v>214.31270269999999</v>
      </c>
      <c r="G2833">
        <v>7.1390000000000002</v>
      </c>
      <c r="N2833" s="8"/>
    </row>
    <row r="2834" spans="1:14" x14ac:dyDescent="0.25">
      <c r="A2834" s="8">
        <v>41019</v>
      </c>
      <c r="B2834">
        <v>1884427.84</v>
      </c>
      <c r="C2834">
        <v>0</v>
      </c>
      <c r="D2834">
        <v>60.11</v>
      </c>
      <c r="E2834">
        <v>4.0270000000000001</v>
      </c>
      <c r="F2834">
        <v>214.3675045</v>
      </c>
      <c r="G2834">
        <v>7.1390000000000002</v>
      </c>
      <c r="N2834" s="8"/>
    </row>
    <row r="2835" spans="1:14" x14ac:dyDescent="0.25">
      <c r="A2835" s="8">
        <v>41026</v>
      </c>
      <c r="B2835">
        <v>1886503.93</v>
      </c>
      <c r="C2835">
        <v>0</v>
      </c>
      <c r="D2835">
        <v>47.64</v>
      </c>
      <c r="E2835">
        <v>4.0039999999999996</v>
      </c>
      <c r="F2835">
        <v>214.4223063</v>
      </c>
      <c r="G2835">
        <v>7.1390000000000002</v>
      </c>
      <c r="N2835" s="8"/>
    </row>
    <row r="2836" spans="1:14" x14ac:dyDescent="0.25">
      <c r="A2836" s="8">
        <v>41033</v>
      </c>
      <c r="B2836">
        <v>2163510.89</v>
      </c>
      <c r="C2836">
        <v>0</v>
      </c>
      <c r="D2836">
        <v>62.74</v>
      </c>
      <c r="E2836">
        <v>3.9510000000000001</v>
      </c>
      <c r="F2836">
        <v>214.47710810000001</v>
      </c>
      <c r="G2836">
        <v>7.1390000000000002</v>
      </c>
      <c r="N2836" s="8"/>
    </row>
    <row r="2837" spans="1:14" x14ac:dyDescent="0.25">
      <c r="A2837" s="8">
        <v>41040</v>
      </c>
      <c r="B2837">
        <v>2168097.11</v>
      </c>
      <c r="C2837">
        <v>0</v>
      </c>
      <c r="D2837">
        <v>63.19</v>
      </c>
      <c r="E2837">
        <v>3.8889999999999998</v>
      </c>
      <c r="F2837">
        <v>214.53190989999999</v>
      </c>
      <c r="G2837">
        <v>7.1390000000000002</v>
      </c>
      <c r="N2837" s="8"/>
    </row>
    <row r="2838" spans="1:14" x14ac:dyDescent="0.25">
      <c r="A2838" s="8">
        <v>41047</v>
      </c>
      <c r="B2838">
        <v>2039222.26</v>
      </c>
      <c r="C2838">
        <v>0</v>
      </c>
      <c r="D2838">
        <v>60.99</v>
      </c>
      <c r="E2838">
        <v>3.8479999999999999</v>
      </c>
      <c r="F2838">
        <v>214.54855710000001</v>
      </c>
      <c r="G2838">
        <v>7.1390000000000002</v>
      </c>
      <c r="N2838" s="8"/>
    </row>
    <row r="2839" spans="1:14" x14ac:dyDescent="0.25">
      <c r="A2839" s="8">
        <v>41054</v>
      </c>
      <c r="B2839">
        <v>2114989</v>
      </c>
      <c r="C2839">
        <v>0</v>
      </c>
      <c r="D2839">
        <v>70.040000000000006</v>
      </c>
      <c r="E2839">
        <v>3.798</v>
      </c>
      <c r="F2839">
        <v>214.54994249999999</v>
      </c>
      <c r="G2839">
        <v>7.1390000000000002</v>
      </c>
      <c r="N2839" s="8"/>
    </row>
    <row r="2840" spans="1:14" x14ac:dyDescent="0.25">
      <c r="A2840" s="8">
        <v>41061</v>
      </c>
      <c r="B2840">
        <v>2143126.59</v>
      </c>
      <c r="C2840">
        <v>0</v>
      </c>
      <c r="D2840">
        <v>73.67</v>
      </c>
      <c r="E2840">
        <v>3.742</v>
      </c>
      <c r="F2840">
        <v>214.5513278</v>
      </c>
      <c r="G2840">
        <v>7.1390000000000002</v>
      </c>
      <c r="N2840" s="8"/>
    </row>
    <row r="2841" spans="1:14" x14ac:dyDescent="0.25">
      <c r="A2841" s="8">
        <v>41068</v>
      </c>
      <c r="B2841">
        <v>2231962.13</v>
      </c>
      <c r="C2841">
        <v>0</v>
      </c>
      <c r="D2841">
        <v>62.01</v>
      </c>
      <c r="E2841">
        <v>3.6890000000000001</v>
      </c>
      <c r="F2841">
        <v>214.5527132</v>
      </c>
      <c r="G2841">
        <v>7.1390000000000002</v>
      </c>
      <c r="N2841" s="8"/>
    </row>
    <row r="2842" spans="1:14" x14ac:dyDescent="0.25">
      <c r="A2842" s="8">
        <v>41075</v>
      </c>
      <c r="B2842">
        <v>2165160.29</v>
      </c>
      <c r="C2842">
        <v>0</v>
      </c>
      <c r="D2842">
        <v>71.510000000000005</v>
      </c>
      <c r="E2842">
        <v>3.62</v>
      </c>
      <c r="F2842">
        <v>214.56532429999999</v>
      </c>
      <c r="G2842">
        <v>7.1390000000000002</v>
      </c>
      <c r="N2842" s="8"/>
    </row>
    <row r="2843" spans="1:14" x14ac:dyDescent="0.25">
      <c r="A2843" s="8">
        <v>41082</v>
      </c>
      <c r="B2843">
        <v>2060588.69</v>
      </c>
      <c r="C2843">
        <v>0</v>
      </c>
      <c r="D2843">
        <v>76.510000000000005</v>
      </c>
      <c r="E2843">
        <v>3.5640000000000001</v>
      </c>
      <c r="F2843">
        <v>214.60599999999999</v>
      </c>
      <c r="G2843">
        <v>7.1390000000000002</v>
      </c>
      <c r="N2843" s="8"/>
    </row>
    <row r="2844" spans="1:14" x14ac:dyDescent="0.25">
      <c r="A2844" s="8">
        <v>41089</v>
      </c>
      <c r="B2844">
        <v>2055952.61</v>
      </c>
      <c r="C2844">
        <v>0</v>
      </c>
      <c r="D2844">
        <v>74.150000000000006</v>
      </c>
      <c r="E2844">
        <v>3.5059999999999998</v>
      </c>
      <c r="F2844">
        <v>214.6466757</v>
      </c>
      <c r="G2844">
        <v>7.1390000000000002</v>
      </c>
      <c r="N2844" s="8"/>
    </row>
    <row r="2845" spans="1:14" x14ac:dyDescent="0.25">
      <c r="A2845" s="8">
        <v>41096</v>
      </c>
      <c r="B2845">
        <v>2358055.2999999998</v>
      </c>
      <c r="C2845">
        <v>0</v>
      </c>
      <c r="D2845">
        <v>79.2</v>
      </c>
      <c r="E2845">
        <v>3.4750000000000001</v>
      </c>
      <c r="F2845">
        <v>214.68735140000001</v>
      </c>
      <c r="G2845">
        <v>7.28</v>
      </c>
      <c r="N2845" s="8"/>
    </row>
    <row r="2846" spans="1:14" x14ac:dyDescent="0.25">
      <c r="A2846" s="8">
        <v>41103</v>
      </c>
      <c r="B2846">
        <v>2134680.12</v>
      </c>
      <c r="C2846">
        <v>0</v>
      </c>
      <c r="D2846">
        <v>78.27</v>
      </c>
      <c r="E2846">
        <v>3.5230000000000001</v>
      </c>
      <c r="F2846">
        <v>214.728027</v>
      </c>
      <c r="G2846">
        <v>7.28</v>
      </c>
      <c r="N2846" s="8"/>
    </row>
    <row r="2847" spans="1:14" x14ac:dyDescent="0.25">
      <c r="A2847" s="8">
        <v>41110</v>
      </c>
      <c r="B2847">
        <v>1970170.29</v>
      </c>
      <c r="C2847">
        <v>0</v>
      </c>
      <c r="D2847">
        <v>76.040000000000006</v>
      </c>
      <c r="E2847">
        <v>3.5670000000000002</v>
      </c>
      <c r="F2847">
        <v>214.7331351</v>
      </c>
      <c r="G2847">
        <v>7.28</v>
      </c>
      <c r="N2847" s="8"/>
    </row>
    <row r="2848" spans="1:14" x14ac:dyDescent="0.25">
      <c r="A2848" s="8">
        <v>41117</v>
      </c>
      <c r="B2848">
        <v>1911559.1</v>
      </c>
      <c r="C2848">
        <v>0</v>
      </c>
      <c r="D2848">
        <v>74.599999999999994</v>
      </c>
      <c r="E2848">
        <v>3.6469999999999998</v>
      </c>
      <c r="F2848">
        <v>214.7382432</v>
      </c>
      <c r="G2848">
        <v>7.28</v>
      </c>
      <c r="N2848" s="8"/>
    </row>
    <row r="2849" spans="1:14" x14ac:dyDescent="0.25">
      <c r="A2849" s="8">
        <v>41124</v>
      </c>
      <c r="B2849">
        <v>2094515.71</v>
      </c>
      <c r="C2849">
        <v>0</v>
      </c>
      <c r="D2849">
        <v>74.73</v>
      </c>
      <c r="E2849">
        <v>3.6539999999999999</v>
      </c>
      <c r="F2849">
        <v>214.74335139999999</v>
      </c>
      <c r="G2849">
        <v>7.28</v>
      </c>
      <c r="N2849" s="8"/>
    </row>
    <row r="2850" spans="1:14" x14ac:dyDescent="0.25">
      <c r="A2850" s="8">
        <v>41131</v>
      </c>
      <c r="B2850">
        <v>2144245.39</v>
      </c>
      <c r="C2850">
        <v>0</v>
      </c>
      <c r="D2850">
        <v>75.400000000000006</v>
      </c>
      <c r="E2850">
        <v>3.722</v>
      </c>
      <c r="F2850">
        <v>214.7484595</v>
      </c>
      <c r="G2850">
        <v>7.28</v>
      </c>
      <c r="N2850" s="8"/>
    </row>
    <row r="2851" spans="1:14" x14ac:dyDescent="0.25">
      <c r="A2851" s="8">
        <v>41138</v>
      </c>
      <c r="B2851">
        <v>2045061.22</v>
      </c>
      <c r="C2851">
        <v>0</v>
      </c>
      <c r="D2851">
        <v>69.569999999999993</v>
      </c>
      <c r="E2851">
        <v>3.8069999999999999</v>
      </c>
      <c r="F2851">
        <v>214.82557800000001</v>
      </c>
      <c r="G2851">
        <v>7.28</v>
      </c>
      <c r="N2851" s="8"/>
    </row>
    <row r="2852" spans="1:14" x14ac:dyDescent="0.25">
      <c r="A2852" s="8">
        <v>41145</v>
      </c>
      <c r="B2852">
        <v>2005341.43</v>
      </c>
      <c r="C2852">
        <v>0</v>
      </c>
      <c r="D2852">
        <v>68.27</v>
      </c>
      <c r="E2852">
        <v>3.8340000000000001</v>
      </c>
      <c r="F2852">
        <v>214.95670440000001</v>
      </c>
      <c r="G2852">
        <v>7.28</v>
      </c>
      <c r="N2852" s="8"/>
    </row>
    <row r="2853" spans="1:14" x14ac:dyDescent="0.25">
      <c r="A2853" s="8">
        <v>41152</v>
      </c>
      <c r="B2853">
        <v>2062481.56</v>
      </c>
      <c r="C2853">
        <v>0</v>
      </c>
      <c r="D2853">
        <v>72.66</v>
      </c>
      <c r="E2853">
        <v>3.867</v>
      </c>
      <c r="F2853">
        <v>215.0878309</v>
      </c>
      <c r="G2853">
        <v>7.28</v>
      </c>
      <c r="N2853" s="8"/>
    </row>
    <row r="2854" spans="1:14" x14ac:dyDescent="0.25">
      <c r="A2854" s="8">
        <v>41159</v>
      </c>
      <c r="B2854">
        <v>2080529.06</v>
      </c>
      <c r="C2854">
        <v>1</v>
      </c>
      <c r="D2854">
        <v>76.36</v>
      </c>
      <c r="E2854">
        <v>3.911</v>
      </c>
      <c r="F2854">
        <v>215.2189573</v>
      </c>
      <c r="G2854">
        <v>7.28</v>
      </c>
      <c r="N2854" s="8"/>
    </row>
    <row r="2855" spans="1:14" x14ac:dyDescent="0.25">
      <c r="A2855" s="8">
        <v>41166</v>
      </c>
      <c r="B2855">
        <v>2047949.98</v>
      </c>
      <c r="C2855">
        <v>0</v>
      </c>
      <c r="D2855">
        <v>64.84</v>
      </c>
      <c r="E2855">
        <v>3.948</v>
      </c>
      <c r="F2855">
        <v>215.35837570000001</v>
      </c>
      <c r="G2855">
        <v>7.28</v>
      </c>
      <c r="N2855" s="8"/>
    </row>
    <row r="2856" spans="1:14" x14ac:dyDescent="0.25">
      <c r="A2856" s="8">
        <v>41173</v>
      </c>
      <c r="B2856">
        <v>2028587.24</v>
      </c>
      <c r="C2856">
        <v>0</v>
      </c>
      <c r="D2856">
        <v>60.94</v>
      </c>
      <c r="E2856">
        <v>4.0380000000000003</v>
      </c>
      <c r="F2856">
        <v>215.54754589999999</v>
      </c>
      <c r="G2856">
        <v>7.28</v>
      </c>
      <c r="N2856" s="8"/>
    </row>
    <row r="2857" spans="1:14" x14ac:dyDescent="0.25">
      <c r="A2857" s="8">
        <v>41180</v>
      </c>
      <c r="B2857">
        <v>2008350.58</v>
      </c>
      <c r="C2857">
        <v>0</v>
      </c>
      <c r="D2857">
        <v>58.65</v>
      </c>
      <c r="E2857">
        <v>3.9969999999999999</v>
      </c>
      <c r="F2857">
        <v>215.73671619999999</v>
      </c>
      <c r="G2857">
        <v>7.28</v>
      </c>
      <c r="N2857" s="8"/>
    </row>
    <row r="2858" spans="1:14" x14ac:dyDescent="0.25">
      <c r="A2858" s="8">
        <v>41187</v>
      </c>
      <c r="B2858">
        <v>2246411.89</v>
      </c>
      <c r="C2858">
        <v>0</v>
      </c>
      <c r="D2858">
        <v>60.77</v>
      </c>
      <c r="E2858">
        <v>3.9849999999999999</v>
      </c>
      <c r="F2858">
        <v>215.92588649999999</v>
      </c>
      <c r="G2858">
        <v>7.2930000000000001</v>
      </c>
      <c r="N2858" s="8"/>
    </row>
    <row r="2859" spans="1:14" x14ac:dyDescent="0.25">
      <c r="A2859" s="8">
        <v>41194</v>
      </c>
      <c r="B2859">
        <v>2162951.36</v>
      </c>
      <c r="C2859">
        <v>0</v>
      </c>
      <c r="D2859">
        <v>47.2</v>
      </c>
      <c r="E2859">
        <v>4</v>
      </c>
      <c r="F2859">
        <v>216.11505679999999</v>
      </c>
      <c r="G2859">
        <v>7.2930000000000001</v>
      </c>
      <c r="N2859" s="8"/>
    </row>
    <row r="2860" spans="1:14" x14ac:dyDescent="0.25">
      <c r="A2860" s="8">
        <v>41201</v>
      </c>
      <c r="B2860">
        <v>1999363.49</v>
      </c>
      <c r="C2860">
        <v>0</v>
      </c>
      <c r="D2860">
        <v>56.26</v>
      </c>
      <c r="E2860">
        <v>3.9689999999999999</v>
      </c>
      <c r="F2860">
        <v>216.1464699</v>
      </c>
      <c r="G2860">
        <v>7.2930000000000001</v>
      </c>
      <c r="N2860" s="8"/>
    </row>
    <row r="2861" spans="1:14" x14ac:dyDescent="0.25">
      <c r="A2861" s="8">
        <v>41208</v>
      </c>
      <c r="B2861">
        <v>2031650.55</v>
      </c>
      <c r="C2861">
        <v>0</v>
      </c>
      <c r="D2861">
        <v>60.04</v>
      </c>
      <c r="E2861">
        <v>3.8820000000000001</v>
      </c>
      <c r="F2861">
        <v>216.15159019999999</v>
      </c>
      <c r="G2861">
        <v>7.2930000000000001</v>
      </c>
      <c r="N2861" s="8"/>
    </row>
    <row r="2862" spans="1:14" x14ac:dyDescent="0.25">
      <c r="A2862" s="8">
        <v>40214</v>
      </c>
      <c r="B2862">
        <v>798593.88</v>
      </c>
      <c r="C2862">
        <v>0</v>
      </c>
      <c r="D2862">
        <v>39.049999999999997</v>
      </c>
      <c r="E2862">
        <v>2.5720000000000001</v>
      </c>
      <c r="F2862">
        <v>210.7526053</v>
      </c>
      <c r="G2862">
        <v>8.3239999999999998</v>
      </c>
      <c r="N2862" s="8"/>
    </row>
    <row r="2863" spans="1:14" x14ac:dyDescent="0.25">
      <c r="A2863" s="8">
        <v>40221</v>
      </c>
      <c r="B2863">
        <v>809321.44</v>
      </c>
      <c r="C2863">
        <v>1</v>
      </c>
      <c r="D2863">
        <v>37.770000000000003</v>
      </c>
      <c r="E2863">
        <v>2.548</v>
      </c>
      <c r="F2863">
        <v>210.89799350000001</v>
      </c>
      <c r="G2863">
        <v>8.3239999999999998</v>
      </c>
      <c r="N2863" s="8"/>
    </row>
    <row r="2864" spans="1:14" x14ac:dyDescent="0.25">
      <c r="A2864" s="8">
        <v>40228</v>
      </c>
      <c r="B2864">
        <v>867283.25</v>
      </c>
      <c r="C2864">
        <v>0</v>
      </c>
      <c r="D2864">
        <v>39.75</v>
      </c>
      <c r="E2864">
        <v>2.5139999999999998</v>
      </c>
      <c r="F2864">
        <v>210.94516049999999</v>
      </c>
      <c r="G2864">
        <v>8.3239999999999998</v>
      </c>
      <c r="N2864" s="8"/>
    </row>
    <row r="2865" spans="1:14" x14ac:dyDescent="0.25">
      <c r="A2865" s="8">
        <v>40235</v>
      </c>
      <c r="B2865">
        <v>749597.24</v>
      </c>
      <c r="C2865">
        <v>0</v>
      </c>
      <c r="D2865">
        <v>45.31</v>
      </c>
      <c r="E2865">
        <v>2.5609999999999999</v>
      </c>
      <c r="F2865">
        <v>210.9759573</v>
      </c>
      <c r="G2865">
        <v>8.3239999999999998</v>
      </c>
      <c r="N2865" s="8"/>
    </row>
    <row r="2866" spans="1:14" x14ac:dyDescent="0.25">
      <c r="A2866" s="8">
        <v>40242</v>
      </c>
      <c r="B2866">
        <v>747444.32</v>
      </c>
      <c r="C2866">
        <v>0</v>
      </c>
      <c r="D2866">
        <v>48.61</v>
      </c>
      <c r="E2866">
        <v>2.625</v>
      </c>
      <c r="F2866">
        <v>211.00675419999999</v>
      </c>
      <c r="G2866">
        <v>8.3239999999999998</v>
      </c>
      <c r="N2866" s="8"/>
    </row>
    <row r="2867" spans="1:14" x14ac:dyDescent="0.25">
      <c r="A2867" s="8">
        <v>40249</v>
      </c>
      <c r="B2867">
        <v>712312.89</v>
      </c>
      <c r="C2867">
        <v>0</v>
      </c>
      <c r="D2867">
        <v>57.1</v>
      </c>
      <c r="E2867">
        <v>2.6669999999999998</v>
      </c>
      <c r="F2867">
        <v>211.03755100000001</v>
      </c>
      <c r="G2867">
        <v>8.3239999999999998</v>
      </c>
      <c r="N2867" s="8"/>
    </row>
    <row r="2868" spans="1:14" x14ac:dyDescent="0.25">
      <c r="A2868" s="8">
        <v>40256</v>
      </c>
      <c r="B2868">
        <v>727070</v>
      </c>
      <c r="C2868">
        <v>0</v>
      </c>
      <c r="D2868">
        <v>54.68</v>
      </c>
      <c r="E2868">
        <v>2.72</v>
      </c>
      <c r="F2868">
        <v>210.8733316</v>
      </c>
      <c r="G2868">
        <v>8.3239999999999998</v>
      </c>
      <c r="N2868" s="8"/>
    </row>
    <row r="2869" spans="1:14" x14ac:dyDescent="0.25">
      <c r="A2869" s="8">
        <v>40263</v>
      </c>
      <c r="B2869">
        <v>686497.53</v>
      </c>
      <c r="C2869">
        <v>0</v>
      </c>
      <c r="D2869">
        <v>51.66</v>
      </c>
      <c r="E2869">
        <v>2.7320000000000002</v>
      </c>
      <c r="F2869">
        <v>210.67660950000001</v>
      </c>
      <c r="G2869">
        <v>8.3239999999999998</v>
      </c>
      <c r="N2869" s="8"/>
    </row>
    <row r="2870" spans="1:14" x14ac:dyDescent="0.25">
      <c r="A2870" s="8">
        <v>40270</v>
      </c>
      <c r="B2870">
        <v>753664.12</v>
      </c>
      <c r="C2870">
        <v>0</v>
      </c>
      <c r="D2870">
        <v>64.12</v>
      </c>
      <c r="E2870">
        <v>2.7189999999999999</v>
      </c>
      <c r="F2870">
        <v>210.4798874</v>
      </c>
      <c r="G2870">
        <v>8.1999999999999993</v>
      </c>
      <c r="N2870" s="8"/>
    </row>
    <row r="2871" spans="1:14" x14ac:dyDescent="0.25">
      <c r="A2871" s="8">
        <v>40277</v>
      </c>
      <c r="B2871">
        <v>751181.4</v>
      </c>
      <c r="C2871">
        <v>0</v>
      </c>
      <c r="D2871">
        <v>65.739999999999995</v>
      </c>
      <c r="E2871">
        <v>2.77</v>
      </c>
      <c r="F2871">
        <v>210.28316530000001</v>
      </c>
      <c r="G2871">
        <v>8.1999999999999993</v>
      </c>
      <c r="N2871" s="8"/>
    </row>
    <row r="2872" spans="1:14" x14ac:dyDescent="0.25">
      <c r="A2872" s="8">
        <v>40284</v>
      </c>
      <c r="B2872">
        <v>716026.51</v>
      </c>
      <c r="C2872">
        <v>0</v>
      </c>
      <c r="D2872">
        <v>67.87</v>
      </c>
      <c r="E2872">
        <v>2.8079999999999998</v>
      </c>
      <c r="F2872">
        <v>210.1495463</v>
      </c>
      <c r="G2872">
        <v>8.1999999999999993</v>
      </c>
      <c r="N2872" s="8"/>
    </row>
    <row r="2873" spans="1:14" x14ac:dyDescent="0.25">
      <c r="A2873" s="8">
        <v>40291</v>
      </c>
      <c r="B2873">
        <v>718780.59</v>
      </c>
      <c r="C2873">
        <v>0</v>
      </c>
      <c r="D2873">
        <v>64.209999999999994</v>
      </c>
      <c r="E2873">
        <v>2.7949999999999999</v>
      </c>
      <c r="F2873">
        <v>210.10006480000001</v>
      </c>
      <c r="G2873">
        <v>8.1999999999999993</v>
      </c>
      <c r="N2873" s="8"/>
    </row>
    <row r="2874" spans="1:14" x14ac:dyDescent="0.25">
      <c r="A2874" s="8">
        <v>40298</v>
      </c>
      <c r="B2874">
        <v>680532.69</v>
      </c>
      <c r="C2874">
        <v>0</v>
      </c>
      <c r="D2874">
        <v>66.930000000000007</v>
      </c>
      <c r="E2874">
        <v>2.78</v>
      </c>
      <c r="F2874">
        <v>210.0505833</v>
      </c>
      <c r="G2874">
        <v>8.1999999999999993</v>
      </c>
      <c r="N2874" s="8"/>
    </row>
    <row r="2875" spans="1:14" x14ac:dyDescent="0.25">
      <c r="A2875" s="8">
        <v>40305</v>
      </c>
      <c r="B2875">
        <v>744969.42</v>
      </c>
      <c r="C2875">
        <v>0</v>
      </c>
      <c r="D2875">
        <v>70.87</v>
      </c>
      <c r="E2875">
        <v>2.835</v>
      </c>
      <c r="F2875">
        <v>210.00110179999999</v>
      </c>
      <c r="G2875">
        <v>8.1999999999999993</v>
      </c>
      <c r="N2875" s="8"/>
    </row>
    <row r="2876" spans="1:14" x14ac:dyDescent="0.25">
      <c r="A2876" s="8">
        <v>40312</v>
      </c>
      <c r="B2876">
        <v>723559.88</v>
      </c>
      <c r="C2876">
        <v>0</v>
      </c>
      <c r="D2876">
        <v>73.08</v>
      </c>
      <c r="E2876">
        <v>2.8540000000000001</v>
      </c>
      <c r="F2876">
        <v>209.9984585</v>
      </c>
      <c r="G2876">
        <v>8.1999999999999993</v>
      </c>
      <c r="N2876" s="8"/>
    </row>
    <row r="2877" spans="1:14" x14ac:dyDescent="0.25">
      <c r="A2877" s="8">
        <v>40319</v>
      </c>
      <c r="B2877">
        <v>753361.72</v>
      </c>
      <c r="C2877">
        <v>0</v>
      </c>
      <c r="D2877">
        <v>74.239999999999995</v>
      </c>
      <c r="E2877">
        <v>2.8260000000000001</v>
      </c>
      <c r="F2877">
        <v>210.27684429999999</v>
      </c>
      <c r="G2877">
        <v>8.1999999999999993</v>
      </c>
      <c r="N2877" s="8"/>
    </row>
    <row r="2878" spans="1:14" x14ac:dyDescent="0.25">
      <c r="A2878" s="8">
        <v>40326</v>
      </c>
      <c r="B2878">
        <v>755214.26</v>
      </c>
      <c r="C2878">
        <v>0</v>
      </c>
      <c r="D2878">
        <v>80.94</v>
      </c>
      <c r="E2878">
        <v>2.7589999999999999</v>
      </c>
      <c r="F2878">
        <v>210.55523009999999</v>
      </c>
      <c r="G2878">
        <v>8.1999999999999993</v>
      </c>
      <c r="N2878" s="8"/>
    </row>
    <row r="2879" spans="1:14" x14ac:dyDescent="0.25">
      <c r="A2879" s="8">
        <v>40333</v>
      </c>
      <c r="B2879">
        <v>806012.48</v>
      </c>
      <c r="C2879">
        <v>0</v>
      </c>
      <c r="D2879">
        <v>82.68</v>
      </c>
      <c r="E2879">
        <v>2.7050000000000001</v>
      </c>
      <c r="F2879">
        <v>210.83361600000001</v>
      </c>
      <c r="G2879">
        <v>8.1999999999999993</v>
      </c>
      <c r="N2879" s="8"/>
    </row>
    <row r="2880" spans="1:14" x14ac:dyDescent="0.25">
      <c r="A2880" s="8">
        <v>40340</v>
      </c>
      <c r="B2880">
        <v>784305.55</v>
      </c>
      <c r="C2880">
        <v>0</v>
      </c>
      <c r="D2880">
        <v>83.51</v>
      </c>
      <c r="E2880">
        <v>2.6680000000000001</v>
      </c>
      <c r="F2880">
        <v>211.1120018</v>
      </c>
      <c r="G2880">
        <v>8.1999999999999993</v>
      </c>
      <c r="N2880" s="8"/>
    </row>
    <row r="2881" spans="1:14" x14ac:dyDescent="0.25">
      <c r="A2881" s="8">
        <v>40347</v>
      </c>
      <c r="B2881">
        <v>785104.29</v>
      </c>
      <c r="C2881">
        <v>0</v>
      </c>
      <c r="D2881">
        <v>86.18</v>
      </c>
      <c r="E2881">
        <v>2.637</v>
      </c>
      <c r="F2881">
        <v>211.10965429999999</v>
      </c>
      <c r="G2881">
        <v>8.1999999999999993</v>
      </c>
      <c r="N2881" s="8"/>
    </row>
    <row r="2882" spans="1:14" x14ac:dyDescent="0.25">
      <c r="A2882" s="8">
        <v>40354</v>
      </c>
      <c r="B2882">
        <v>769848.75</v>
      </c>
      <c r="C2882">
        <v>0</v>
      </c>
      <c r="D2882">
        <v>87.01</v>
      </c>
      <c r="E2882">
        <v>2.653</v>
      </c>
      <c r="F2882">
        <v>210.9950134</v>
      </c>
      <c r="G2882">
        <v>8.1999999999999993</v>
      </c>
      <c r="N2882" s="8"/>
    </row>
    <row r="2883" spans="1:14" x14ac:dyDescent="0.25">
      <c r="A2883" s="8">
        <v>40361</v>
      </c>
      <c r="B2883">
        <v>711470.8</v>
      </c>
      <c r="C2883">
        <v>0</v>
      </c>
      <c r="D2883">
        <v>82.29</v>
      </c>
      <c r="E2883">
        <v>2.669</v>
      </c>
      <c r="F2883">
        <v>210.88037259999999</v>
      </c>
      <c r="G2883">
        <v>8.0990000000000002</v>
      </c>
      <c r="N2883" s="8"/>
    </row>
    <row r="2884" spans="1:14" x14ac:dyDescent="0.25">
      <c r="A2884" s="8">
        <v>40368</v>
      </c>
      <c r="B2884">
        <v>714677.47</v>
      </c>
      <c r="C2884">
        <v>0</v>
      </c>
      <c r="D2884">
        <v>81.67</v>
      </c>
      <c r="E2884">
        <v>2.6419999999999999</v>
      </c>
      <c r="F2884">
        <v>210.7657317</v>
      </c>
      <c r="G2884">
        <v>8.0990000000000002</v>
      </c>
      <c r="N2884" s="8"/>
    </row>
    <row r="2885" spans="1:14" x14ac:dyDescent="0.25">
      <c r="A2885" s="8">
        <v>40375</v>
      </c>
      <c r="B2885">
        <v>755098.41</v>
      </c>
      <c r="C2885">
        <v>0</v>
      </c>
      <c r="D2885">
        <v>85.61</v>
      </c>
      <c r="E2885">
        <v>2.6230000000000002</v>
      </c>
      <c r="F2885">
        <v>210.75779539999999</v>
      </c>
      <c r="G2885">
        <v>8.0990000000000002</v>
      </c>
      <c r="N2885" s="8"/>
    </row>
    <row r="2886" spans="1:14" x14ac:dyDescent="0.25">
      <c r="A2886" s="8">
        <v>40382</v>
      </c>
      <c r="B2886">
        <v>765823.48</v>
      </c>
      <c r="C2886">
        <v>0</v>
      </c>
      <c r="D2886">
        <v>87.17</v>
      </c>
      <c r="E2886">
        <v>2.6080000000000001</v>
      </c>
      <c r="F2886">
        <v>210.89213190000001</v>
      </c>
      <c r="G2886">
        <v>8.0990000000000002</v>
      </c>
      <c r="N2886" s="8"/>
    </row>
    <row r="2887" spans="1:14" x14ac:dyDescent="0.25">
      <c r="A2887" s="8">
        <v>40389</v>
      </c>
      <c r="B2887">
        <v>715876.27</v>
      </c>
      <c r="C2887">
        <v>0</v>
      </c>
      <c r="D2887">
        <v>83.59</v>
      </c>
      <c r="E2887">
        <v>2.64</v>
      </c>
      <c r="F2887">
        <v>211.0264684</v>
      </c>
      <c r="G2887">
        <v>8.0990000000000002</v>
      </c>
      <c r="N2887" s="8"/>
    </row>
    <row r="2888" spans="1:14" x14ac:dyDescent="0.25">
      <c r="A2888" s="8">
        <v>40396</v>
      </c>
      <c r="B2888">
        <v>739279.19</v>
      </c>
      <c r="C2888">
        <v>0</v>
      </c>
      <c r="D2888">
        <v>90.3</v>
      </c>
      <c r="E2888">
        <v>2.6269999999999998</v>
      </c>
      <c r="F2888">
        <v>211.16080489999999</v>
      </c>
      <c r="G2888">
        <v>8.0990000000000002</v>
      </c>
      <c r="N2888" s="8"/>
    </row>
    <row r="2889" spans="1:14" x14ac:dyDescent="0.25">
      <c r="A2889" s="8">
        <v>40403</v>
      </c>
      <c r="B2889">
        <v>793589.18</v>
      </c>
      <c r="C2889">
        <v>0</v>
      </c>
      <c r="D2889">
        <v>89.65</v>
      </c>
      <c r="E2889">
        <v>2.6920000000000002</v>
      </c>
      <c r="F2889">
        <v>211.29514130000001</v>
      </c>
      <c r="G2889">
        <v>8.0990000000000002</v>
      </c>
      <c r="N2889" s="8"/>
    </row>
    <row r="2890" spans="1:14" x14ac:dyDescent="0.25">
      <c r="A2890" s="8">
        <v>40410</v>
      </c>
      <c r="B2890">
        <v>848873.28</v>
      </c>
      <c r="C2890">
        <v>0</v>
      </c>
      <c r="D2890">
        <v>89.58</v>
      </c>
      <c r="E2890">
        <v>2.6640000000000001</v>
      </c>
      <c r="F2890">
        <v>211.25965859999999</v>
      </c>
      <c r="G2890">
        <v>8.0990000000000002</v>
      </c>
      <c r="N2890" s="8"/>
    </row>
    <row r="2891" spans="1:14" x14ac:dyDescent="0.25">
      <c r="A2891" s="8">
        <v>40417</v>
      </c>
      <c r="B2891">
        <v>855882.57</v>
      </c>
      <c r="C2891">
        <v>0</v>
      </c>
      <c r="D2891">
        <v>86.2</v>
      </c>
      <c r="E2891">
        <v>2.6190000000000002</v>
      </c>
      <c r="F2891">
        <v>211.22417590000001</v>
      </c>
      <c r="G2891">
        <v>8.0990000000000002</v>
      </c>
      <c r="N2891" s="8"/>
    </row>
    <row r="2892" spans="1:14" x14ac:dyDescent="0.25">
      <c r="A2892" s="8">
        <v>40424</v>
      </c>
      <c r="B2892">
        <v>727772.8</v>
      </c>
      <c r="C2892">
        <v>0</v>
      </c>
      <c r="D2892">
        <v>82.57</v>
      </c>
      <c r="E2892">
        <v>2.577</v>
      </c>
      <c r="F2892">
        <v>211.18869309999999</v>
      </c>
      <c r="G2892">
        <v>8.0990000000000002</v>
      </c>
      <c r="N2892" s="8"/>
    </row>
    <row r="2893" spans="1:14" x14ac:dyDescent="0.25">
      <c r="A2893" s="8">
        <v>40431</v>
      </c>
      <c r="B2893">
        <v>674055.81</v>
      </c>
      <c r="C2893">
        <v>1</v>
      </c>
      <c r="D2893">
        <v>79.3</v>
      </c>
      <c r="E2893">
        <v>2.5649999999999999</v>
      </c>
      <c r="F2893">
        <v>211.15321040000001</v>
      </c>
      <c r="G2893">
        <v>8.0990000000000002</v>
      </c>
      <c r="N2893" s="8"/>
    </row>
    <row r="2894" spans="1:14" x14ac:dyDescent="0.25">
      <c r="A2894" s="8">
        <v>40438</v>
      </c>
      <c r="B2894">
        <v>684340.86</v>
      </c>
      <c r="C2894">
        <v>0</v>
      </c>
      <c r="D2894">
        <v>83.03</v>
      </c>
      <c r="E2894">
        <v>2.5819999999999999</v>
      </c>
      <c r="F2894">
        <v>211.18064150000001</v>
      </c>
      <c r="G2894">
        <v>8.0990000000000002</v>
      </c>
      <c r="N2894" s="8"/>
    </row>
    <row r="2895" spans="1:14" x14ac:dyDescent="0.25">
      <c r="A2895" s="8">
        <v>40445</v>
      </c>
      <c r="B2895">
        <v>671688.06</v>
      </c>
      <c r="C2895">
        <v>0</v>
      </c>
      <c r="D2895">
        <v>80.790000000000006</v>
      </c>
      <c r="E2895">
        <v>2.6240000000000001</v>
      </c>
      <c r="F2895">
        <v>211.25525780000001</v>
      </c>
      <c r="G2895">
        <v>8.0990000000000002</v>
      </c>
      <c r="N2895" s="8"/>
    </row>
    <row r="2896" spans="1:14" x14ac:dyDescent="0.25">
      <c r="A2896" s="8">
        <v>40452</v>
      </c>
      <c r="B2896">
        <v>677158.39</v>
      </c>
      <c r="C2896">
        <v>0</v>
      </c>
      <c r="D2896">
        <v>70.28</v>
      </c>
      <c r="E2896">
        <v>2.6030000000000002</v>
      </c>
      <c r="F2896">
        <v>211.32987420000001</v>
      </c>
      <c r="G2896">
        <v>8.1630000000000003</v>
      </c>
      <c r="N2896" s="8"/>
    </row>
    <row r="2897" spans="1:14" x14ac:dyDescent="0.25">
      <c r="A2897" s="8">
        <v>40459</v>
      </c>
      <c r="B2897">
        <v>680579.49</v>
      </c>
      <c r="C2897">
        <v>0</v>
      </c>
      <c r="D2897">
        <v>65.760000000000005</v>
      </c>
      <c r="E2897">
        <v>2.633</v>
      </c>
      <c r="F2897">
        <v>211.4044906</v>
      </c>
      <c r="G2897">
        <v>8.1630000000000003</v>
      </c>
      <c r="N2897" s="8"/>
    </row>
    <row r="2898" spans="1:14" x14ac:dyDescent="0.25">
      <c r="A2898" s="8">
        <v>40466</v>
      </c>
      <c r="B2898">
        <v>693412.05</v>
      </c>
      <c r="C2898">
        <v>0</v>
      </c>
      <c r="D2898">
        <v>68.61</v>
      </c>
      <c r="E2898">
        <v>2.72</v>
      </c>
      <c r="F2898">
        <v>211.47132859999999</v>
      </c>
      <c r="G2898">
        <v>8.1630000000000003</v>
      </c>
      <c r="N2898" s="8"/>
    </row>
    <row r="2899" spans="1:14" x14ac:dyDescent="0.25">
      <c r="A2899" s="8">
        <v>40473</v>
      </c>
      <c r="B2899">
        <v>710668.45</v>
      </c>
      <c r="C2899">
        <v>0</v>
      </c>
      <c r="D2899">
        <v>70.72</v>
      </c>
      <c r="E2899">
        <v>2.7250000000000001</v>
      </c>
      <c r="F2899">
        <v>211.51872080000001</v>
      </c>
      <c r="G2899">
        <v>8.1630000000000003</v>
      </c>
      <c r="N2899" s="8"/>
    </row>
    <row r="2900" spans="1:14" x14ac:dyDescent="0.25">
      <c r="A2900" s="8">
        <v>40480</v>
      </c>
      <c r="B2900">
        <v>731756.65</v>
      </c>
      <c r="C2900">
        <v>0</v>
      </c>
      <c r="D2900">
        <v>67.510000000000005</v>
      </c>
      <c r="E2900">
        <v>2.7160000000000002</v>
      </c>
      <c r="F2900">
        <v>211.5661131</v>
      </c>
      <c r="G2900">
        <v>8.1630000000000003</v>
      </c>
      <c r="N2900" s="8"/>
    </row>
    <row r="2901" spans="1:14" x14ac:dyDescent="0.25">
      <c r="A2901" s="8">
        <v>40487</v>
      </c>
      <c r="B2901">
        <v>719888.76</v>
      </c>
      <c r="C2901">
        <v>0</v>
      </c>
      <c r="D2901">
        <v>58.71</v>
      </c>
      <c r="E2901">
        <v>2.6890000000000001</v>
      </c>
      <c r="F2901">
        <v>211.61350530000001</v>
      </c>
      <c r="G2901">
        <v>8.1630000000000003</v>
      </c>
      <c r="N2901" s="8"/>
    </row>
    <row r="2902" spans="1:14" x14ac:dyDescent="0.25">
      <c r="A2902" s="8">
        <v>40494</v>
      </c>
      <c r="B2902">
        <v>735796.38</v>
      </c>
      <c r="C2902">
        <v>0</v>
      </c>
      <c r="D2902">
        <v>60.95</v>
      </c>
      <c r="E2902">
        <v>2.7280000000000002</v>
      </c>
      <c r="F2902">
        <v>211.6608975</v>
      </c>
      <c r="G2902">
        <v>8.1630000000000003</v>
      </c>
      <c r="N2902" s="8"/>
    </row>
    <row r="2903" spans="1:14" x14ac:dyDescent="0.25">
      <c r="A2903" s="8">
        <v>40501</v>
      </c>
      <c r="B2903">
        <v>756288.89</v>
      </c>
      <c r="C2903">
        <v>0</v>
      </c>
      <c r="D2903">
        <v>51.71</v>
      </c>
      <c r="E2903">
        <v>2.7709999999999999</v>
      </c>
      <c r="F2903">
        <v>211.54703040000001</v>
      </c>
      <c r="G2903">
        <v>8.1630000000000003</v>
      </c>
      <c r="N2903" s="8"/>
    </row>
    <row r="2904" spans="1:14" x14ac:dyDescent="0.25">
      <c r="A2904" s="8">
        <v>40508</v>
      </c>
      <c r="B2904">
        <v>1245628.6100000001</v>
      </c>
      <c r="C2904">
        <v>1</v>
      </c>
      <c r="D2904">
        <v>62.96</v>
      </c>
      <c r="E2904">
        <v>2.7349999999999999</v>
      </c>
      <c r="F2904">
        <v>211.40628670000001</v>
      </c>
      <c r="G2904">
        <v>8.1630000000000003</v>
      </c>
      <c r="N2904" s="8"/>
    </row>
    <row r="2905" spans="1:14" x14ac:dyDescent="0.25">
      <c r="A2905" s="8">
        <v>40515</v>
      </c>
      <c r="B2905">
        <v>829210.73</v>
      </c>
      <c r="C2905">
        <v>0</v>
      </c>
      <c r="D2905">
        <v>50.43</v>
      </c>
      <c r="E2905">
        <v>2.7080000000000002</v>
      </c>
      <c r="F2905">
        <v>211.26554300000001</v>
      </c>
      <c r="G2905">
        <v>8.1630000000000003</v>
      </c>
      <c r="N2905" s="8"/>
    </row>
    <row r="2906" spans="1:14" x14ac:dyDescent="0.25">
      <c r="A2906" s="8">
        <v>40522</v>
      </c>
      <c r="B2906">
        <v>943891.64</v>
      </c>
      <c r="C2906">
        <v>0</v>
      </c>
      <c r="D2906">
        <v>46.35</v>
      </c>
      <c r="E2906">
        <v>2.843</v>
      </c>
      <c r="F2906">
        <v>211.12479930000001</v>
      </c>
      <c r="G2906">
        <v>8.1630000000000003</v>
      </c>
      <c r="N2906" s="8"/>
    </row>
    <row r="2907" spans="1:14" x14ac:dyDescent="0.25">
      <c r="A2907" s="8">
        <v>40529</v>
      </c>
      <c r="B2907">
        <v>1147556.83</v>
      </c>
      <c r="C2907">
        <v>0</v>
      </c>
      <c r="D2907">
        <v>48.63</v>
      </c>
      <c r="E2907">
        <v>2.8690000000000002</v>
      </c>
      <c r="F2907">
        <v>211.06454579999999</v>
      </c>
      <c r="G2907">
        <v>8.1630000000000003</v>
      </c>
      <c r="N2907" s="8"/>
    </row>
    <row r="2908" spans="1:14" x14ac:dyDescent="0.25">
      <c r="A2908" s="8">
        <v>40536</v>
      </c>
      <c r="B2908">
        <v>1587257.78</v>
      </c>
      <c r="C2908">
        <v>0</v>
      </c>
      <c r="D2908">
        <v>51.29</v>
      </c>
      <c r="E2908">
        <v>2.8860000000000001</v>
      </c>
      <c r="F2908">
        <v>211.06465990000001</v>
      </c>
      <c r="G2908">
        <v>8.1630000000000003</v>
      </c>
      <c r="N2908" s="8"/>
    </row>
    <row r="2909" spans="1:14" x14ac:dyDescent="0.25">
      <c r="A2909" s="8">
        <v>40543</v>
      </c>
      <c r="B2909">
        <v>672903.23</v>
      </c>
      <c r="C2909">
        <v>1</v>
      </c>
      <c r="D2909">
        <v>47.19</v>
      </c>
      <c r="E2909">
        <v>2.9430000000000001</v>
      </c>
      <c r="F2909">
        <v>211.064774</v>
      </c>
      <c r="G2909">
        <v>8.1630000000000003</v>
      </c>
      <c r="N2909" s="8"/>
    </row>
    <row r="2910" spans="1:14" x14ac:dyDescent="0.25">
      <c r="A2910" s="8">
        <v>40550</v>
      </c>
      <c r="B2910">
        <v>629152.06000000006</v>
      </c>
      <c r="C2910">
        <v>0</v>
      </c>
      <c r="D2910">
        <v>44.24</v>
      </c>
      <c r="E2910">
        <v>2.976</v>
      </c>
      <c r="F2910">
        <v>211.06488809999999</v>
      </c>
      <c r="G2910">
        <v>8.0280000000000005</v>
      </c>
      <c r="N2910" s="8"/>
    </row>
    <row r="2911" spans="1:14" x14ac:dyDescent="0.25">
      <c r="A2911" s="8">
        <v>40557</v>
      </c>
      <c r="B2911">
        <v>650789.13</v>
      </c>
      <c r="C2911">
        <v>0</v>
      </c>
      <c r="D2911">
        <v>34.14</v>
      </c>
      <c r="E2911">
        <v>2.9830000000000001</v>
      </c>
      <c r="F2911">
        <v>211.11767130000001</v>
      </c>
      <c r="G2911">
        <v>8.0280000000000005</v>
      </c>
      <c r="N2911" s="8"/>
    </row>
    <row r="2912" spans="1:14" x14ac:dyDescent="0.25">
      <c r="A2912" s="8">
        <v>40564</v>
      </c>
      <c r="B2912">
        <v>663941.73</v>
      </c>
      <c r="C2912">
        <v>0</v>
      </c>
      <c r="D2912">
        <v>42.72</v>
      </c>
      <c r="E2912">
        <v>3.016</v>
      </c>
      <c r="F2912">
        <v>211.48646909999999</v>
      </c>
      <c r="G2912">
        <v>8.0280000000000005</v>
      </c>
      <c r="N2912" s="8"/>
    </row>
    <row r="2913" spans="1:14" x14ac:dyDescent="0.25">
      <c r="A2913" s="8">
        <v>40571</v>
      </c>
      <c r="B2913">
        <v>649878.29</v>
      </c>
      <c r="C2913">
        <v>0</v>
      </c>
      <c r="D2913">
        <v>44.04</v>
      </c>
      <c r="E2913">
        <v>3.01</v>
      </c>
      <c r="F2913">
        <v>211.85526680000001</v>
      </c>
      <c r="G2913">
        <v>8.0280000000000005</v>
      </c>
      <c r="N2913" s="8"/>
    </row>
    <row r="2914" spans="1:14" x14ac:dyDescent="0.25">
      <c r="A2914" s="8">
        <v>40578</v>
      </c>
      <c r="B2914">
        <v>596218.24</v>
      </c>
      <c r="C2914">
        <v>0</v>
      </c>
      <c r="D2914">
        <v>36.33</v>
      </c>
      <c r="E2914">
        <v>2.9889999999999999</v>
      </c>
      <c r="F2914">
        <v>212.22406459999999</v>
      </c>
      <c r="G2914">
        <v>8.0280000000000005</v>
      </c>
      <c r="N2914" s="8"/>
    </row>
    <row r="2915" spans="1:14" x14ac:dyDescent="0.25">
      <c r="A2915" s="8">
        <v>40585</v>
      </c>
      <c r="B2915">
        <v>771908.51</v>
      </c>
      <c r="C2915">
        <v>1</v>
      </c>
      <c r="D2915">
        <v>34.61</v>
      </c>
      <c r="E2915">
        <v>3.0219999999999998</v>
      </c>
      <c r="F2915">
        <v>212.5928624</v>
      </c>
      <c r="G2915">
        <v>8.0280000000000005</v>
      </c>
      <c r="N2915" s="8"/>
    </row>
    <row r="2916" spans="1:14" x14ac:dyDescent="0.25">
      <c r="A2916" s="8">
        <v>40592</v>
      </c>
      <c r="B2916">
        <v>884701.92</v>
      </c>
      <c r="C2916">
        <v>0</v>
      </c>
      <c r="D2916">
        <v>59.87</v>
      </c>
      <c r="E2916">
        <v>3.0449999999999999</v>
      </c>
      <c r="F2916">
        <v>212.9033115</v>
      </c>
      <c r="G2916">
        <v>8.0280000000000005</v>
      </c>
      <c r="N2916" s="8"/>
    </row>
    <row r="2917" spans="1:14" x14ac:dyDescent="0.25">
      <c r="A2917" s="8">
        <v>40599</v>
      </c>
      <c r="B2917">
        <v>768313.85</v>
      </c>
      <c r="C2917">
        <v>0</v>
      </c>
      <c r="D2917">
        <v>61.27</v>
      </c>
      <c r="E2917">
        <v>3.0649999999999999</v>
      </c>
      <c r="F2917">
        <v>213.19042099999999</v>
      </c>
      <c r="G2917">
        <v>8.0280000000000005</v>
      </c>
      <c r="N2917" s="8"/>
    </row>
    <row r="2918" spans="1:14" x14ac:dyDescent="0.25">
      <c r="A2918" s="8">
        <v>40606</v>
      </c>
      <c r="B2918">
        <v>796277.72</v>
      </c>
      <c r="C2918">
        <v>0</v>
      </c>
      <c r="D2918">
        <v>59.52</v>
      </c>
      <c r="E2918">
        <v>3.2879999999999998</v>
      </c>
      <c r="F2918">
        <v>213.4775305</v>
      </c>
      <c r="G2918">
        <v>8.0280000000000005</v>
      </c>
      <c r="N2918" s="8"/>
    </row>
    <row r="2919" spans="1:14" x14ac:dyDescent="0.25">
      <c r="A2919" s="8">
        <v>40613</v>
      </c>
      <c r="B2919">
        <v>763479.9</v>
      </c>
      <c r="C2919">
        <v>0</v>
      </c>
      <c r="D2919">
        <v>54.69</v>
      </c>
      <c r="E2919">
        <v>3.4590000000000001</v>
      </c>
      <c r="F2919">
        <v>213.76464010000001</v>
      </c>
      <c r="G2919">
        <v>8.0280000000000005</v>
      </c>
      <c r="N2919" s="8"/>
    </row>
    <row r="2920" spans="1:14" x14ac:dyDescent="0.25">
      <c r="A2920" s="8">
        <v>40620</v>
      </c>
      <c r="B2920">
        <v>793569</v>
      </c>
      <c r="C2920">
        <v>0</v>
      </c>
      <c r="D2920">
        <v>63.26</v>
      </c>
      <c r="E2920">
        <v>3.488</v>
      </c>
      <c r="F2920">
        <v>214.01562379999999</v>
      </c>
      <c r="G2920">
        <v>8.0280000000000005</v>
      </c>
      <c r="N2920" s="8"/>
    </row>
    <row r="2921" spans="1:14" x14ac:dyDescent="0.25">
      <c r="A2921" s="8">
        <v>40627</v>
      </c>
      <c r="B2921">
        <v>753711.32</v>
      </c>
      <c r="C2921">
        <v>0</v>
      </c>
      <c r="D2921">
        <v>70.33</v>
      </c>
      <c r="E2921">
        <v>3.4729999999999999</v>
      </c>
      <c r="F2921">
        <v>214.25215729999999</v>
      </c>
      <c r="G2921">
        <v>8.0280000000000005</v>
      </c>
      <c r="N2921" s="8"/>
    </row>
    <row r="2922" spans="1:14" x14ac:dyDescent="0.25">
      <c r="A2922" s="8">
        <v>40634</v>
      </c>
      <c r="B2922">
        <v>732056.37</v>
      </c>
      <c r="C2922">
        <v>0</v>
      </c>
      <c r="D2922">
        <v>56.36</v>
      </c>
      <c r="E2922">
        <v>3.524</v>
      </c>
      <c r="F2922">
        <v>214.4886908</v>
      </c>
      <c r="G2922">
        <v>7.931</v>
      </c>
      <c r="N2922" s="8"/>
    </row>
    <row r="2923" spans="1:14" x14ac:dyDescent="0.25">
      <c r="A2923" s="8">
        <v>40641</v>
      </c>
      <c r="B2923">
        <v>744782.89</v>
      </c>
      <c r="C2923">
        <v>0</v>
      </c>
      <c r="D2923">
        <v>68.62</v>
      </c>
      <c r="E2923">
        <v>3.6219999999999999</v>
      </c>
      <c r="F2923">
        <v>214.72522420000001</v>
      </c>
      <c r="G2923">
        <v>7.931</v>
      </c>
      <c r="N2923" s="8"/>
    </row>
    <row r="2924" spans="1:14" x14ac:dyDescent="0.25">
      <c r="A2924" s="8">
        <v>40648</v>
      </c>
      <c r="B2924">
        <v>768390.05</v>
      </c>
      <c r="C2924">
        <v>0</v>
      </c>
      <c r="D2924">
        <v>71.010000000000005</v>
      </c>
      <c r="E2924">
        <v>3.7429999999999999</v>
      </c>
      <c r="F2924">
        <v>214.94206310000001</v>
      </c>
      <c r="G2924">
        <v>7.931</v>
      </c>
      <c r="N2924" s="8"/>
    </row>
    <row r="2925" spans="1:14" x14ac:dyDescent="0.25">
      <c r="A2925" s="8">
        <v>40655</v>
      </c>
      <c r="B2925">
        <v>801302.01</v>
      </c>
      <c r="C2925">
        <v>0</v>
      </c>
      <c r="D2925">
        <v>70.790000000000006</v>
      </c>
      <c r="E2925">
        <v>3.8069999999999999</v>
      </c>
      <c r="F2925">
        <v>215.10966569999999</v>
      </c>
      <c r="G2925">
        <v>7.931</v>
      </c>
      <c r="N2925" s="8"/>
    </row>
    <row r="2926" spans="1:14" x14ac:dyDescent="0.25">
      <c r="A2926" s="8">
        <v>40662</v>
      </c>
      <c r="B2926">
        <v>783250.75</v>
      </c>
      <c r="C2926">
        <v>0</v>
      </c>
      <c r="D2926">
        <v>70.19</v>
      </c>
      <c r="E2926">
        <v>3.81</v>
      </c>
      <c r="F2926">
        <v>215.2772683</v>
      </c>
      <c r="G2926">
        <v>7.931</v>
      </c>
      <c r="N2926" s="8"/>
    </row>
    <row r="2927" spans="1:14" x14ac:dyDescent="0.25">
      <c r="A2927" s="8">
        <v>40669</v>
      </c>
      <c r="B2927">
        <v>718898.33</v>
      </c>
      <c r="C2927">
        <v>0</v>
      </c>
      <c r="D2927">
        <v>61.87</v>
      </c>
      <c r="E2927">
        <v>3.9060000000000001</v>
      </c>
      <c r="F2927">
        <v>215.44487090000001</v>
      </c>
      <c r="G2927">
        <v>7.931</v>
      </c>
      <c r="N2927" s="8"/>
    </row>
    <row r="2928" spans="1:14" x14ac:dyDescent="0.25">
      <c r="A2928" s="8">
        <v>40676</v>
      </c>
      <c r="B2928">
        <v>754236.7</v>
      </c>
      <c r="C2928">
        <v>0</v>
      </c>
      <c r="D2928">
        <v>75.040000000000006</v>
      </c>
      <c r="E2928">
        <v>3.899</v>
      </c>
      <c r="F2928">
        <v>215.61247349999999</v>
      </c>
      <c r="G2928">
        <v>7.931</v>
      </c>
      <c r="N2928" s="8"/>
    </row>
    <row r="2929" spans="1:14" x14ac:dyDescent="0.25">
      <c r="A2929" s="8">
        <v>40683</v>
      </c>
      <c r="B2929">
        <v>744836.56</v>
      </c>
      <c r="C2929">
        <v>0</v>
      </c>
      <c r="D2929">
        <v>68.36</v>
      </c>
      <c r="E2929">
        <v>3.907</v>
      </c>
      <c r="F2929">
        <v>215.38347780000001</v>
      </c>
      <c r="G2929">
        <v>7.931</v>
      </c>
      <c r="N2929" s="8"/>
    </row>
    <row r="2930" spans="1:14" x14ac:dyDescent="0.25">
      <c r="A2930" s="8">
        <v>40690</v>
      </c>
      <c r="B2930">
        <v>744389.81</v>
      </c>
      <c r="C2930">
        <v>0</v>
      </c>
      <c r="D2930">
        <v>76.86</v>
      </c>
      <c r="E2930">
        <v>3.786</v>
      </c>
      <c r="F2930">
        <v>215.15448219999999</v>
      </c>
      <c r="G2930">
        <v>7.931</v>
      </c>
      <c r="N2930" s="8"/>
    </row>
    <row r="2931" spans="1:14" x14ac:dyDescent="0.25">
      <c r="A2931" s="8">
        <v>40697</v>
      </c>
      <c r="B2931">
        <v>773878.58</v>
      </c>
      <c r="C2931">
        <v>0</v>
      </c>
      <c r="D2931">
        <v>83.82</v>
      </c>
      <c r="E2931">
        <v>3.6989999999999998</v>
      </c>
      <c r="F2931">
        <v>214.92548650000001</v>
      </c>
      <c r="G2931">
        <v>7.931</v>
      </c>
      <c r="N2931" s="8"/>
    </row>
    <row r="2932" spans="1:14" x14ac:dyDescent="0.25">
      <c r="A2932" s="8">
        <v>40704</v>
      </c>
      <c r="B2932">
        <v>794397.89</v>
      </c>
      <c r="C2932">
        <v>0</v>
      </c>
      <c r="D2932">
        <v>84.71</v>
      </c>
      <c r="E2932">
        <v>3.6480000000000001</v>
      </c>
      <c r="F2932">
        <v>214.69649079999999</v>
      </c>
      <c r="G2932">
        <v>7.931</v>
      </c>
      <c r="N2932" s="8"/>
    </row>
    <row r="2933" spans="1:14" x14ac:dyDescent="0.25">
      <c r="A2933" s="8">
        <v>40711</v>
      </c>
      <c r="B2933">
        <v>823220.43</v>
      </c>
      <c r="C2933">
        <v>0</v>
      </c>
      <c r="D2933">
        <v>87.54</v>
      </c>
      <c r="E2933">
        <v>3.637</v>
      </c>
      <c r="F2933">
        <v>214.65135380000001</v>
      </c>
      <c r="G2933">
        <v>7.931</v>
      </c>
      <c r="N2933" s="8"/>
    </row>
    <row r="2934" spans="1:14" x14ac:dyDescent="0.25">
      <c r="A2934" s="8">
        <v>40718</v>
      </c>
      <c r="B2934">
        <v>771298.98</v>
      </c>
      <c r="C2934">
        <v>0</v>
      </c>
      <c r="D2934">
        <v>85.72</v>
      </c>
      <c r="E2934">
        <v>3.5939999999999999</v>
      </c>
      <c r="F2934">
        <v>214.74411079999999</v>
      </c>
      <c r="G2934">
        <v>7.931</v>
      </c>
      <c r="N2934" s="8"/>
    </row>
    <row r="2935" spans="1:14" x14ac:dyDescent="0.25">
      <c r="A2935" s="8">
        <v>40725</v>
      </c>
      <c r="B2935">
        <v>784639.12</v>
      </c>
      <c r="C2935">
        <v>0</v>
      </c>
      <c r="D2935">
        <v>87.57</v>
      </c>
      <c r="E2935">
        <v>3.524</v>
      </c>
      <c r="F2935">
        <v>214.83686779999999</v>
      </c>
      <c r="G2935">
        <v>7.8520000000000003</v>
      </c>
      <c r="N2935" s="8"/>
    </row>
    <row r="2936" spans="1:14" x14ac:dyDescent="0.25">
      <c r="A2936" s="8">
        <v>40732</v>
      </c>
      <c r="B2936">
        <v>734099.4</v>
      </c>
      <c r="C2936">
        <v>0</v>
      </c>
      <c r="D2936">
        <v>89.16</v>
      </c>
      <c r="E2936">
        <v>3.48</v>
      </c>
      <c r="F2936">
        <v>214.92962489999999</v>
      </c>
      <c r="G2936">
        <v>7.8520000000000003</v>
      </c>
      <c r="N2936" s="8"/>
    </row>
    <row r="2937" spans="1:14" x14ac:dyDescent="0.25">
      <c r="A2937" s="8">
        <v>40739</v>
      </c>
      <c r="B2937">
        <v>728311.15</v>
      </c>
      <c r="C2937">
        <v>0</v>
      </c>
      <c r="D2937">
        <v>91.05</v>
      </c>
      <c r="E2937">
        <v>3.5750000000000002</v>
      </c>
      <c r="F2937">
        <v>215.01344259999999</v>
      </c>
      <c r="G2937">
        <v>7.8520000000000003</v>
      </c>
      <c r="N2937" s="8"/>
    </row>
    <row r="2938" spans="1:14" x14ac:dyDescent="0.25">
      <c r="A2938" s="8">
        <v>40746</v>
      </c>
      <c r="B2938">
        <v>784490.67</v>
      </c>
      <c r="C2938">
        <v>0</v>
      </c>
      <c r="D2938">
        <v>90.27</v>
      </c>
      <c r="E2938">
        <v>3.6509999999999998</v>
      </c>
      <c r="F2938">
        <v>215.0749122</v>
      </c>
      <c r="G2938">
        <v>7.8520000000000003</v>
      </c>
      <c r="N2938" s="8"/>
    </row>
    <row r="2939" spans="1:14" x14ac:dyDescent="0.25">
      <c r="A2939" s="8">
        <v>40753</v>
      </c>
      <c r="B2939">
        <v>751167.12</v>
      </c>
      <c r="C2939">
        <v>0</v>
      </c>
      <c r="D2939">
        <v>91.56</v>
      </c>
      <c r="E2939">
        <v>3.6819999999999999</v>
      </c>
      <c r="F2939">
        <v>215.1363819</v>
      </c>
      <c r="G2939">
        <v>7.8520000000000003</v>
      </c>
      <c r="N2939" s="8"/>
    </row>
    <row r="2940" spans="1:14" x14ac:dyDescent="0.25">
      <c r="A2940" s="8">
        <v>40760</v>
      </c>
      <c r="B2940">
        <v>783614.89</v>
      </c>
      <c r="C2940">
        <v>0</v>
      </c>
      <c r="D2940">
        <v>94.22</v>
      </c>
      <c r="E2940">
        <v>3.6840000000000002</v>
      </c>
      <c r="F2940">
        <v>215.19785150000001</v>
      </c>
      <c r="G2940">
        <v>7.8520000000000003</v>
      </c>
      <c r="N2940" s="8"/>
    </row>
    <row r="2941" spans="1:14" x14ac:dyDescent="0.25">
      <c r="A2941" s="8">
        <v>40767</v>
      </c>
      <c r="B2941">
        <v>776933.37</v>
      </c>
      <c r="C2941">
        <v>0</v>
      </c>
      <c r="D2941">
        <v>92.32</v>
      </c>
      <c r="E2941">
        <v>3.6379999999999999</v>
      </c>
      <c r="F2941">
        <v>215.25932109999999</v>
      </c>
      <c r="G2941">
        <v>7.8520000000000003</v>
      </c>
      <c r="N2941" s="8"/>
    </row>
    <row r="2942" spans="1:14" x14ac:dyDescent="0.25">
      <c r="A2942" s="8">
        <v>40774</v>
      </c>
      <c r="B2942">
        <v>855546.5</v>
      </c>
      <c r="C2942">
        <v>0</v>
      </c>
      <c r="D2942">
        <v>90.11</v>
      </c>
      <c r="E2942">
        <v>3.5539999999999998</v>
      </c>
      <c r="F2942">
        <v>215.3229307</v>
      </c>
      <c r="G2942">
        <v>7.8520000000000003</v>
      </c>
      <c r="N2942" s="8"/>
    </row>
    <row r="2943" spans="1:14" x14ac:dyDescent="0.25">
      <c r="A2943" s="8">
        <v>40781</v>
      </c>
      <c r="B2943">
        <v>821127.53</v>
      </c>
      <c r="C2943">
        <v>0</v>
      </c>
      <c r="D2943">
        <v>92.07</v>
      </c>
      <c r="E2943">
        <v>3.5230000000000001</v>
      </c>
      <c r="F2943">
        <v>215.386897</v>
      </c>
      <c r="G2943">
        <v>7.8520000000000003</v>
      </c>
      <c r="N2943" s="8"/>
    </row>
    <row r="2944" spans="1:14" x14ac:dyDescent="0.25">
      <c r="A2944" s="8">
        <v>40788</v>
      </c>
      <c r="B2944">
        <v>705557.8</v>
      </c>
      <c r="C2944">
        <v>0</v>
      </c>
      <c r="D2944">
        <v>91.94</v>
      </c>
      <c r="E2944">
        <v>3.5329999999999999</v>
      </c>
      <c r="F2944">
        <v>215.45086319999999</v>
      </c>
      <c r="G2944">
        <v>7.8520000000000003</v>
      </c>
      <c r="N2944" s="8"/>
    </row>
    <row r="2945" spans="1:14" x14ac:dyDescent="0.25">
      <c r="A2945" s="8">
        <v>40795</v>
      </c>
      <c r="B2945">
        <v>653989.65</v>
      </c>
      <c r="C2945">
        <v>1</v>
      </c>
      <c r="D2945">
        <v>78.87</v>
      </c>
      <c r="E2945">
        <v>3.5459999999999998</v>
      </c>
      <c r="F2945">
        <v>215.51482949999999</v>
      </c>
      <c r="G2945">
        <v>7.8520000000000003</v>
      </c>
      <c r="N2945" s="8"/>
    </row>
    <row r="2946" spans="1:14" x14ac:dyDescent="0.25">
      <c r="A2946" s="8">
        <v>40802</v>
      </c>
      <c r="B2946">
        <v>653525.84</v>
      </c>
      <c r="C2946">
        <v>0</v>
      </c>
      <c r="D2946">
        <v>80.62</v>
      </c>
      <c r="E2946">
        <v>3.5259999999999998</v>
      </c>
      <c r="F2946">
        <v>215.6944378</v>
      </c>
      <c r="G2946">
        <v>7.8520000000000003</v>
      </c>
      <c r="N2946" s="8"/>
    </row>
    <row r="2947" spans="1:14" x14ac:dyDescent="0.25">
      <c r="A2947" s="8">
        <v>40809</v>
      </c>
      <c r="B2947">
        <v>681913.29</v>
      </c>
      <c r="C2947">
        <v>0</v>
      </c>
      <c r="D2947">
        <v>75.680000000000007</v>
      </c>
      <c r="E2947">
        <v>3.4670000000000001</v>
      </c>
      <c r="F2947">
        <v>216.02823559999999</v>
      </c>
      <c r="G2947">
        <v>7.8520000000000003</v>
      </c>
      <c r="N2947" s="8"/>
    </row>
    <row r="2948" spans="1:14" x14ac:dyDescent="0.25">
      <c r="A2948" s="8">
        <v>40816</v>
      </c>
      <c r="B2948">
        <v>651970.48</v>
      </c>
      <c r="C2948">
        <v>0</v>
      </c>
      <c r="D2948">
        <v>78.91</v>
      </c>
      <c r="E2948">
        <v>3.355</v>
      </c>
      <c r="F2948">
        <v>216.36203330000001</v>
      </c>
      <c r="G2948">
        <v>7.8520000000000003</v>
      </c>
      <c r="N2948" s="8"/>
    </row>
    <row r="2949" spans="1:14" x14ac:dyDescent="0.25">
      <c r="A2949" s="8">
        <v>40823</v>
      </c>
      <c r="B2949">
        <v>663452.46</v>
      </c>
      <c r="C2949">
        <v>0</v>
      </c>
      <c r="D2949">
        <v>71.64</v>
      </c>
      <c r="E2949">
        <v>3.2850000000000001</v>
      </c>
      <c r="F2949">
        <v>216.69583109999999</v>
      </c>
      <c r="G2949">
        <v>7.4409999999999998</v>
      </c>
      <c r="N2949" s="8"/>
    </row>
    <row r="2950" spans="1:14" x14ac:dyDescent="0.25">
      <c r="A2950" s="8">
        <v>40830</v>
      </c>
      <c r="B2950">
        <v>671379.44</v>
      </c>
      <c r="C2950">
        <v>0</v>
      </c>
      <c r="D2950">
        <v>69.790000000000006</v>
      </c>
      <c r="E2950">
        <v>3.274</v>
      </c>
      <c r="F2950">
        <v>217.0048261</v>
      </c>
      <c r="G2950">
        <v>7.4409999999999998</v>
      </c>
      <c r="N2950" s="8"/>
    </row>
    <row r="2951" spans="1:14" x14ac:dyDescent="0.25">
      <c r="A2951" s="8">
        <v>40837</v>
      </c>
      <c r="B2951">
        <v>729036.06</v>
      </c>
      <c r="C2951">
        <v>0</v>
      </c>
      <c r="D2951">
        <v>65.16</v>
      </c>
      <c r="E2951">
        <v>3.3530000000000002</v>
      </c>
      <c r="F2951">
        <v>217.1650042</v>
      </c>
      <c r="G2951">
        <v>7.4409999999999998</v>
      </c>
      <c r="N2951" s="8"/>
    </row>
    <row r="2952" spans="1:14" x14ac:dyDescent="0.25">
      <c r="A2952" s="8">
        <v>40844</v>
      </c>
      <c r="B2952">
        <v>738812</v>
      </c>
      <c r="C2952">
        <v>0</v>
      </c>
      <c r="D2952">
        <v>65.459999999999994</v>
      </c>
      <c r="E2952">
        <v>3.3719999999999999</v>
      </c>
      <c r="F2952">
        <v>217.32518239999999</v>
      </c>
      <c r="G2952">
        <v>7.4409999999999998</v>
      </c>
      <c r="N2952" s="8"/>
    </row>
    <row r="2953" spans="1:14" x14ac:dyDescent="0.25">
      <c r="A2953" s="8">
        <v>40851</v>
      </c>
      <c r="B2953">
        <v>767358.37</v>
      </c>
      <c r="C2953">
        <v>0</v>
      </c>
      <c r="D2953">
        <v>56.01</v>
      </c>
      <c r="E2953">
        <v>3.3319999999999999</v>
      </c>
      <c r="F2953">
        <v>217.48536050000001</v>
      </c>
      <c r="G2953">
        <v>7.4409999999999998</v>
      </c>
      <c r="N2953" s="8"/>
    </row>
    <row r="2954" spans="1:14" x14ac:dyDescent="0.25">
      <c r="A2954" s="8">
        <v>40858</v>
      </c>
      <c r="B2954">
        <v>757369.87</v>
      </c>
      <c r="C2954">
        <v>0</v>
      </c>
      <c r="D2954">
        <v>59.8</v>
      </c>
      <c r="E2954">
        <v>3.2970000000000002</v>
      </c>
      <c r="F2954">
        <v>217.6455387</v>
      </c>
      <c r="G2954">
        <v>7.4409999999999998</v>
      </c>
      <c r="N2954" s="8"/>
    </row>
    <row r="2955" spans="1:14" x14ac:dyDescent="0.25">
      <c r="A2955" s="8">
        <v>40865</v>
      </c>
      <c r="B2955">
        <v>737014.09</v>
      </c>
      <c r="C2955">
        <v>0</v>
      </c>
      <c r="D2955">
        <v>61.9</v>
      </c>
      <c r="E2955">
        <v>3.3079999999999998</v>
      </c>
      <c r="F2955">
        <v>217.8670218</v>
      </c>
      <c r="G2955">
        <v>7.4409999999999998</v>
      </c>
      <c r="N2955" s="8"/>
    </row>
    <row r="2956" spans="1:14" x14ac:dyDescent="0.25">
      <c r="A2956" s="8">
        <v>40872</v>
      </c>
      <c r="B2956">
        <v>1219263.3999999999</v>
      </c>
      <c r="C2956">
        <v>1</v>
      </c>
      <c r="D2956">
        <v>56.43</v>
      </c>
      <c r="E2956">
        <v>3.2360000000000002</v>
      </c>
      <c r="F2956">
        <v>218.11302689999999</v>
      </c>
      <c r="G2956">
        <v>7.4409999999999998</v>
      </c>
      <c r="N2956" s="8"/>
    </row>
    <row r="2957" spans="1:14" x14ac:dyDescent="0.25">
      <c r="A2957" s="8">
        <v>40879</v>
      </c>
      <c r="B2957">
        <v>793184.25</v>
      </c>
      <c r="C2957">
        <v>0</v>
      </c>
      <c r="D2957">
        <v>48.72</v>
      </c>
      <c r="E2957">
        <v>3.1720000000000002</v>
      </c>
      <c r="F2957">
        <v>218.35903189999999</v>
      </c>
      <c r="G2957">
        <v>7.4409999999999998</v>
      </c>
      <c r="N2957" s="8"/>
    </row>
    <row r="2958" spans="1:14" x14ac:dyDescent="0.25">
      <c r="A2958" s="8">
        <v>40886</v>
      </c>
      <c r="B2958">
        <v>897747.13</v>
      </c>
      <c r="C2958">
        <v>0</v>
      </c>
      <c r="D2958">
        <v>41.44</v>
      </c>
      <c r="E2958">
        <v>3.1579999999999999</v>
      </c>
      <c r="F2958">
        <v>218.60503700000001</v>
      </c>
      <c r="G2958">
        <v>7.4409999999999998</v>
      </c>
      <c r="N2958" s="8"/>
    </row>
    <row r="2959" spans="1:14" x14ac:dyDescent="0.25">
      <c r="A2959" s="8">
        <v>40893</v>
      </c>
      <c r="B2959">
        <v>1027584.51</v>
      </c>
      <c r="C2959">
        <v>0</v>
      </c>
      <c r="D2959">
        <v>50.56</v>
      </c>
      <c r="E2959">
        <v>3.1589999999999998</v>
      </c>
      <c r="F2959">
        <v>218.8217928</v>
      </c>
      <c r="G2959">
        <v>7.4409999999999998</v>
      </c>
      <c r="N2959" s="8"/>
    </row>
    <row r="2960" spans="1:14" x14ac:dyDescent="0.25">
      <c r="A2960" s="8">
        <v>40900</v>
      </c>
      <c r="B2960">
        <v>1384552.17</v>
      </c>
      <c r="C2960">
        <v>0</v>
      </c>
      <c r="D2960">
        <v>46.54</v>
      </c>
      <c r="E2960">
        <v>3.1120000000000001</v>
      </c>
      <c r="F2960">
        <v>218.9995495</v>
      </c>
      <c r="G2960">
        <v>7.4409999999999998</v>
      </c>
      <c r="N2960" s="8"/>
    </row>
    <row r="2961" spans="1:14" x14ac:dyDescent="0.25">
      <c r="A2961" s="8">
        <v>40907</v>
      </c>
      <c r="B2961">
        <v>804362.36</v>
      </c>
      <c r="C2961">
        <v>1</v>
      </c>
      <c r="D2961">
        <v>45.16</v>
      </c>
      <c r="E2961">
        <v>3.129</v>
      </c>
      <c r="F2961">
        <v>219.1773063</v>
      </c>
      <c r="G2961">
        <v>7.4409999999999998</v>
      </c>
      <c r="N2961" s="8"/>
    </row>
    <row r="2962" spans="1:14" x14ac:dyDescent="0.25">
      <c r="A2962" s="8">
        <v>40914</v>
      </c>
      <c r="B2962">
        <v>640181.86</v>
      </c>
      <c r="C2962">
        <v>0</v>
      </c>
      <c r="D2962">
        <v>48.1</v>
      </c>
      <c r="E2962">
        <v>3.157</v>
      </c>
      <c r="F2962">
        <v>219.355063</v>
      </c>
      <c r="G2962">
        <v>7.0570000000000004</v>
      </c>
      <c r="N2962" s="8"/>
    </row>
    <row r="2963" spans="1:14" x14ac:dyDescent="0.25">
      <c r="A2963" s="8">
        <v>40921</v>
      </c>
      <c r="B2963">
        <v>631181.25</v>
      </c>
      <c r="C2963">
        <v>0</v>
      </c>
      <c r="D2963">
        <v>45</v>
      </c>
      <c r="E2963">
        <v>3.2610000000000001</v>
      </c>
      <c r="F2963">
        <v>219.5328198</v>
      </c>
      <c r="G2963">
        <v>7.0570000000000004</v>
      </c>
      <c r="N2963" s="8"/>
    </row>
    <row r="2964" spans="1:14" x14ac:dyDescent="0.25">
      <c r="A2964" s="8">
        <v>40928</v>
      </c>
      <c r="B2964">
        <v>651178.19999999995</v>
      </c>
      <c r="C2964">
        <v>0</v>
      </c>
      <c r="D2964">
        <v>52.21</v>
      </c>
      <c r="E2964">
        <v>3.2679999999999998</v>
      </c>
      <c r="F2964">
        <v>219.6258417</v>
      </c>
      <c r="G2964">
        <v>7.0570000000000004</v>
      </c>
      <c r="N2964" s="8"/>
    </row>
    <row r="2965" spans="1:14" x14ac:dyDescent="0.25">
      <c r="A2965" s="8">
        <v>40935</v>
      </c>
      <c r="B2965">
        <v>611258.71</v>
      </c>
      <c r="C2965">
        <v>0</v>
      </c>
      <c r="D2965">
        <v>50.79</v>
      </c>
      <c r="E2965">
        <v>3.29</v>
      </c>
      <c r="F2965">
        <v>219.71886359999999</v>
      </c>
      <c r="G2965">
        <v>7.0570000000000004</v>
      </c>
      <c r="N2965" s="8"/>
    </row>
    <row r="2966" spans="1:14" x14ac:dyDescent="0.25">
      <c r="A2966" s="8">
        <v>40942</v>
      </c>
      <c r="B2966">
        <v>680725.43</v>
      </c>
      <c r="C2966">
        <v>0</v>
      </c>
      <c r="D2966">
        <v>55.83</v>
      </c>
      <c r="E2966">
        <v>3.36</v>
      </c>
      <c r="F2966">
        <v>219.81188539999999</v>
      </c>
      <c r="G2966">
        <v>7.0570000000000004</v>
      </c>
      <c r="N2966" s="8"/>
    </row>
    <row r="2967" spans="1:14" x14ac:dyDescent="0.25">
      <c r="A2967" s="8">
        <v>40949</v>
      </c>
      <c r="B2967">
        <v>770652.79</v>
      </c>
      <c r="C2967">
        <v>1</v>
      </c>
      <c r="D2967">
        <v>46.52</v>
      </c>
      <c r="E2967">
        <v>3.4089999999999998</v>
      </c>
      <c r="F2967">
        <v>219.90490729999999</v>
      </c>
      <c r="G2967">
        <v>7.0570000000000004</v>
      </c>
      <c r="N2967" s="8"/>
    </row>
    <row r="2968" spans="1:14" x14ac:dyDescent="0.25">
      <c r="A2968" s="8">
        <v>40956</v>
      </c>
      <c r="B2968">
        <v>834663.52</v>
      </c>
      <c r="C2968">
        <v>0</v>
      </c>
      <c r="D2968">
        <v>45.03</v>
      </c>
      <c r="E2968">
        <v>3.51</v>
      </c>
      <c r="F2968">
        <v>220.06519929999999</v>
      </c>
      <c r="G2968">
        <v>7.0570000000000004</v>
      </c>
      <c r="N2968" s="8"/>
    </row>
    <row r="2969" spans="1:14" x14ac:dyDescent="0.25">
      <c r="A2969" s="8">
        <v>40963</v>
      </c>
      <c r="B2969">
        <v>747099.07</v>
      </c>
      <c r="C2969">
        <v>0</v>
      </c>
      <c r="D2969">
        <v>54.81</v>
      </c>
      <c r="E2969">
        <v>3.5550000000000002</v>
      </c>
      <c r="F2969">
        <v>220.27594400000001</v>
      </c>
      <c r="G2969">
        <v>7.0570000000000004</v>
      </c>
      <c r="N2969" s="8"/>
    </row>
    <row r="2970" spans="1:14" x14ac:dyDescent="0.25">
      <c r="A2970" s="8">
        <v>40970</v>
      </c>
      <c r="B2970">
        <v>764385.4</v>
      </c>
      <c r="C2970">
        <v>0</v>
      </c>
      <c r="D2970">
        <v>59.3</v>
      </c>
      <c r="E2970">
        <v>3.63</v>
      </c>
      <c r="F2970">
        <v>220.48668860000001</v>
      </c>
      <c r="G2970">
        <v>7.0570000000000004</v>
      </c>
      <c r="N2970" s="8"/>
    </row>
    <row r="2971" spans="1:14" x14ac:dyDescent="0.25">
      <c r="A2971" s="8">
        <v>40977</v>
      </c>
      <c r="B2971">
        <v>755084.4</v>
      </c>
      <c r="C2971">
        <v>0</v>
      </c>
      <c r="D2971">
        <v>57.16</v>
      </c>
      <c r="E2971">
        <v>3.669</v>
      </c>
      <c r="F2971">
        <v>220.69743320000001</v>
      </c>
      <c r="G2971">
        <v>7.0570000000000004</v>
      </c>
      <c r="N2971" s="8"/>
    </row>
    <row r="2972" spans="1:14" x14ac:dyDescent="0.25">
      <c r="A2972" s="8">
        <v>40984</v>
      </c>
      <c r="B2972">
        <v>767338.32</v>
      </c>
      <c r="C2972">
        <v>0</v>
      </c>
      <c r="D2972">
        <v>63.39</v>
      </c>
      <c r="E2972">
        <v>3.734</v>
      </c>
      <c r="F2972">
        <v>220.84984679999999</v>
      </c>
      <c r="G2972">
        <v>7.0570000000000004</v>
      </c>
      <c r="N2972" s="8"/>
    </row>
    <row r="2973" spans="1:14" x14ac:dyDescent="0.25">
      <c r="A2973" s="8">
        <v>40991</v>
      </c>
      <c r="B2973">
        <v>729759.97</v>
      </c>
      <c r="C2973">
        <v>0</v>
      </c>
      <c r="D2973">
        <v>62.96</v>
      </c>
      <c r="E2973">
        <v>3.7869999999999999</v>
      </c>
      <c r="F2973">
        <v>220.92448580000001</v>
      </c>
      <c r="G2973">
        <v>7.0570000000000004</v>
      </c>
      <c r="N2973" s="8"/>
    </row>
    <row r="2974" spans="1:14" x14ac:dyDescent="0.25">
      <c r="A2974" s="8">
        <v>40998</v>
      </c>
      <c r="B2974">
        <v>724798.76</v>
      </c>
      <c r="C2974">
        <v>0</v>
      </c>
      <c r="D2974">
        <v>67.87</v>
      </c>
      <c r="E2974">
        <v>3.8450000000000002</v>
      </c>
      <c r="F2974">
        <v>220.9991248</v>
      </c>
      <c r="G2974">
        <v>7.0570000000000004</v>
      </c>
      <c r="N2974" s="8"/>
    </row>
    <row r="2975" spans="1:14" x14ac:dyDescent="0.25">
      <c r="A2975" s="8">
        <v>41005</v>
      </c>
      <c r="B2975">
        <v>761956.58</v>
      </c>
      <c r="C2975">
        <v>0</v>
      </c>
      <c r="D2975">
        <v>69.02</v>
      </c>
      <c r="E2975">
        <v>3.891</v>
      </c>
      <c r="F2975">
        <v>221.07376379999999</v>
      </c>
      <c r="G2975">
        <v>6.891</v>
      </c>
      <c r="N2975" s="8"/>
    </row>
    <row r="2976" spans="1:14" x14ac:dyDescent="0.25">
      <c r="A2976" s="8">
        <v>41012</v>
      </c>
      <c r="B2976">
        <v>769319.04</v>
      </c>
      <c r="C2976">
        <v>0</v>
      </c>
      <c r="D2976">
        <v>69.03</v>
      </c>
      <c r="E2976">
        <v>3.891</v>
      </c>
      <c r="F2976">
        <v>221.14840280000001</v>
      </c>
      <c r="G2976">
        <v>6.891</v>
      </c>
      <c r="N2976" s="8"/>
    </row>
    <row r="2977" spans="1:14" x14ac:dyDescent="0.25">
      <c r="A2977" s="8">
        <v>41019</v>
      </c>
      <c r="B2977">
        <v>734858.91</v>
      </c>
      <c r="C2977">
        <v>0</v>
      </c>
      <c r="D2977">
        <v>66.97</v>
      </c>
      <c r="E2977">
        <v>3.8769999999999998</v>
      </c>
      <c r="F2977">
        <v>221.20210739999999</v>
      </c>
      <c r="G2977">
        <v>6.891</v>
      </c>
      <c r="N2977" s="8"/>
    </row>
    <row r="2978" spans="1:14" x14ac:dyDescent="0.25">
      <c r="A2978" s="8">
        <v>41026</v>
      </c>
      <c r="B2978">
        <v>674829.58</v>
      </c>
      <c r="C2978">
        <v>0</v>
      </c>
      <c r="D2978">
        <v>69.209999999999994</v>
      </c>
      <c r="E2978">
        <v>3.8140000000000001</v>
      </c>
      <c r="F2978">
        <v>221.25581199999999</v>
      </c>
      <c r="G2978">
        <v>6.891</v>
      </c>
      <c r="N2978" s="8"/>
    </row>
    <row r="2979" spans="1:14" x14ac:dyDescent="0.25">
      <c r="A2979" s="8">
        <v>41033</v>
      </c>
      <c r="B2979">
        <v>697645.32</v>
      </c>
      <c r="C2979">
        <v>0</v>
      </c>
      <c r="D2979">
        <v>77.53</v>
      </c>
      <c r="E2979">
        <v>3.7490000000000001</v>
      </c>
      <c r="F2979">
        <v>221.30951659999999</v>
      </c>
      <c r="G2979">
        <v>6.891</v>
      </c>
      <c r="N2979" s="8"/>
    </row>
    <row r="2980" spans="1:14" x14ac:dyDescent="0.25">
      <c r="A2980" s="8">
        <v>41040</v>
      </c>
      <c r="B2980">
        <v>649945.54</v>
      </c>
      <c r="C2980">
        <v>0</v>
      </c>
      <c r="D2980">
        <v>74.14</v>
      </c>
      <c r="E2980">
        <v>3.6880000000000002</v>
      </c>
      <c r="F2980">
        <v>221.3632212</v>
      </c>
      <c r="G2980">
        <v>6.891</v>
      </c>
      <c r="N2980" s="8"/>
    </row>
    <row r="2981" spans="1:14" x14ac:dyDescent="0.25">
      <c r="A2981" s="8">
        <v>41047</v>
      </c>
      <c r="B2981">
        <v>700554.16</v>
      </c>
      <c r="C2981">
        <v>0</v>
      </c>
      <c r="D2981">
        <v>72.42</v>
      </c>
      <c r="E2981">
        <v>3.63</v>
      </c>
      <c r="F2981">
        <v>221.38033100000001</v>
      </c>
      <c r="G2981">
        <v>6.891</v>
      </c>
      <c r="N2981" s="8"/>
    </row>
    <row r="2982" spans="1:14" x14ac:dyDescent="0.25">
      <c r="A2982" s="8">
        <v>41054</v>
      </c>
      <c r="B2982">
        <v>722891.24</v>
      </c>
      <c r="C2982">
        <v>0</v>
      </c>
      <c r="D2982">
        <v>79.489999999999995</v>
      </c>
      <c r="E2982">
        <v>3.5609999999999999</v>
      </c>
      <c r="F2982">
        <v>221.3828029</v>
      </c>
      <c r="G2982">
        <v>6.891</v>
      </c>
      <c r="N2982" s="8"/>
    </row>
    <row r="2983" spans="1:14" x14ac:dyDescent="0.25">
      <c r="A2983" s="8">
        <v>41061</v>
      </c>
      <c r="B2983">
        <v>695439.83</v>
      </c>
      <c r="C2983">
        <v>0</v>
      </c>
      <c r="D2983">
        <v>79.239999999999995</v>
      </c>
      <c r="E2983">
        <v>3.5009999999999999</v>
      </c>
      <c r="F2983">
        <v>221.38527479999999</v>
      </c>
      <c r="G2983">
        <v>6.891</v>
      </c>
      <c r="N2983" s="8"/>
    </row>
    <row r="2984" spans="1:14" x14ac:dyDescent="0.25">
      <c r="A2984" s="8">
        <v>41068</v>
      </c>
      <c r="B2984">
        <v>707895.72</v>
      </c>
      <c r="C2984">
        <v>0</v>
      </c>
      <c r="D2984">
        <v>79.47</v>
      </c>
      <c r="E2984">
        <v>3.452</v>
      </c>
      <c r="F2984">
        <v>221.38774670000001</v>
      </c>
      <c r="G2984">
        <v>6.891</v>
      </c>
      <c r="N2984" s="8"/>
    </row>
    <row r="2985" spans="1:14" x14ac:dyDescent="0.25">
      <c r="A2985" s="8">
        <v>41075</v>
      </c>
      <c r="B2985">
        <v>727049.04</v>
      </c>
      <c r="C2985">
        <v>0</v>
      </c>
      <c r="D2985">
        <v>81.510000000000005</v>
      </c>
      <c r="E2985">
        <v>3.3929999999999998</v>
      </c>
      <c r="F2985">
        <v>221.4009901</v>
      </c>
      <c r="G2985">
        <v>6.891</v>
      </c>
      <c r="N2985" s="8"/>
    </row>
    <row r="2986" spans="1:14" x14ac:dyDescent="0.25">
      <c r="A2986" s="8">
        <v>41082</v>
      </c>
      <c r="B2986">
        <v>735870</v>
      </c>
      <c r="C2986">
        <v>0</v>
      </c>
      <c r="D2986">
        <v>81.78</v>
      </c>
      <c r="E2986">
        <v>3.3460000000000001</v>
      </c>
      <c r="F2986">
        <v>221.44116220000001</v>
      </c>
      <c r="G2986">
        <v>6.891</v>
      </c>
      <c r="N2986" s="8"/>
    </row>
    <row r="2987" spans="1:14" x14ac:dyDescent="0.25">
      <c r="A2987" s="8">
        <v>41089</v>
      </c>
      <c r="B2987">
        <v>716341.39</v>
      </c>
      <c r="C2987">
        <v>0</v>
      </c>
      <c r="D2987">
        <v>88.05</v>
      </c>
      <c r="E2987">
        <v>3.286</v>
      </c>
      <c r="F2987">
        <v>221.48133429999999</v>
      </c>
      <c r="G2987">
        <v>6.891</v>
      </c>
      <c r="N2987" s="8"/>
    </row>
    <row r="2988" spans="1:14" x14ac:dyDescent="0.25">
      <c r="A2988" s="8">
        <v>41096</v>
      </c>
      <c r="B2988">
        <v>693013.59</v>
      </c>
      <c r="C2988">
        <v>0</v>
      </c>
      <c r="D2988">
        <v>85.26</v>
      </c>
      <c r="E2988">
        <v>3.2269999999999999</v>
      </c>
      <c r="F2988">
        <v>221.52150639999999</v>
      </c>
      <c r="G2988">
        <v>6.5650000000000004</v>
      </c>
      <c r="N2988" s="8"/>
    </row>
    <row r="2989" spans="1:14" x14ac:dyDescent="0.25">
      <c r="A2989" s="8">
        <v>41103</v>
      </c>
      <c r="B2989">
        <v>668132.36</v>
      </c>
      <c r="C2989">
        <v>0</v>
      </c>
      <c r="D2989">
        <v>82.51</v>
      </c>
      <c r="E2989">
        <v>3.2559999999999998</v>
      </c>
      <c r="F2989">
        <v>221.56167840000001</v>
      </c>
      <c r="G2989">
        <v>6.5650000000000004</v>
      </c>
      <c r="N2989" s="8"/>
    </row>
    <row r="2990" spans="1:14" x14ac:dyDescent="0.25">
      <c r="A2990" s="8">
        <v>41110</v>
      </c>
      <c r="B2990">
        <v>691200.33</v>
      </c>
      <c r="C2990">
        <v>0</v>
      </c>
      <c r="D2990">
        <v>84.25</v>
      </c>
      <c r="E2990">
        <v>3.3109999999999999</v>
      </c>
      <c r="F2990">
        <v>221.57011230000001</v>
      </c>
      <c r="G2990">
        <v>6.5650000000000004</v>
      </c>
      <c r="N2990" s="8"/>
    </row>
    <row r="2991" spans="1:14" x14ac:dyDescent="0.25">
      <c r="A2991" s="8">
        <v>41117</v>
      </c>
      <c r="B2991">
        <v>677789.14</v>
      </c>
      <c r="C2991">
        <v>0</v>
      </c>
      <c r="D2991">
        <v>88.09</v>
      </c>
      <c r="E2991">
        <v>3.407</v>
      </c>
      <c r="F2991">
        <v>221.57854610000001</v>
      </c>
      <c r="G2991">
        <v>6.5650000000000004</v>
      </c>
      <c r="N2991" s="8"/>
    </row>
    <row r="2992" spans="1:14" x14ac:dyDescent="0.25">
      <c r="A2992" s="8">
        <v>41124</v>
      </c>
      <c r="B2992">
        <v>693785.85</v>
      </c>
      <c r="C2992">
        <v>0</v>
      </c>
      <c r="D2992">
        <v>91.57</v>
      </c>
      <c r="E2992">
        <v>3.4169999999999998</v>
      </c>
      <c r="F2992">
        <v>221.58697989999999</v>
      </c>
      <c r="G2992">
        <v>6.5650000000000004</v>
      </c>
      <c r="N2992" s="8"/>
    </row>
    <row r="2993" spans="1:14" x14ac:dyDescent="0.25">
      <c r="A2993" s="8">
        <v>41131</v>
      </c>
      <c r="B2993">
        <v>700272.01</v>
      </c>
      <c r="C2993">
        <v>0</v>
      </c>
      <c r="D2993">
        <v>89.57</v>
      </c>
      <c r="E2993">
        <v>3.4940000000000002</v>
      </c>
      <c r="F2993">
        <v>221.59541379999999</v>
      </c>
      <c r="G2993">
        <v>6.5650000000000004</v>
      </c>
      <c r="N2993" s="8"/>
    </row>
    <row r="2994" spans="1:14" x14ac:dyDescent="0.25">
      <c r="A2994" s="8">
        <v>41138</v>
      </c>
      <c r="B2994">
        <v>751963.81</v>
      </c>
      <c r="C2994">
        <v>0</v>
      </c>
      <c r="D2994">
        <v>85.55</v>
      </c>
      <c r="E2994">
        <v>3.5710000000000002</v>
      </c>
      <c r="F2994">
        <v>221.67514589999999</v>
      </c>
      <c r="G2994">
        <v>6.5650000000000004</v>
      </c>
      <c r="N2994" s="8"/>
    </row>
    <row r="2995" spans="1:14" x14ac:dyDescent="0.25">
      <c r="A2995" s="8">
        <v>41145</v>
      </c>
      <c r="B2995">
        <v>802003.61</v>
      </c>
      <c r="C2995">
        <v>0</v>
      </c>
      <c r="D2995">
        <v>77.72</v>
      </c>
      <c r="E2995">
        <v>3.62</v>
      </c>
      <c r="F2995">
        <v>221.8083518</v>
      </c>
      <c r="G2995">
        <v>6.5650000000000004</v>
      </c>
      <c r="N2995" s="8"/>
    </row>
    <row r="2996" spans="1:14" x14ac:dyDescent="0.25">
      <c r="A2996" s="8">
        <v>41152</v>
      </c>
      <c r="B2996">
        <v>763867.59</v>
      </c>
      <c r="C2996">
        <v>0</v>
      </c>
      <c r="D2996">
        <v>83.58</v>
      </c>
      <c r="E2996">
        <v>3.6379999999999999</v>
      </c>
      <c r="F2996">
        <v>221.94155760000001</v>
      </c>
      <c r="G2996">
        <v>6.5650000000000004</v>
      </c>
      <c r="N2996" s="8"/>
    </row>
    <row r="2997" spans="1:14" x14ac:dyDescent="0.25">
      <c r="A2997" s="8">
        <v>41159</v>
      </c>
      <c r="B2997">
        <v>642827.29</v>
      </c>
      <c r="C2997">
        <v>1</v>
      </c>
      <c r="D2997">
        <v>88.4</v>
      </c>
      <c r="E2997">
        <v>3.73</v>
      </c>
      <c r="F2997">
        <v>222.07476349999999</v>
      </c>
      <c r="G2997">
        <v>6.5650000000000004</v>
      </c>
      <c r="N2997" s="8"/>
    </row>
    <row r="2998" spans="1:14" x14ac:dyDescent="0.25">
      <c r="A2998" s="8">
        <v>41166</v>
      </c>
      <c r="B2998">
        <v>628494.63</v>
      </c>
      <c r="C2998">
        <v>0</v>
      </c>
      <c r="D2998">
        <v>76.099999999999994</v>
      </c>
      <c r="E2998">
        <v>3.7170000000000001</v>
      </c>
      <c r="F2998">
        <v>222.21743950000001</v>
      </c>
      <c r="G2998">
        <v>6.5650000000000004</v>
      </c>
      <c r="N2998" s="8"/>
    </row>
    <row r="2999" spans="1:14" x14ac:dyDescent="0.25">
      <c r="A2999" s="8">
        <v>41173</v>
      </c>
      <c r="B2999">
        <v>667151.46</v>
      </c>
      <c r="C2999">
        <v>0</v>
      </c>
      <c r="D2999">
        <v>71.540000000000006</v>
      </c>
      <c r="E2999">
        <v>3.7210000000000001</v>
      </c>
      <c r="F2999">
        <v>222.41693620000001</v>
      </c>
      <c r="G2999">
        <v>6.5650000000000004</v>
      </c>
      <c r="N2999" s="8"/>
    </row>
    <row r="3000" spans="1:14" x14ac:dyDescent="0.25">
      <c r="A3000" s="8">
        <v>41180</v>
      </c>
      <c r="B3000">
        <v>647097.65</v>
      </c>
      <c r="C3000">
        <v>0</v>
      </c>
      <c r="D3000">
        <v>80.38</v>
      </c>
      <c r="E3000">
        <v>3.6659999999999999</v>
      </c>
      <c r="F3000">
        <v>222.61643290000001</v>
      </c>
      <c r="G3000">
        <v>6.5650000000000004</v>
      </c>
      <c r="N3000" s="8"/>
    </row>
    <row r="3001" spans="1:14" x14ac:dyDescent="0.25">
      <c r="A3001" s="8">
        <v>41187</v>
      </c>
      <c r="B3001">
        <v>651768.91</v>
      </c>
      <c r="C3001">
        <v>0</v>
      </c>
      <c r="D3001">
        <v>70.28</v>
      </c>
      <c r="E3001">
        <v>3.617</v>
      </c>
      <c r="F3001">
        <v>222.8159296</v>
      </c>
      <c r="G3001">
        <v>6.17</v>
      </c>
      <c r="N3001" s="8"/>
    </row>
    <row r="3002" spans="1:14" x14ac:dyDescent="0.25">
      <c r="A3002" s="8">
        <v>41194</v>
      </c>
      <c r="B3002">
        <v>653043.43999999994</v>
      </c>
      <c r="C3002">
        <v>0</v>
      </c>
      <c r="D3002">
        <v>61.53</v>
      </c>
      <c r="E3002">
        <v>3.601</v>
      </c>
      <c r="F3002">
        <v>223.0154263</v>
      </c>
      <c r="G3002">
        <v>6.17</v>
      </c>
      <c r="N3002" s="8"/>
    </row>
    <row r="3003" spans="1:14" x14ac:dyDescent="0.25">
      <c r="A3003" s="8">
        <v>41201</v>
      </c>
      <c r="B3003">
        <v>641368.14</v>
      </c>
      <c r="C3003">
        <v>0</v>
      </c>
      <c r="D3003">
        <v>68.52</v>
      </c>
      <c r="E3003">
        <v>3.5939999999999999</v>
      </c>
      <c r="F3003">
        <v>223.05980769999999</v>
      </c>
      <c r="G3003">
        <v>6.17</v>
      </c>
      <c r="N3003" s="8"/>
    </row>
    <row r="3004" spans="1:14" x14ac:dyDescent="0.25">
      <c r="A3004" s="8">
        <v>41208</v>
      </c>
      <c r="B3004">
        <v>675202.87</v>
      </c>
      <c r="C3004">
        <v>0</v>
      </c>
      <c r="D3004">
        <v>70.5</v>
      </c>
      <c r="E3004">
        <v>3.5059999999999998</v>
      </c>
      <c r="F3004">
        <v>223.0783366</v>
      </c>
      <c r="G3004">
        <v>6.17</v>
      </c>
      <c r="N3004" s="8"/>
    </row>
    <row r="3005" spans="1:14" x14ac:dyDescent="0.25">
      <c r="A3005" s="8">
        <v>40214</v>
      </c>
      <c r="B3005">
        <v>1033017.37</v>
      </c>
      <c r="C3005">
        <v>0</v>
      </c>
      <c r="D3005">
        <v>24.36</v>
      </c>
      <c r="E3005">
        <v>2.7879999999999998</v>
      </c>
      <c r="F3005">
        <v>135.35246079999999</v>
      </c>
      <c r="G3005">
        <v>8.2829999999999995</v>
      </c>
      <c r="N3005" s="8"/>
    </row>
    <row r="3006" spans="1:14" x14ac:dyDescent="0.25">
      <c r="A3006" s="8">
        <v>40221</v>
      </c>
      <c r="B3006">
        <v>1022571.25</v>
      </c>
      <c r="C3006">
        <v>1</v>
      </c>
      <c r="D3006">
        <v>28.14</v>
      </c>
      <c r="E3006">
        <v>2.7709999999999999</v>
      </c>
      <c r="F3006">
        <v>135.41130759999999</v>
      </c>
      <c r="G3006">
        <v>8.2829999999999995</v>
      </c>
      <c r="N3006" s="8"/>
    </row>
    <row r="3007" spans="1:14" x14ac:dyDescent="0.25">
      <c r="A3007" s="8">
        <v>40228</v>
      </c>
      <c r="B3007">
        <v>988467.61</v>
      </c>
      <c r="C3007">
        <v>0</v>
      </c>
      <c r="D3007">
        <v>31.96</v>
      </c>
      <c r="E3007">
        <v>2.7469999999999999</v>
      </c>
      <c r="F3007">
        <v>135.46577809999999</v>
      </c>
      <c r="G3007">
        <v>8.2829999999999995</v>
      </c>
      <c r="N3007" s="8"/>
    </row>
    <row r="3008" spans="1:14" x14ac:dyDescent="0.25">
      <c r="A3008" s="8">
        <v>40235</v>
      </c>
      <c r="B3008">
        <v>899761.48</v>
      </c>
      <c r="C3008">
        <v>0</v>
      </c>
      <c r="D3008">
        <v>35.979999999999997</v>
      </c>
      <c r="E3008">
        <v>2.7530000000000001</v>
      </c>
      <c r="F3008">
        <v>135.5195191</v>
      </c>
      <c r="G3008">
        <v>8.2829999999999995</v>
      </c>
      <c r="N3008" s="8"/>
    </row>
    <row r="3009" spans="1:14" x14ac:dyDescent="0.25">
      <c r="A3009" s="8">
        <v>40242</v>
      </c>
      <c r="B3009">
        <v>1009201.24</v>
      </c>
      <c r="C3009">
        <v>0</v>
      </c>
      <c r="D3009">
        <v>36.82</v>
      </c>
      <c r="E3009">
        <v>2.766</v>
      </c>
      <c r="F3009">
        <v>135.57326019999999</v>
      </c>
      <c r="G3009">
        <v>8.2829999999999995</v>
      </c>
      <c r="N3009" s="8"/>
    </row>
    <row r="3010" spans="1:14" x14ac:dyDescent="0.25">
      <c r="A3010" s="8">
        <v>40249</v>
      </c>
      <c r="B3010">
        <v>967187.37</v>
      </c>
      <c r="C3010">
        <v>0</v>
      </c>
      <c r="D3010">
        <v>43.43</v>
      </c>
      <c r="E3010">
        <v>2.8050000000000002</v>
      </c>
      <c r="F3010">
        <v>135.62700129999999</v>
      </c>
      <c r="G3010">
        <v>8.2829999999999995</v>
      </c>
      <c r="N3010" s="8"/>
    </row>
    <row r="3011" spans="1:14" x14ac:dyDescent="0.25">
      <c r="A3011" s="8">
        <v>40256</v>
      </c>
      <c r="B3011">
        <v>966145.09</v>
      </c>
      <c r="C3011">
        <v>0</v>
      </c>
      <c r="D3011">
        <v>46.03</v>
      </c>
      <c r="E3011">
        <v>2.8340000000000001</v>
      </c>
      <c r="F3011">
        <v>135.6682247</v>
      </c>
      <c r="G3011">
        <v>8.2829999999999995</v>
      </c>
      <c r="N3011" s="8"/>
    </row>
    <row r="3012" spans="1:14" x14ac:dyDescent="0.25">
      <c r="A3012" s="8">
        <v>40263</v>
      </c>
      <c r="B3012">
        <v>1012075.12</v>
      </c>
      <c r="C3012">
        <v>0</v>
      </c>
      <c r="D3012">
        <v>48.56</v>
      </c>
      <c r="E3012">
        <v>2.831</v>
      </c>
      <c r="F3012">
        <v>135.7073618</v>
      </c>
      <c r="G3012">
        <v>8.2829999999999995</v>
      </c>
      <c r="N3012" s="8"/>
    </row>
    <row r="3013" spans="1:14" x14ac:dyDescent="0.25">
      <c r="A3013" s="8">
        <v>40270</v>
      </c>
      <c r="B3013">
        <v>1177340.99</v>
      </c>
      <c r="C3013">
        <v>0</v>
      </c>
      <c r="D3013">
        <v>44.96</v>
      </c>
      <c r="E3013">
        <v>2.8260000000000001</v>
      </c>
      <c r="F3013">
        <v>135.74649880000001</v>
      </c>
      <c r="G3013">
        <v>8.3480000000000008</v>
      </c>
      <c r="N3013" s="8"/>
    </row>
    <row r="3014" spans="1:14" x14ac:dyDescent="0.25">
      <c r="A3014" s="8">
        <v>40277</v>
      </c>
      <c r="B3014">
        <v>1033171.07</v>
      </c>
      <c r="C3014">
        <v>0</v>
      </c>
      <c r="D3014">
        <v>57.06</v>
      </c>
      <c r="E3014">
        <v>2.8490000000000002</v>
      </c>
      <c r="F3014">
        <v>135.78563589999999</v>
      </c>
      <c r="G3014">
        <v>8.3480000000000008</v>
      </c>
      <c r="N3014" s="8"/>
    </row>
    <row r="3015" spans="1:14" x14ac:dyDescent="0.25">
      <c r="A3015" s="8">
        <v>40284</v>
      </c>
      <c r="B3015">
        <v>1000968.67</v>
      </c>
      <c r="C3015">
        <v>0</v>
      </c>
      <c r="D3015">
        <v>51.14</v>
      </c>
      <c r="E3015">
        <v>2.8849999999999998</v>
      </c>
      <c r="F3015">
        <v>135.82724999999999</v>
      </c>
      <c r="G3015">
        <v>8.3480000000000008</v>
      </c>
      <c r="N3015" s="8"/>
    </row>
    <row r="3016" spans="1:14" x14ac:dyDescent="0.25">
      <c r="A3016" s="8">
        <v>40291</v>
      </c>
      <c r="B3016">
        <v>969594.47</v>
      </c>
      <c r="C3016">
        <v>0</v>
      </c>
      <c r="D3016">
        <v>51.04</v>
      </c>
      <c r="E3016">
        <v>2.895</v>
      </c>
      <c r="F3016">
        <v>135.87216670000001</v>
      </c>
      <c r="G3016">
        <v>8.3480000000000008</v>
      </c>
      <c r="N3016" s="8"/>
    </row>
    <row r="3017" spans="1:14" x14ac:dyDescent="0.25">
      <c r="A3017" s="8">
        <v>40298</v>
      </c>
      <c r="B3017">
        <v>977683.06</v>
      </c>
      <c r="C3017">
        <v>0</v>
      </c>
      <c r="D3017">
        <v>50.96</v>
      </c>
      <c r="E3017">
        <v>2.9350000000000001</v>
      </c>
      <c r="F3017">
        <v>135.9170833</v>
      </c>
      <c r="G3017">
        <v>8.3480000000000008</v>
      </c>
      <c r="N3017" s="8"/>
    </row>
    <row r="3018" spans="1:14" x14ac:dyDescent="0.25">
      <c r="A3018" s="8">
        <v>40305</v>
      </c>
      <c r="B3018">
        <v>1052973.28</v>
      </c>
      <c r="C3018">
        <v>0</v>
      </c>
      <c r="D3018">
        <v>63.81</v>
      </c>
      <c r="E3018">
        <v>2.9809999999999999</v>
      </c>
      <c r="F3018">
        <v>135.96199999999999</v>
      </c>
      <c r="G3018">
        <v>8.3480000000000008</v>
      </c>
      <c r="N3018" s="8"/>
    </row>
    <row r="3019" spans="1:14" x14ac:dyDescent="0.25">
      <c r="A3019" s="8">
        <v>40312</v>
      </c>
      <c r="B3019">
        <v>973585.33</v>
      </c>
      <c r="C3019">
        <v>0</v>
      </c>
      <c r="D3019">
        <v>50.99</v>
      </c>
      <c r="E3019">
        <v>2.9830000000000001</v>
      </c>
      <c r="F3019">
        <v>136.01039399999999</v>
      </c>
      <c r="G3019">
        <v>8.3480000000000008</v>
      </c>
      <c r="N3019" s="8"/>
    </row>
    <row r="3020" spans="1:14" x14ac:dyDescent="0.25">
      <c r="A3020" s="8">
        <v>40319</v>
      </c>
      <c r="B3020">
        <v>979977.89</v>
      </c>
      <c r="C3020">
        <v>0</v>
      </c>
      <c r="D3020">
        <v>59.99</v>
      </c>
      <c r="E3020">
        <v>2.9609999999999999</v>
      </c>
      <c r="F3020">
        <v>136.0796521</v>
      </c>
      <c r="G3020">
        <v>8.3480000000000008</v>
      </c>
      <c r="N3020" s="8"/>
    </row>
    <row r="3021" spans="1:14" x14ac:dyDescent="0.25">
      <c r="A3021" s="8">
        <v>40326</v>
      </c>
      <c r="B3021">
        <v>1103740.3999999999</v>
      </c>
      <c r="C3021">
        <v>0</v>
      </c>
      <c r="D3021">
        <v>65.64</v>
      </c>
      <c r="E3021">
        <v>2.9060000000000001</v>
      </c>
      <c r="F3021">
        <v>136.14891009999999</v>
      </c>
      <c r="G3021">
        <v>8.3480000000000008</v>
      </c>
      <c r="N3021" s="8"/>
    </row>
    <row r="3022" spans="1:14" x14ac:dyDescent="0.25">
      <c r="A3022" s="8">
        <v>40333</v>
      </c>
      <c r="B3022">
        <v>1095539.1299999999</v>
      </c>
      <c r="C3022">
        <v>0</v>
      </c>
      <c r="D3022">
        <v>69.489999999999995</v>
      </c>
      <c r="E3022">
        <v>2.8570000000000002</v>
      </c>
      <c r="F3022">
        <v>136.21816820000001</v>
      </c>
      <c r="G3022">
        <v>8.3480000000000008</v>
      </c>
      <c r="N3022" s="8"/>
    </row>
    <row r="3023" spans="1:14" x14ac:dyDescent="0.25">
      <c r="A3023" s="8">
        <v>40340</v>
      </c>
      <c r="B3023">
        <v>1061196.47</v>
      </c>
      <c r="C3023">
        <v>0</v>
      </c>
      <c r="D3023">
        <v>65.010000000000005</v>
      </c>
      <c r="E3023">
        <v>2.83</v>
      </c>
      <c r="F3023">
        <v>136.28742629999999</v>
      </c>
      <c r="G3023">
        <v>8.3480000000000008</v>
      </c>
      <c r="N3023" s="8"/>
    </row>
    <row r="3024" spans="1:14" x14ac:dyDescent="0.25">
      <c r="A3024" s="8">
        <v>40347</v>
      </c>
      <c r="B3024">
        <v>1052895.25</v>
      </c>
      <c r="C3024">
        <v>0</v>
      </c>
      <c r="D3024">
        <v>67.13</v>
      </c>
      <c r="E3024">
        <v>2.8050000000000002</v>
      </c>
      <c r="F3024">
        <v>136.32433929999999</v>
      </c>
      <c r="G3024">
        <v>8.3480000000000008</v>
      </c>
      <c r="N3024" s="8"/>
    </row>
    <row r="3025" spans="1:14" x14ac:dyDescent="0.25">
      <c r="A3025" s="8">
        <v>40354</v>
      </c>
      <c r="B3025">
        <v>1095020.33</v>
      </c>
      <c r="C3025">
        <v>0</v>
      </c>
      <c r="D3025">
        <v>74.37</v>
      </c>
      <c r="E3025">
        <v>2.81</v>
      </c>
      <c r="F3025">
        <v>136.3483143</v>
      </c>
      <c r="G3025">
        <v>8.3480000000000008</v>
      </c>
      <c r="N3025" s="8"/>
    </row>
    <row r="3026" spans="1:14" x14ac:dyDescent="0.25">
      <c r="A3026" s="8">
        <v>40361</v>
      </c>
      <c r="B3026">
        <v>1120259.71</v>
      </c>
      <c r="C3026">
        <v>0</v>
      </c>
      <c r="D3026">
        <v>72.88</v>
      </c>
      <c r="E3026">
        <v>2.8149999999999999</v>
      </c>
      <c r="F3026">
        <v>136.37228930000001</v>
      </c>
      <c r="G3026">
        <v>8.4329999999999998</v>
      </c>
      <c r="N3026" s="8"/>
    </row>
    <row r="3027" spans="1:14" x14ac:dyDescent="0.25">
      <c r="A3027" s="8">
        <v>40368</v>
      </c>
      <c r="B3027">
        <v>1092654.26</v>
      </c>
      <c r="C3027">
        <v>0</v>
      </c>
      <c r="D3027">
        <v>79.22</v>
      </c>
      <c r="E3027">
        <v>2.806</v>
      </c>
      <c r="F3027">
        <v>136.39626430000001</v>
      </c>
      <c r="G3027">
        <v>8.4329999999999998</v>
      </c>
      <c r="N3027" s="8"/>
    </row>
    <row r="3028" spans="1:14" x14ac:dyDescent="0.25">
      <c r="A3028" s="8">
        <v>40375</v>
      </c>
      <c r="B3028">
        <v>988392.99</v>
      </c>
      <c r="C3028">
        <v>0</v>
      </c>
      <c r="D3028">
        <v>76.3</v>
      </c>
      <c r="E3028">
        <v>2.7959999999999998</v>
      </c>
      <c r="F3028">
        <v>136.41798270000001</v>
      </c>
      <c r="G3028">
        <v>8.4329999999999998</v>
      </c>
      <c r="N3028" s="8"/>
    </row>
    <row r="3029" spans="1:14" x14ac:dyDescent="0.25">
      <c r="A3029" s="8">
        <v>40382</v>
      </c>
      <c r="B3029">
        <v>974123.2</v>
      </c>
      <c r="C3029">
        <v>0</v>
      </c>
      <c r="D3029">
        <v>76.91</v>
      </c>
      <c r="E3029">
        <v>2.7839999999999998</v>
      </c>
      <c r="F3029">
        <v>136.4366924</v>
      </c>
      <c r="G3029">
        <v>8.4329999999999998</v>
      </c>
      <c r="N3029" s="8"/>
    </row>
    <row r="3030" spans="1:14" x14ac:dyDescent="0.25">
      <c r="A3030" s="8">
        <v>40389</v>
      </c>
      <c r="B3030">
        <v>970773.64</v>
      </c>
      <c r="C3030">
        <v>0</v>
      </c>
      <c r="D3030">
        <v>76.349999999999994</v>
      </c>
      <c r="E3030">
        <v>2.7919999999999998</v>
      </c>
      <c r="F3030">
        <v>136.45540209999999</v>
      </c>
      <c r="G3030">
        <v>8.4329999999999998</v>
      </c>
      <c r="N3030" s="8"/>
    </row>
    <row r="3031" spans="1:14" x14ac:dyDescent="0.25">
      <c r="A3031" s="8">
        <v>40396</v>
      </c>
      <c r="B3031">
        <v>1010326.14</v>
      </c>
      <c r="C3031">
        <v>0</v>
      </c>
      <c r="D3031">
        <v>74.37</v>
      </c>
      <c r="E3031">
        <v>2.7919999999999998</v>
      </c>
      <c r="F3031">
        <v>136.4741118</v>
      </c>
      <c r="G3031">
        <v>8.4329999999999998</v>
      </c>
      <c r="N3031" s="8"/>
    </row>
    <row r="3032" spans="1:14" x14ac:dyDescent="0.25">
      <c r="A3032" s="8">
        <v>40403</v>
      </c>
      <c r="B3032">
        <v>993097.43</v>
      </c>
      <c r="C3032">
        <v>0</v>
      </c>
      <c r="D3032">
        <v>74.75</v>
      </c>
      <c r="E3032">
        <v>2.81</v>
      </c>
      <c r="F3032">
        <v>136.4928214</v>
      </c>
      <c r="G3032">
        <v>8.4329999999999998</v>
      </c>
      <c r="N3032" s="8"/>
    </row>
    <row r="3033" spans="1:14" x14ac:dyDescent="0.25">
      <c r="A3033" s="8">
        <v>40410</v>
      </c>
      <c r="B3033">
        <v>1017045.44</v>
      </c>
      <c r="C3033">
        <v>0</v>
      </c>
      <c r="D3033">
        <v>73.209999999999994</v>
      </c>
      <c r="E3033">
        <v>2.7959999999999998</v>
      </c>
      <c r="F3033">
        <v>136.5249182</v>
      </c>
      <c r="G3033">
        <v>8.4329999999999998</v>
      </c>
      <c r="N3033" s="8"/>
    </row>
    <row r="3034" spans="1:14" x14ac:dyDescent="0.25">
      <c r="A3034" s="8">
        <v>40417</v>
      </c>
      <c r="B3034">
        <v>1081420.96</v>
      </c>
      <c r="C3034">
        <v>0</v>
      </c>
      <c r="D3034">
        <v>68.989999999999995</v>
      </c>
      <c r="E3034">
        <v>2.77</v>
      </c>
      <c r="F3034">
        <v>136.55701500000001</v>
      </c>
      <c r="G3034">
        <v>8.4329999999999998</v>
      </c>
      <c r="N3034" s="8"/>
    </row>
    <row r="3035" spans="1:14" x14ac:dyDescent="0.25">
      <c r="A3035" s="8">
        <v>40424</v>
      </c>
      <c r="B3035">
        <v>1074535.8799999999</v>
      </c>
      <c r="C3035">
        <v>0</v>
      </c>
      <c r="D3035">
        <v>75.849999999999994</v>
      </c>
      <c r="E3035">
        <v>2.7349999999999999</v>
      </c>
      <c r="F3035">
        <v>136.58911180000001</v>
      </c>
      <c r="G3035">
        <v>8.4329999999999998</v>
      </c>
      <c r="N3035" s="8"/>
    </row>
    <row r="3036" spans="1:14" x14ac:dyDescent="0.25">
      <c r="A3036" s="8">
        <v>40431</v>
      </c>
      <c r="B3036">
        <v>924174.4</v>
      </c>
      <c r="C3036">
        <v>1</v>
      </c>
      <c r="D3036">
        <v>68.599999999999994</v>
      </c>
      <c r="E3036">
        <v>2.7170000000000001</v>
      </c>
      <c r="F3036">
        <v>136.62120849999999</v>
      </c>
      <c r="G3036">
        <v>8.4329999999999998</v>
      </c>
      <c r="N3036" s="8"/>
    </row>
    <row r="3037" spans="1:14" x14ac:dyDescent="0.25">
      <c r="A3037" s="8">
        <v>40438</v>
      </c>
      <c r="B3037">
        <v>918285.97</v>
      </c>
      <c r="C3037">
        <v>0</v>
      </c>
      <c r="D3037">
        <v>62.49</v>
      </c>
      <c r="E3037">
        <v>2.7160000000000002</v>
      </c>
      <c r="F3037">
        <v>136.63380710000001</v>
      </c>
      <c r="G3037">
        <v>8.4329999999999998</v>
      </c>
      <c r="N3037" s="8"/>
    </row>
    <row r="3038" spans="1:14" x14ac:dyDescent="0.25">
      <c r="A3038" s="8">
        <v>40445</v>
      </c>
      <c r="B3038">
        <v>902779.25</v>
      </c>
      <c r="C3038">
        <v>0</v>
      </c>
      <c r="D3038">
        <v>65.14</v>
      </c>
      <c r="E3038">
        <v>2.718</v>
      </c>
      <c r="F3038">
        <v>136.63178210000001</v>
      </c>
      <c r="G3038">
        <v>8.4329999999999998</v>
      </c>
      <c r="N3038" s="8"/>
    </row>
    <row r="3039" spans="1:14" x14ac:dyDescent="0.25">
      <c r="A3039" s="8">
        <v>40452</v>
      </c>
      <c r="B3039">
        <v>905987.17</v>
      </c>
      <c r="C3039">
        <v>0</v>
      </c>
      <c r="D3039">
        <v>69.31</v>
      </c>
      <c r="E3039">
        <v>2.7170000000000001</v>
      </c>
      <c r="F3039">
        <v>136.62975710000001</v>
      </c>
      <c r="G3039">
        <v>8.5719999999999992</v>
      </c>
      <c r="N3039" s="8"/>
    </row>
    <row r="3040" spans="1:14" x14ac:dyDescent="0.25">
      <c r="A3040" s="8">
        <v>40459</v>
      </c>
      <c r="B3040">
        <v>1015051.62</v>
      </c>
      <c r="C3040">
        <v>0</v>
      </c>
      <c r="D3040">
        <v>56.32</v>
      </c>
      <c r="E3040">
        <v>2.7759999999999998</v>
      </c>
      <c r="F3040">
        <v>136.6277321</v>
      </c>
      <c r="G3040">
        <v>8.5719999999999992</v>
      </c>
      <c r="N3040" s="8"/>
    </row>
    <row r="3041" spans="1:14" x14ac:dyDescent="0.25">
      <c r="A3041" s="8">
        <v>40466</v>
      </c>
      <c r="B3041">
        <v>954401.46</v>
      </c>
      <c r="C3041">
        <v>0</v>
      </c>
      <c r="D3041">
        <v>55.23</v>
      </c>
      <c r="E3041">
        <v>2.8780000000000001</v>
      </c>
      <c r="F3041">
        <v>136.64019350000001</v>
      </c>
      <c r="G3041">
        <v>8.5719999999999992</v>
      </c>
      <c r="N3041" s="8"/>
    </row>
    <row r="3042" spans="1:14" x14ac:dyDescent="0.25">
      <c r="A3042" s="8">
        <v>40473</v>
      </c>
      <c r="B3042">
        <v>960998.52</v>
      </c>
      <c r="C3042">
        <v>0</v>
      </c>
      <c r="D3042">
        <v>50.24</v>
      </c>
      <c r="E3042">
        <v>2.919</v>
      </c>
      <c r="F3042">
        <v>136.68887100000001</v>
      </c>
      <c r="G3042">
        <v>8.5719999999999992</v>
      </c>
      <c r="N3042" s="8"/>
    </row>
    <row r="3043" spans="1:14" x14ac:dyDescent="0.25">
      <c r="A3043" s="8">
        <v>40480</v>
      </c>
      <c r="B3043">
        <v>1025766.27</v>
      </c>
      <c r="C3043">
        <v>0</v>
      </c>
      <c r="D3043">
        <v>57.73</v>
      </c>
      <c r="E3043">
        <v>2.9380000000000002</v>
      </c>
      <c r="F3043">
        <v>136.73754840000001</v>
      </c>
      <c r="G3043">
        <v>8.5719999999999992</v>
      </c>
      <c r="N3043" s="8"/>
    </row>
    <row r="3044" spans="1:14" x14ac:dyDescent="0.25">
      <c r="A3044" s="8">
        <v>40487</v>
      </c>
      <c r="B3044">
        <v>1006888.16</v>
      </c>
      <c r="C3044">
        <v>0</v>
      </c>
      <c r="D3044">
        <v>44.34</v>
      </c>
      <c r="E3044">
        <v>2.9380000000000002</v>
      </c>
      <c r="F3044">
        <v>136.78622580000001</v>
      </c>
      <c r="G3044">
        <v>8.5719999999999992</v>
      </c>
      <c r="N3044" s="8"/>
    </row>
    <row r="3045" spans="1:14" x14ac:dyDescent="0.25">
      <c r="A3045" s="8">
        <v>40494</v>
      </c>
      <c r="B3045">
        <v>1043698.64</v>
      </c>
      <c r="C3045">
        <v>0</v>
      </c>
      <c r="D3045">
        <v>44.42</v>
      </c>
      <c r="E3045">
        <v>2.9609999999999999</v>
      </c>
      <c r="F3045">
        <v>136.83490320000001</v>
      </c>
      <c r="G3045">
        <v>8.5719999999999992</v>
      </c>
      <c r="N3045" s="8"/>
    </row>
    <row r="3046" spans="1:14" x14ac:dyDescent="0.25">
      <c r="A3046" s="8">
        <v>40501</v>
      </c>
      <c r="B3046">
        <v>985896.44</v>
      </c>
      <c r="C3046">
        <v>0</v>
      </c>
      <c r="D3046">
        <v>48.62</v>
      </c>
      <c r="E3046">
        <v>3.03</v>
      </c>
      <c r="F3046">
        <v>136.7715714</v>
      </c>
      <c r="G3046">
        <v>8.5719999999999992</v>
      </c>
      <c r="N3046" s="8"/>
    </row>
    <row r="3047" spans="1:14" x14ac:dyDescent="0.25">
      <c r="A3047" s="8">
        <v>40508</v>
      </c>
      <c r="B3047">
        <v>1564502.26</v>
      </c>
      <c r="C3047">
        <v>1</v>
      </c>
      <c r="D3047">
        <v>44.61</v>
      </c>
      <c r="E3047">
        <v>3.07</v>
      </c>
      <c r="F3047">
        <v>136.68957140000001</v>
      </c>
      <c r="G3047">
        <v>8.5719999999999992</v>
      </c>
      <c r="N3047" s="8"/>
    </row>
    <row r="3048" spans="1:14" x14ac:dyDescent="0.25">
      <c r="A3048" s="8">
        <v>40515</v>
      </c>
      <c r="B3048">
        <v>1230514.58</v>
      </c>
      <c r="C3048">
        <v>0</v>
      </c>
      <c r="D3048">
        <v>39.42</v>
      </c>
      <c r="E3048">
        <v>3.0649999999999999</v>
      </c>
      <c r="F3048">
        <v>136.60757140000001</v>
      </c>
      <c r="G3048">
        <v>8.5719999999999992</v>
      </c>
      <c r="N3048" s="8"/>
    </row>
    <row r="3049" spans="1:14" x14ac:dyDescent="0.25">
      <c r="A3049" s="8">
        <v>40522</v>
      </c>
      <c r="B3049">
        <v>1367202.84</v>
      </c>
      <c r="C3049">
        <v>0</v>
      </c>
      <c r="D3049">
        <v>28.43</v>
      </c>
      <c r="E3049">
        <v>3.1320000000000001</v>
      </c>
      <c r="F3049">
        <v>136.52557139999999</v>
      </c>
      <c r="G3049">
        <v>8.5719999999999992</v>
      </c>
      <c r="N3049" s="8"/>
    </row>
    <row r="3050" spans="1:14" x14ac:dyDescent="0.25">
      <c r="A3050" s="8">
        <v>40529</v>
      </c>
      <c r="B3050">
        <v>1527682.99</v>
      </c>
      <c r="C3050">
        <v>0</v>
      </c>
      <c r="D3050">
        <v>30.46</v>
      </c>
      <c r="E3050">
        <v>3.1389999999999998</v>
      </c>
      <c r="F3050">
        <v>136.52928109999999</v>
      </c>
      <c r="G3050">
        <v>8.5719999999999992</v>
      </c>
      <c r="N3050" s="8"/>
    </row>
    <row r="3051" spans="1:14" x14ac:dyDescent="0.25">
      <c r="A3051" s="8">
        <v>40536</v>
      </c>
      <c r="B3051">
        <v>1962445.04</v>
      </c>
      <c r="C3051">
        <v>0</v>
      </c>
      <c r="D3051">
        <v>29.76</v>
      </c>
      <c r="E3051">
        <v>3.15</v>
      </c>
      <c r="F3051">
        <v>136.597273</v>
      </c>
      <c r="G3051">
        <v>8.5719999999999992</v>
      </c>
      <c r="N3051" s="8"/>
    </row>
    <row r="3052" spans="1:14" x14ac:dyDescent="0.25">
      <c r="A3052" s="8">
        <v>40543</v>
      </c>
      <c r="B3052">
        <v>774262.28</v>
      </c>
      <c r="C3052">
        <v>1</v>
      </c>
      <c r="D3052">
        <v>28.49</v>
      </c>
      <c r="E3052">
        <v>3.177</v>
      </c>
      <c r="F3052">
        <v>136.66526500000001</v>
      </c>
      <c r="G3052">
        <v>8.5719999999999992</v>
      </c>
      <c r="N3052" s="8"/>
    </row>
    <row r="3053" spans="1:14" x14ac:dyDescent="0.25">
      <c r="A3053" s="8">
        <v>40550</v>
      </c>
      <c r="B3053">
        <v>873954.7</v>
      </c>
      <c r="C3053">
        <v>0</v>
      </c>
      <c r="D3053">
        <v>32.56</v>
      </c>
      <c r="E3053">
        <v>3.1930000000000001</v>
      </c>
      <c r="F3053">
        <v>136.73325689999999</v>
      </c>
      <c r="G3053">
        <v>8.4580000000000002</v>
      </c>
      <c r="N3053" s="8"/>
    </row>
    <row r="3054" spans="1:14" x14ac:dyDescent="0.25">
      <c r="A3054" s="8">
        <v>40557</v>
      </c>
      <c r="B3054">
        <v>807535.52</v>
      </c>
      <c r="C3054">
        <v>0</v>
      </c>
      <c r="D3054">
        <v>24.76</v>
      </c>
      <c r="E3054">
        <v>3.2149999999999999</v>
      </c>
      <c r="F3054">
        <v>136.80347699999999</v>
      </c>
      <c r="G3054">
        <v>8.4580000000000002</v>
      </c>
      <c r="N3054" s="8"/>
    </row>
    <row r="3055" spans="1:14" x14ac:dyDescent="0.25">
      <c r="A3055" s="8">
        <v>40564</v>
      </c>
      <c r="B3055">
        <v>855001.02</v>
      </c>
      <c r="C3055">
        <v>0</v>
      </c>
      <c r="D3055">
        <v>26.8</v>
      </c>
      <c r="E3055">
        <v>3.2320000000000002</v>
      </c>
      <c r="F3055">
        <v>136.88706569999999</v>
      </c>
      <c r="G3055">
        <v>8.4580000000000002</v>
      </c>
      <c r="N3055" s="8"/>
    </row>
    <row r="3056" spans="1:14" x14ac:dyDescent="0.25">
      <c r="A3056" s="8">
        <v>40571</v>
      </c>
      <c r="B3056">
        <v>799369.15</v>
      </c>
      <c r="C3056">
        <v>0</v>
      </c>
      <c r="D3056">
        <v>20.61</v>
      </c>
      <c r="E3056">
        <v>3.2429999999999999</v>
      </c>
      <c r="F3056">
        <v>136.9706544</v>
      </c>
      <c r="G3056">
        <v>8.4580000000000002</v>
      </c>
      <c r="N3056" s="8"/>
    </row>
    <row r="3057" spans="1:14" x14ac:dyDescent="0.25">
      <c r="A3057" s="8">
        <v>40578</v>
      </c>
      <c r="B3057">
        <v>946060.98</v>
      </c>
      <c r="C3057">
        <v>0</v>
      </c>
      <c r="D3057">
        <v>26.39</v>
      </c>
      <c r="E3057">
        <v>3.24</v>
      </c>
      <c r="F3057">
        <v>137.05424310000001</v>
      </c>
      <c r="G3057">
        <v>8.4580000000000002</v>
      </c>
      <c r="N3057" s="8"/>
    </row>
    <row r="3058" spans="1:14" x14ac:dyDescent="0.25">
      <c r="A3058" s="8">
        <v>40585</v>
      </c>
      <c r="B3058">
        <v>1009206.33</v>
      </c>
      <c r="C3058">
        <v>1</v>
      </c>
      <c r="D3058">
        <v>28.89</v>
      </c>
      <c r="E3058">
        <v>3.2549999999999999</v>
      </c>
      <c r="F3058">
        <v>137.13783179999999</v>
      </c>
      <c r="G3058">
        <v>8.4580000000000002</v>
      </c>
      <c r="N3058" s="8"/>
    </row>
    <row r="3059" spans="1:14" x14ac:dyDescent="0.25">
      <c r="A3059" s="8">
        <v>40592</v>
      </c>
      <c r="B3059">
        <v>975964.86</v>
      </c>
      <c r="C3059">
        <v>0</v>
      </c>
      <c r="D3059">
        <v>35.340000000000003</v>
      </c>
      <c r="E3059">
        <v>3.2629999999999999</v>
      </c>
      <c r="F3059">
        <v>137.2511849</v>
      </c>
      <c r="G3059">
        <v>8.4580000000000002</v>
      </c>
      <c r="N3059" s="8"/>
    </row>
    <row r="3060" spans="1:14" x14ac:dyDescent="0.25">
      <c r="A3060" s="8">
        <v>40599</v>
      </c>
      <c r="B3060">
        <v>911245.43</v>
      </c>
      <c r="C3060">
        <v>0</v>
      </c>
      <c r="D3060">
        <v>30.23</v>
      </c>
      <c r="E3060">
        <v>3.2810000000000001</v>
      </c>
      <c r="F3060">
        <v>137.3764439</v>
      </c>
      <c r="G3060">
        <v>8.4580000000000002</v>
      </c>
      <c r="N3060" s="8"/>
    </row>
    <row r="3061" spans="1:14" x14ac:dyDescent="0.25">
      <c r="A3061" s="8">
        <v>40606</v>
      </c>
      <c r="B3061">
        <v>997353.15</v>
      </c>
      <c r="C3061">
        <v>0</v>
      </c>
      <c r="D3061">
        <v>33.520000000000003</v>
      </c>
      <c r="E3061">
        <v>3.4369999999999998</v>
      </c>
      <c r="F3061">
        <v>137.5017028</v>
      </c>
      <c r="G3061">
        <v>8.4580000000000002</v>
      </c>
      <c r="N3061" s="8"/>
    </row>
    <row r="3062" spans="1:14" x14ac:dyDescent="0.25">
      <c r="A3062" s="8">
        <v>40613</v>
      </c>
      <c r="B3062">
        <v>944587.23</v>
      </c>
      <c r="C3062">
        <v>0</v>
      </c>
      <c r="D3062">
        <v>41.42</v>
      </c>
      <c r="E3062">
        <v>3.6</v>
      </c>
      <c r="F3062">
        <v>137.62696170000001</v>
      </c>
      <c r="G3062">
        <v>8.4580000000000002</v>
      </c>
      <c r="N3062" s="8"/>
    </row>
    <row r="3063" spans="1:14" x14ac:dyDescent="0.25">
      <c r="A3063" s="8">
        <v>40620</v>
      </c>
      <c r="B3063">
        <v>926427.12</v>
      </c>
      <c r="C3063">
        <v>0</v>
      </c>
      <c r="D3063">
        <v>43.38</v>
      </c>
      <c r="E3063">
        <v>3.6339999999999999</v>
      </c>
      <c r="F3063">
        <v>137.7398929</v>
      </c>
      <c r="G3063">
        <v>8.4580000000000002</v>
      </c>
      <c r="N3063" s="8"/>
    </row>
    <row r="3064" spans="1:14" x14ac:dyDescent="0.25">
      <c r="A3064" s="8">
        <v>40627</v>
      </c>
      <c r="B3064">
        <v>933528.39</v>
      </c>
      <c r="C3064">
        <v>0</v>
      </c>
      <c r="D3064">
        <v>38.770000000000003</v>
      </c>
      <c r="E3064">
        <v>3.6240000000000001</v>
      </c>
      <c r="F3064">
        <v>137.84789290000001</v>
      </c>
      <c r="G3064">
        <v>8.4580000000000002</v>
      </c>
      <c r="N3064" s="8"/>
    </row>
    <row r="3065" spans="1:14" x14ac:dyDescent="0.25">
      <c r="A3065" s="8">
        <v>40634</v>
      </c>
      <c r="B3065">
        <v>951588.37</v>
      </c>
      <c r="C3065">
        <v>0</v>
      </c>
      <c r="D3065">
        <v>36.04</v>
      </c>
      <c r="E3065">
        <v>3.6379999999999999</v>
      </c>
      <c r="F3065">
        <v>137.95589290000001</v>
      </c>
      <c r="G3065">
        <v>8.2520000000000007</v>
      </c>
      <c r="N3065" s="8"/>
    </row>
    <row r="3066" spans="1:14" x14ac:dyDescent="0.25">
      <c r="A3066" s="8">
        <v>40641</v>
      </c>
      <c r="B3066">
        <v>969046.69</v>
      </c>
      <c r="C3066">
        <v>0</v>
      </c>
      <c r="D3066">
        <v>44.42</v>
      </c>
      <c r="E3066">
        <v>3.72</v>
      </c>
      <c r="F3066">
        <v>138.06389290000001</v>
      </c>
      <c r="G3066">
        <v>8.2520000000000007</v>
      </c>
      <c r="N3066" s="8"/>
    </row>
    <row r="3067" spans="1:14" x14ac:dyDescent="0.25">
      <c r="A3067" s="8">
        <v>40648</v>
      </c>
      <c r="B3067">
        <v>1008557.04</v>
      </c>
      <c r="C3067">
        <v>0</v>
      </c>
      <c r="D3067">
        <v>48.88</v>
      </c>
      <c r="E3067">
        <v>3.823</v>
      </c>
      <c r="F3067">
        <v>138.16469520000001</v>
      </c>
      <c r="G3067">
        <v>8.2520000000000007</v>
      </c>
      <c r="N3067" s="8"/>
    </row>
    <row r="3068" spans="1:14" x14ac:dyDescent="0.25">
      <c r="A3068" s="8">
        <v>40655</v>
      </c>
      <c r="B3068">
        <v>1152781.8999999999</v>
      </c>
      <c r="C3068">
        <v>0</v>
      </c>
      <c r="D3068">
        <v>47.76</v>
      </c>
      <c r="E3068">
        <v>3.919</v>
      </c>
      <c r="F3068">
        <v>138.24750359999999</v>
      </c>
      <c r="G3068">
        <v>8.2520000000000007</v>
      </c>
      <c r="N3068" s="8"/>
    </row>
    <row r="3069" spans="1:14" x14ac:dyDescent="0.25">
      <c r="A3069" s="8">
        <v>40662</v>
      </c>
      <c r="B3069">
        <v>926133.8</v>
      </c>
      <c r="C3069">
        <v>0</v>
      </c>
      <c r="D3069">
        <v>57.2</v>
      </c>
      <c r="E3069">
        <v>3.988</v>
      </c>
      <c r="F3069">
        <v>138.3303119</v>
      </c>
      <c r="G3069">
        <v>8.2520000000000007</v>
      </c>
      <c r="N3069" s="8"/>
    </row>
    <row r="3070" spans="1:14" x14ac:dyDescent="0.25">
      <c r="A3070" s="8">
        <v>40669</v>
      </c>
      <c r="B3070">
        <v>1032076.06</v>
      </c>
      <c r="C3070">
        <v>0</v>
      </c>
      <c r="D3070">
        <v>53.63</v>
      </c>
      <c r="E3070">
        <v>4.0780000000000003</v>
      </c>
      <c r="F3070">
        <v>138.41312020000001</v>
      </c>
      <c r="G3070">
        <v>8.2520000000000007</v>
      </c>
      <c r="N3070" s="8"/>
    </row>
    <row r="3071" spans="1:14" x14ac:dyDescent="0.25">
      <c r="A3071" s="8">
        <v>40676</v>
      </c>
      <c r="B3071">
        <v>1001558.74</v>
      </c>
      <c r="C3071">
        <v>0</v>
      </c>
      <c r="D3071">
        <v>57.71</v>
      </c>
      <c r="E3071">
        <v>4.0949999999999998</v>
      </c>
      <c r="F3071">
        <v>138.49592860000001</v>
      </c>
      <c r="G3071">
        <v>8.2520000000000007</v>
      </c>
      <c r="N3071" s="8"/>
    </row>
    <row r="3072" spans="1:14" x14ac:dyDescent="0.25">
      <c r="A3072" s="8">
        <v>40683</v>
      </c>
      <c r="B3072">
        <v>970307.83</v>
      </c>
      <c r="C3072">
        <v>0</v>
      </c>
      <c r="D3072">
        <v>58.56</v>
      </c>
      <c r="E3072">
        <v>4.101</v>
      </c>
      <c r="F3072">
        <v>138.58710600000001</v>
      </c>
      <c r="G3072">
        <v>8.2520000000000007</v>
      </c>
      <c r="N3072" s="8"/>
    </row>
    <row r="3073" spans="1:14" x14ac:dyDescent="0.25">
      <c r="A3073" s="8">
        <v>40690</v>
      </c>
      <c r="B3073">
        <v>1021568.34</v>
      </c>
      <c r="C3073">
        <v>0</v>
      </c>
      <c r="D3073">
        <v>62.59</v>
      </c>
      <c r="E3073">
        <v>4.0339999999999998</v>
      </c>
      <c r="F3073">
        <v>138.6782834</v>
      </c>
      <c r="G3073">
        <v>8.2520000000000007</v>
      </c>
      <c r="N3073" s="8"/>
    </row>
    <row r="3074" spans="1:14" x14ac:dyDescent="0.25">
      <c r="A3074" s="8">
        <v>40697</v>
      </c>
      <c r="B3074">
        <v>1125169.92</v>
      </c>
      <c r="C3074">
        <v>0</v>
      </c>
      <c r="D3074">
        <v>70.09</v>
      </c>
      <c r="E3074">
        <v>3.9729999999999999</v>
      </c>
      <c r="F3074">
        <v>138.76946079999999</v>
      </c>
      <c r="G3074">
        <v>8.2520000000000007</v>
      </c>
      <c r="N3074" s="8"/>
    </row>
    <row r="3075" spans="1:14" x14ac:dyDescent="0.25">
      <c r="A3075" s="8">
        <v>40704</v>
      </c>
      <c r="B3075">
        <v>1060868.49</v>
      </c>
      <c r="C3075">
        <v>0</v>
      </c>
      <c r="D3075">
        <v>69.53</v>
      </c>
      <c r="E3075">
        <v>3.9239999999999999</v>
      </c>
      <c r="F3075">
        <v>138.86063820000001</v>
      </c>
      <c r="G3075">
        <v>8.2520000000000007</v>
      </c>
      <c r="N3075" s="8"/>
    </row>
    <row r="3076" spans="1:14" x14ac:dyDescent="0.25">
      <c r="A3076" s="8">
        <v>40711</v>
      </c>
      <c r="B3076">
        <v>1042454.61</v>
      </c>
      <c r="C3076">
        <v>0</v>
      </c>
      <c r="D3076">
        <v>63.97</v>
      </c>
      <c r="E3076">
        <v>3.8730000000000002</v>
      </c>
      <c r="F3076">
        <v>139.00283329999999</v>
      </c>
      <c r="G3076">
        <v>8.2520000000000007</v>
      </c>
      <c r="N3076" s="8"/>
    </row>
    <row r="3077" spans="1:14" x14ac:dyDescent="0.25">
      <c r="A3077" s="8">
        <v>40718</v>
      </c>
      <c r="B3077">
        <v>1012584.2</v>
      </c>
      <c r="C3077">
        <v>0</v>
      </c>
      <c r="D3077">
        <v>68.53</v>
      </c>
      <c r="E3077">
        <v>3.851</v>
      </c>
      <c r="F3077">
        <v>139.18329170000001</v>
      </c>
      <c r="G3077">
        <v>8.2520000000000007</v>
      </c>
      <c r="N3077" s="8"/>
    </row>
    <row r="3078" spans="1:14" x14ac:dyDescent="0.25">
      <c r="A3078" s="8">
        <v>40725</v>
      </c>
      <c r="B3078">
        <v>1077491.68</v>
      </c>
      <c r="C3078">
        <v>0</v>
      </c>
      <c r="D3078">
        <v>70.8</v>
      </c>
      <c r="E3078">
        <v>3.8149999999999999</v>
      </c>
      <c r="F3078">
        <v>139.36375000000001</v>
      </c>
      <c r="G3078">
        <v>8.0229999999999997</v>
      </c>
      <c r="N3078" s="8"/>
    </row>
    <row r="3079" spans="1:14" x14ac:dyDescent="0.25">
      <c r="A3079" s="8">
        <v>40732</v>
      </c>
      <c r="B3079">
        <v>1017050.65</v>
      </c>
      <c r="C3079">
        <v>0</v>
      </c>
      <c r="D3079">
        <v>74.22</v>
      </c>
      <c r="E3079">
        <v>3.7839999999999998</v>
      </c>
      <c r="F3079">
        <v>139.54420830000001</v>
      </c>
      <c r="G3079">
        <v>8.0229999999999997</v>
      </c>
      <c r="N3079" s="8"/>
    </row>
    <row r="3080" spans="1:14" x14ac:dyDescent="0.25">
      <c r="A3080" s="8">
        <v>40739</v>
      </c>
      <c r="B3080">
        <v>961953.57</v>
      </c>
      <c r="C3080">
        <v>0</v>
      </c>
      <c r="D3080">
        <v>75.2</v>
      </c>
      <c r="E3080">
        <v>3.827</v>
      </c>
      <c r="F3080">
        <v>139.70063250000001</v>
      </c>
      <c r="G3080">
        <v>8.0229999999999997</v>
      </c>
      <c r="N3080" s="8"/>
    </row>
    <row r="3081" spans="1:14" x14ac:dyDescent="0.25">
      <c r="A3081" s="8">
        <v>40746</v>
      </c>
      <c r="B3081">
        <v>964683.8</v>
      </c>
      <c r="C3081">
        <v>0</v>
      </c>
      <c r="D3081">
        <v>77.790000000000006</v>
      </c>
      <c r="E3081">
        <v>3.8820000000000001</v>
      </c>
      <c r="F3081">
        <v>139.7969712</v>
      </c>
      <c r="G3081">
        <v>8.0229999999999997</v>
      </c>
      <c r="N3081" s="8"/>
    </row>
    <row r="3082" spans="1:14" x14ac:dyDescent="0.25">
      <c r="A3082" s="8">
        <v>40753</v>
      </c>
      <c r="B3082">
        <v>944958.69</v>
      </c>
      <c r="C3082">
        <v>0</v>
      </c>
      <c r="D3082">
        <v>75.319999999999993</v>
      </c>
      <c r="E3082">
        <v>3.8980000000000001</v>
      </c>
      <c r="F3082">
        <v>139.89330989999999</v>
      </c>
      <c r="G3082">
        <v>8.0229999999999997</v>
      </c>
      <c r="N3082" s="8"/>
    </row>
    <row r="3083" spans="1:14" x14ac:dyDescent="0.25">
      <c r="A3083" s="8">
        <v>40760</v>
      </c>
      <c r="B3083">
        <v>983232.96</v>
      </c>
      <c r="C3083">
        <v>0</v>
      </c>
      <c r="D3083">
        <v>75.33</v>
      </c>
      <c r="E3083">
        <v>3.903</v>
      </c>
      <c r="F3083">
        <v>139.98964860000001</v>
      </c>
      <c r="G3083">
        <v>8.0229999999999997</v>
      </c>
      <c r="N3083" s="8"/>
    </row>
    <row r="3084" spans="1:14" x14ac:dyDescent="0.25">
      <c r="A3084" s="8">
        <v>40767</v>
      </c>
      <c r="B3084">
        <v>991779.2</v>
      </c>
      <c r="C3084">
        <v>0</v>
      </c>
      <c r="D3084">
        <v>74.69</v>
      </c>
      <c r="E3084">
        <v>3.88</v>
      </c>
      <c r="F3084">
        <v>140.0859873</v>
      </c>
      <c r="G3084">
        <v>8.0229999999999997</v>
      </c>
      <c r="N3084" s="8"/>
    </row>
    <row r="3085" spans="1:14" x14ac:dyDescent="0.25">
      <c r="A3085" s="8">
        <v>40774</v>
      </c>
      <c r="B3085">
        <v>973004.91</v>
      </c>
      <c r="C3085">
        <v>0</v>
      </c>
      <c r="D3085">
        <v>71.3</v>
      </c>
      <c r="E3085">
        <v>3.82</v>
      </c>
      <c r="F3085">
        <v>140.12892049999999</v>
      </c>
      <c r="G3085">
        <v>8.0229999999999997</v>
      </c>
      <c r="N3085" s="8"/>
    </row>
    <row r="3086" spans="1:14" x14ac:dyDescent="0.25">
      <c r="A3086" s="8">
        <v>40781</v>
      </c>
      <c r="B3086">
        <v>1181815.31</v>
      </c>
      <c r="C3086">
        <v>0</v>
      </c>
      <c r="D3086">
        <v>72.22</v>
      </c>
      <c r="E3086">
        <v>3.7959999999999998</v>
      </c>
      <c r="F3086">
        <v>140.1629528</v>
      </c>
      <c r="G3086">
        <v>8.0229999999999997</v>
      </c>
      <c r="N3086" s="8"/>
    </row>
    <row r="3087" spans="1:14" x14ac:dyDescent="0.25">
      <c r="A3087" s="8">
        <v>40788</v>
      </c>
      <c r="B3087">
        <v>912762.76</v>
      </c>
      <c r="C3087">
        <v>0</v>
      </c>
      <c r="D3087">
        <v>69.16</v>
      </c>
      <c r="E3087">
        <v>3.7839999999999998</v>
      </c>
      <c r="F3087">
        <v>140.19698500000001</v>
      </c>
      <c r="G3087">
        <v>8.0229999999999997</v>
      </c>
      <c r="N3087" s="8"/>
    </row>
    <row r="3088" spans="1:14" x14ac:dyDescent="0.25">
      <c r="A3088" s="8">
        <v>40795</v>
      </c>
      <c r="B3088">
        <v>1004434.54</v>
      </c>
      <c r="C3088">
        <v>1</v>
      </c>
      <c r="D3088">
        <v>69.14</v>
      </c>
      <c r="E3088">
        <v>3.8090000000000002</v>
      </c>
      <c r="F3088">
        <v>140.23101729999999</v>
      </c>
      <c r="G3088">
        <v>8.0229999999999997</v>
      </c>
      <c r="N3088" s="8"/>
    </row>
    <row r="3089" spans="1:14" x14ac:dyDescent="0.25">
      <c r="A3089" s="8">
        <v>40802</v>
      </c>
      <c r="B3089">
        <v>937420.65</v>
      </c>
      <c r="C3089">
        <v>0</v>
      </c>
      <c r="D3089">
        <v>68.08</v>
      </c>
      <c r="E3089">
        <v>3.8090000000000002</v>
      </c>
      <c r="F3089">
        <v>140.27350000000001</v>
      </c>
      <c r="G3089">
        <v>8.0229999999999997</v>
      </c>
      <c r="N3089" s="8"/>
    </row>
    <row r="3090" spans="1:14" x14ac:dyDescent="0.25">
      <c r="A3090" s="8">
        <v>40809</v>
      </c>
      <c r="B3090">
        <v>899834.75</v>
      </c>
      <c r="C3090">
        <v>0</v>
      </c>
      <c r="D3090">
        <v>62.36</v>
      </c>
      <c r="E3090">
        <v>3.758</v>
      </c>
      <c r="F3090">
        <v>140.32724999999999</v>
      </c>
      <c r="G3090">
        <v>8.0229999999999997</v>
      </c>
      <c r="N3090" s="8"/>
    </row>
    <row r="3091" spans="1:14" x14ac:dyDescent="0.25">
      <c r="A3091" s="8">
        <v>40816</v>
      </c>
      <c r="B3091">
        <v>953314.16</v>
      </c>
      <c r="C3091">
        <v>0</v>
      </c>
      <c r="D3091">
        <v>69.78</v>
      </c>
      <c r="E3091">
        <v>3.6840000000000002</v>
      </c>
      <c r="F3091">
        <v>140.381</v>
      </c>
      <c r="G3091">
        <v>8.0229999999999997</v>
      </c>
      <c r="N3091" s="8"/>
    </row>
    <row r="3092" spans="1:14" x14ac:dyDescent="0.25">
      <c r="A3092" s="8">
        <v>40823</v>
      </c>
      <c r="B3092">
        <v>993436.67</v>
      </c>
      <c r="C3092">
        <v>0</v>
      </c>
      <c r="D3092">
        <v>56.44</v>
      </c>
      <c r="E3092">
        <v>3.633</v>
      </c>
      <c r="F3092">
        <v>140.43475000000001</v>
      </c>
      <c r="G3092">
        <v>7.7060000000000004</v>
      </c>
      <c r="N3092" s="8"/>
    </row>
    <row r="3093" spans="1:14" x14ac:dyDescent="0.25">
      <c r="A3093" s="8">
        <v>40830</v>
      </c>
      <c r="B3093">
        <v>944337.32</v>
      </c>
      <c r="C3093">
        <v>0</v>
      </c>
      <c r="D3093">
        <v>62.63</v>
      </c>
      <c r="E3093">
        <v>3.5830000000000002</v>
      </c>
      <c r="F3093">
        <v>140.47841940000001</v>
      </c>
      <c r="G3093">
        <v>7.7060000000000004</v>
      </c>
      <c r="N3093" s="8"/>
    </row>
    <row r="3094" spans="1:14" x14ac:dyDescent="0.25">
      <c r="A3094" s="8">
        <v>40837</v>
      </c>
      <c r="B3094">
        <v>981567.22</v>
      </c>
      <c r="C3094">
        <v>0</v>
      </c>
      <c r="D3094">
        <v>59.3</v>
      </c>
      <c r="E3094">
        <v>3.6179999999999999</v>
      </c>
      <c r="F3094">
        <v>140.4616048</v>
      </c>
      <c r="G3094">
        <v>7.7060000000000004</v>
      </c>
      <c r="N3094" s="8"/>
    </row>
    <row r="3095" spans="1:14" x14ac:dyDescent="0.25">
      <c r="A3095" s="8">
        <v>40844</v>
      </c>
      <c r="B3095">
        <v>1099351.68</v>
      </c>
      <c r="C3095">
        <v>0</v>
      </c>
      <c r="D3095">
        <v>49.31</v>
      </c>
      <c r="E3095">
        <v>3.6040000000000001</v>
      </c>
      <c r="F3095">
        <v>140.44479029999999</v>
      </c>
      <c r="G3095">
        <v>7.7060000000000004</v>
      </c>
      <c r="N3095" s="8"/>
    </row>
    <row r="3096" spans="1:14" x14ac:dyDescent="0.25">
      <c r="A3096" s="8">
        <v>40851</v>
      </c>
      <c r="B3096">
        <v>1106575.5900000001</v>
      </c>
      <c r="C3096">
        <v>0</v>
      </c>
      <c r="D3096">
        <v>42.81</v>
      </c>
      <c r="E3096">
        <v>3.5859999999999999</v>
      </c>
      <c r="F3096">
        <v>140.42797580000001</v>
      </c>
      <c r="G3096">
        <v>7.7060000000000004</v>
      </c>
      <c r="N3096" s="8"/>
    </row>
    <row r="3097" spans="1:14" x14ac:dyDescent="0.25">
      <c r="A3097" s="8">
        <v>40858</v>
      </c>
      <c r="B3097">
        <v>1051740.29</v>
      </c>
      <c r="C3097">
        <v>0</v>
      </c>
      <c r="D3097">
        <v>47.8</v>
      </c>
      <c r="E3097">
        <v>3.57</v>
      </c>
      <c r="F3097">
        <v>140.4111613</v>
      </c>
      <c r="G3097">
        <v>7.7060000000000004</v>
      </c>
      <c r="N3097" s="8"/>
    </row>
    <row r="3098" spans="1:14" x14ac:dyDescent="0.25">
      <c r="A3098" s="8">
        <v>40865</v>
      </c>
      <c r="B3098">
        <v>1007579.44</v>
      </c>
      <c r="C3098">
        <v>0</v>
      </c>
      <c r="D3098">
        <v>50.62</v>
      </c>
      <c r="E3098">
        <v>3.5710000000000002</v>
      </c>
      <c r="F3098">
        <v>140.4127857</v>
      </c>
      <c r="G3098">
        <v>7.7060000000000004</v>
      </c>
      <c r="N3098" s="8"/>
    </row>
    <row r="3099" spans="1:14" x14ac:dyDescent="0.25">
      <c r="A3099" s="8">
        <v>40872</v>
      </c>
      <c r="B3099">
        <v>1535857.49</v>
      </c>
      <c r="C3099">
        <v>1</v>
      </c>
      <c r="D3099">
        <v>46.28</v>
      </c>
      <c r="E3099">
        <v>3.536</v>
      </c>
      <c r="F3099">
        <v>140.42178569999999</v>
      </c>
      <c r="G3099">
        <v>7.7060000000000004</v>
      </c>
      <c r="N3099" s="8"/>
    </row>
    <row r="3100" spans="1:14" x14ac:dyDescent="0.25">
      <c r="A3100" s="8">
        <v>40879</v>
      </c>
      <c r="B3100">
        <v>1167621.1399999999</v>
      </c>
      <c r="C3100">
        <v>0</v>
      </c>
      <c r="D3100">
        <v>49.11</v>
      </c>
      <c r="E3100">
        <v>3.5009999999999999</v>
      </c>
      <c r="F3100">
        <v>140.4307857</v>
      </c>
      <c r="G3100">
        <v>7.7060000000000004</v>
      </c>
      <c r="N3100" s="8"/>
    </row>
    <row r="3101" spans="1:14" x14ac:dyDescent="0.25">
      <c r="A3101" s="8">
        <v>40886</v>
      </c>
      <c r="B3101">
        <v>1308967.44</v>
      </c>
      <c r="C3101">
        <v>0</v>
      </c>
      <c r="D3101">
        <v>45.35</v>
      </c>
      <c r="E3101">
        <v>3.47</v>
      </c>
      <c r="F3101">
        <v>140.43978569999999</v>
      </c>
      <c r="G3101">
        <v>7.7060000000000004</v>
      </c>
      <c r="N3101" s="8"/>
    </row>
    <row r="3102" spans="1:14" x14ac:dyDescent="0.25">
      <c r="A3102" s="8">
        <v>40893</v>
      </c>
      <c r="B3102">
        <v>1453153.33</v>
      </c>
      <c r="C3102">
        <v>0</v>
      </c>
      <c r="D3102">
        <v>39.11</v>
      </c>
      <c r="E3102">
        <v>3.4449999999999998</v>
      </c>
      <c r="F3102">
        <v>140.4700795</v>
      </c>
      <c r="G3102">
        <v>7.7060000000000004</v>
      </c>
      <c r="N3102" s="8"/>
    </row>
    <row r="3103" spans="1:14" x14ac:dyDescent="0.25">
      <c r="A3103" s="8">
        <v>40900</v>
      </c>
      <c r="B3103">
        <v>1863195.68</v>
      </c>
      <c r="C3103">
        <v>0</v>
      </c>
      <c r="D3103">
        <v>39.83</v>
      </c>
      <c r="E3103">
        <v>3.4129999999999998</v>
      </c>
      <c r="F3103">
        <v>140.52876499999999</v>
      </c>
      <c r="G3103">
        <v>7.7060000000000004</v>
      </c>
      <c r="N3103" s="8"/>
    </row>
    <row r="3104" spans="1:14" x14ac:dyDescent="0.25">
      <c r="A3104" s="8">
        <v>40907</v>
      </c>
      <c r="B3104">
        <v>982661.14</v>
      </c>
      <c r="C3104">
        <v>1</v>
      </c>
      <c r="D3104">
        <v>36.28</v>
      </c>
      <c r="E3104">
        <v>3.4020000000000001</v>
      </c>
      <c r="F3104">
        <v>140.58745049999999</v>
      </c>
      <c r="G3104">
        <v>7.7060000000000004</v>
      </c>
      <c r="N3104" s="8"/>
    </row>
    <row r="3105" spans="1:14" x14ac:dyDescent="0.25">
      <c r="A3105" s="8">
        <v>40914</v>
      </c>
      <c r="B3105">
        <v>895358.2</v>
      </c>
      <c r="C3105">
        <v>0</v>
      </c>
      <c r="D3105">
        <v>34.61</v>
      </c>
      <c r="E3105">
        <v>3.4390000000000001</v>
      </c>
      <c r="F3105">
        <v>140.64613589999999</v>
      </c>
      <c r="G3105">
        <v>7.5030000000000001</v>
      </c>
      <c r="N3105" s="8"/>
    </row>
    <row r="3106" spans="1:14" x14ac:dyDescent="0.25">
      <c r="A3106" s="8">
        <v>40921</v>
      </c>
      <c r="B3106">
        <v>855437.57</v>
      </c>
      <c r="C3106">
        <v>0</v>
      </c>
      <c r="D3106">
        <v>39</v>
      </c>
      <c r="E3106">
        <v>3.5230000000000001</v>
      </c>
      <c r="F3106">
        <v>140.70482139999999</v>
      </c>
      <c r="G3106">
        <v>7.5030000000000001</v>
      </c>
      <c r="N3106" s="8"/>
    </row>
    <row r="3107" spans="1:14" x14ac:dyDescent="0.25">
      <c r="A3107" s="8">
        <v>40928</v>
      </c>
      <c r="B3107">
        <v>897027.44</v>
      </c>
      <c r="C3107">
        <v>0</v>
      </c>
      <c r="D3107">
        <v>29.16</v>
      </c>
      <c r="E3107">
        <v>3.5419999999999998</v>
      </c>
      <c r="F3107">
        <v>140.80861179999999</v>
      </c>
      <c r="G3107">
        <v>7.5030000000000001</v>
      </c>
      <c r="N3107" s="8"/>
    </row>
    <row r="3108" spans="1:14" x14ac:dyDescent="0.25">
      <c r="A3108" s="8">
        <v>40935</v>
      </c>
      <c r="B3108">
        <v>786459.23</v>
      </c>
      <c r="C3108">
        <v>0</v>
      </c>
      <c r="D3108">
        <v>35.68</v>
      </c>
      <c r="E3108">
        <v>3.5680000000000001</v>
      </c>
      <c r="F3108">
        <v>140.91240210000001</v>
      </c>
      <c r="G3108">
        <v>7.5030000000000001</v>
      </c>
      <c r="N3108" s="8"/>
    </row>
    <row r="3109" spans="1:14" x14ac:dyDescent="0.25">
      <c r="A3109" s="8">
        <v>40942</v>
      </c>
      <c r="B3109">
        <v>958487.75</v>
      </c>
      <c r="C3109">
        <v>0</v>
      </c>
      <c r="D3109">
        <v>40.58</v>
      </c>
      <c r="E3109">
        <v>3.633</v>
      </c>
      <c r="F3109">
        <v>141.01619239999999</v>
      </c>
      <c r="G3109">
        <v>7.5030000000000001</v>
      </c>
      <c r="N3109" s="8"/>
    </row>
    <row r="3110" spans="1:14" x14ac:dyDescent="0.25">
      <c r="A3110" s="8">
        <v>40949</v>
      </c>
      <c r="B3110">
        <v>1034448.07</v>
      </c>
      <c r="C3110">
        <v>1</v>
      </c>
      <c r="D3110">
        <v>35.68</v>
      </c>
      <c r="E3110">
        <v>3.6549999999999998</v>
      </c>
      <c r="F3110">
        <v>141.11998270000001</v>
      </c>
      <c r="G3110">
        <v>7.5030000000000001</v>
      </c>
      <c r="N3110" s="8"/>
    </row>
    <row r="3111" spans="1:14" x14ac:dyDescent="0.25">
      <c r="A3111" s="8">
        <v>40956</v>
      </c>
      <c r="B3111">
        <v>1004749.41</v>
      </c>
      <c r="C3111">
        <v>0</v>
      </c>
      <c r="D3111">
        <v>36.25</v>
      </c>
      <c r="E3111">
        <v>3.7029999999999998</v>
      </c>
      <c r="F3111">
        <v>141.21403570000001</v>
      </c>
      <c r="G3111">
        <v>7.5030000000000001</v>
      </c>
      <c r="N3111" s="8"/>
    </row>
    <row r="3112" spans="1:14" x14ac:dyDescent="0.25">
      <c r="A3112" s="8">
        <v>40963</v>
      </c>
      <c r="B3112">
        <v>912958.95</v>
      </c>
      <c r="C3112">
        <v>0</v>
      </c>
      <c r="D3112">
        <v>39</v>
      </c>
      <c r="E3112">
        <v>3.7509999999999999</v>
      </c>
      <c r="F3112">
        <v>141.30078570000001</v>
      </c>
      <c r="G3112">
        <v>7.5030000000000001</v>
      </c>
      <c r="N3112" s="8"/>
    </row>
    <row r="3113" spans="1:14" x14ac:dyDescent="0.25">
      <c r="A3113" s="8">
        <v>40970</v>
      </c>
      <c r="B3113">
        <v>974866.65</v>
      </c>
      <c r="C3113">
        <v>0</v>
      </c>
      <c r="D3113">
        <v>37.47</v>
      </c>
      <c r="E3113">
        <v>3.827</v>
      </c>
      <c r="F3113">
        <v>141.3875357</v>
      </c>
      <c r="G3113">
        <v>7.5030000000000001</v>
      </c>
      <c r="N3113" s="8"/>
    </row>
    <row r="3114" spans="1:14" x14ac:dyDescent="0.25">
      <c r="A3114" s="8">
        <v>40977</v>
      </c>
      <c r="B3114">
        <v>991127.01</v>
      </c>
      <c r="C3114">
        <v>0</v>
      </c>
      <c r="D3114">
        <v>41.72</v>
      </c>
      <c r="E3114">
        <v>3.8759999999999999</v>
      </c>
      <c r="F3114">
        <v>141.4742857</v>
      </c>
      <c r="G3114">
        <v>7.5030000000000001</v>
      </c>
      <c r="N3114" s="8"/>
    </row>
    <row r="3115" spans="1:14" x14ac:dyDescent="0.25">
      <c r="A3115" s="8">
        <v>40984</v>
      </c>
      <c r="B3115">
        <v>966780.01</v>
      </c>
      <c r="C3115">
        <v>0</v>
      </c>
      <c r="D3115">
        <v>46.06</v>
      </c>
      <c r="E3115">
        <v>3.867</v>
      </c>
      <c r="F3115">
        <v>141.55477999999999</v>
      </c>
      <c r="G3115">
        <v>7.5030000000000001</v>
      </c>
      <c r="N3115" s="8"/>
    </row>
    <row r="3116" spans="1:14" x14ac:dyDescent="0.25">
      <c r="A3116" s="8">
        <v>40991</v>
      </c>
      <c r="B3116">
        <v>992774.4</v>
      </c>
      <c r="C3116">
        <v>0</v>
      </c>
      <c r="D3116">
        <v>54.68</v>
      </c>
      <c r="E3116">
        <v>3.8889999999999998</v>
      </c>
      <c r="F3116">
        <v>141.6269332</v>
      </c>
      <c r="G3116">
        <v>7.5030000000000001</v>
      </c>
      <c r="N3116" s="8"/>
    </row>
    <row r="3117" spans="1:14" x14ac:dyDescent="0.25">
      <c r="A3117" s="8">
        <v>40998</v>
      </c>
      <c r="B3117">
        <v>965769.93</v>
      </c>
      <c r="C3117">
        <v>0</v>
      </c>
      <c r="D3117">
        <v>46.4</v>
      </c>
      <c r="E3117">
        <v>3.9209999999999998</v>
      </c>
      <c r="F3117">
        <v>141.6990864</v>
      </c>
      <c r="G3117">
        <v>7.5030000000000001</v>
      </c>
      <c r="N3117" s="8"/>
    </row>
    <row r="3118" spans="1:14" x14ac:dyDescent="0.25">
      <c r="A3118" s="8">
        <v>41005</v>
      </c>
      <c r="B3118">
        <v>1197489.6599999999</v>
      </c>
      <c r="C3118">
        <v>0</v>
      </c>
      <c r="D3118">
        <v>46.38</v>
      </c>
      <c r="E3118">
        <v>3.9569999999999999</v>
      </c>
      <c r="F3118">
        <v>141.7712396</v>
      </c>
      <c r="G3118">
        <v>7.6710000000000003</v>
      </c>
      <c r="N3118" s="8"/>
    </row>
    <row r="3119" spans="1:14" x14ac:dyDescent="0.25">
      <c r="A3119" s="8">
        <v>41012</v>
      </c>
      <c r="B3119">
        <v>939118.24</v>
      </c>
      <c r="C3119">
        <v>0</v>
      </c>
      <c r="D3119">
        <v>49.89</v>
      </c>
      <c r="E3119">
        <v>4.0250000000000004</v>
      </c>
      <c r="F3119">
        <v>141.8433929</v>
      </c>
      <c r="G3119">
        <v>7.6710000000000003</v>
      </c>
      <c r="N3119" s="8"/>
    </row>
    <row r="3120" spans="1:14" x14ac:dyDescent="0.25">
      <c r="A3120" s="8">
        <v>41019</v>
      </c>
      <c r="B3120">
        <v>1000342.87</v>
      </c>
      <c r="C3120">
        <v>0</v>
      </c>
      <c r="D3120">
        <v>58.81</v>
      </c>
      <c r="E3120">
        <v>4.0460000000000003</v>
      </c>
      <c r="F3120">
        <v>141.90152620000001</v>
      </c>
      <c r="G3120">
        <v>7.6710000000000003</v>
      </c>
      <c r="N3120" s="8"/>
    </row>
    <row r="3121" spans="1:14" x14ac:dyDescent="0.25">
      <c r="A3121" s="8">
        <v>41026</v>
      </c>
      <c r="B3121">
        <v>922539.94</v>
      </c>
      <c r="C3121">
        <v>0</v>
      </c>
      <c r="D3121">
        <v>51.42</v>
      </c>
      <c r="E3121">
        <v>4.0229999999999997</v>
      </c>
      <c r="F3121">
        <v>141.95965949999999</v>
      </c>
      <c r="G3121">
        <v>7.6710000000000003</v>
      </c>
      <c r="N3121" s="8"/>
    </row>
    <row r="3122" spans="1:14" x14ac:dyDescent="0.25">
      <c r="A3122" s="8">
        <v>41033</v>
      </c>
      <c r="B3122">
        <v>1005083.31</v>
      </c>
      <c r="C3122">
        <v>0</v>
      </c>
      <c r="D3122">
        <v>50.75</v>
      </c>
      <c r="E3122">
        <v>3.9910000000000001</v>
      </c>
      <c r="F3122">
        <v>142.01779289999999</v>
      </c>
      <c r="G3122">
        <v>7.6710000000000003</v>
      </c>
      <c r="N3122" s="8"/>
    </row>
    <row r="3123" spans="1:14" x14ac:dyDescent="0.25">
      <c r="A3123" s="8">
        <v>41040</v>
      </c>
      <c r="B3123">
        <v>997868.63</v>
      </c>
      <c r="C3123">
        <v>0</v>
      </c>
      <c r="D3123">
        <v>56.72</v>
      </c>
      <c r="E3123">
        <v>3.9470000000000001</v>
      </c>
      <c r="F3123">
        <v>142.0759262</v>
      </c>
      <c r="G3123">
        <v>7.6710000000000003</v>
      </c>
      <c r="N3123" s="8"/>
    </row>
    <row r="3124" spans="1:14" x14ac:dyDescent="0.25">
      <c r="A3124" s="8">
        <v>41047</v>
      </c>
      <c r="B3124">
        <v>986612.02</v>
      </c>
      <c r="C3124">
        <v>0</v>
      </c>
      <c r="D3124">
        <v>61.9</v>
      </c>
      <c r="E3124">
        <v>3.899</v>
      </c>
      <c r="F3124">
        <v>142.09701150000001</v>
      </c>
      <c r="G3124">
        <v>7.6710000000000003</v>
      </c>
      <c r="N3124" s="8"/>
    </row>
    <row r="3125" spans="1:14" x14ac:dyDescent="0.25">
      <c r="A3125" s="8">
        <v>41054</v>
      </c>
      <c r="B3125">
        <v>1047297.38</v>
      </c>
      <c r="C3125">
        <v>0</v>
      </c>
      <c r="D3125">
        <v>62.39</v>
      </c>
      <c r="E3125">
        <v>3.85</v>
      </c>
      <c r="F3125">
        <v>142.10327760000001</v>
      </c>
      <c r="G3125">
        <v>7.6710000000000003</v>
      </c>
      <c r="N3125" s="8"/>
    </row>
    <row r="3126" spans="1:14" x14ac:dyDescent="0.25">
      <c r="A3126" s="8">
        <v>41061</v>
      </c>
      <c r="B3126">
        <v>1102857.3700000001</v>
      </c>
      <c r="C3126">
        <v>0</v>
      </c>
      <c r="D3126">
        <v>70.010000000000005</v>
      </c>
      <c r="E3126">
        <v>3.798</v>
      </c>
      <c r="F3126">
        <v>142.10954380000001</v>
      </c>
      <c r="G3126">
        <v>7.6710000000000003</v>
      </c>
      <c r="N3126" s="8"/>
    </row>
    <row r="3127" spans="1:14" x14ac:dyDescent="0.25">
      <c r="A3127" s="8">
        <v>41068</v>
      </c>
      <c r="B3127">
        <v>1061134.3700000001</v>
      </c>
      <c r="C3127">
        <v>0</v>
      </c>
      <c r="D3127">
        <v>61.71</v>
      </c>
      <c r="E3127">
        <v>3.746</v>
      </c>
      <c r="F3127">
        <v>142.11580989999999</v>
      </c>
      <c r="G3127">
        <v>7.6710000000000003</v>
      </c>
      <c r="N3127" s="8"/>
    </row>
    <row r="3128" spans="1:14" x14ac:dyDescent="0.25">
      <c r="A3128" s="8">
        <v>41075</v>
      </c>
      <c r="B3128">
        <v>1061219.19</v>
      </c>
      <c r="C3128">
        <v>0</v>
      </c>
      <c r="D3128">
        <v>66.56</v>
      </c>
      <c r="E3128">
        <v>3.6829999999999998</v>
      </c>
      <c r="F3128">
        <v>142.12925480000001</v>
      </c>
      <c r="G3128">
        <v>7.6710000000000003</v>
      </c>
      <c r="N3128" s="8"/>
    </row>
    <row r="3129" spans="1:14" x14ac:dyDescent="0.25">
      <c r="A3129" s="8">
        <v>41082</v>
      </c>
      <c r="B3129">
        <v>1112449.3</v>
      </c>
      <c r="C3129">
        <v>0</v>
      </c>
      <c r="D3129">
        <v>70.61</v>
      </c>
      <c r="E3129">
        <v>3.629</v>
      </c>
      <c r="F3129">
        <v>142.16064639999999</v>
      </c>
      <c r="G3129">
        <v>7.6710000000000003</v>
      </c>
      <c r="N3129" s="8"/>
    </row>
    <row r="3130" spans="1:14" x14ac:dyDescent="0.25">
      <c r="A3130" s="8">
        <v>41089</v>
      </c>
      <c r="B3130">
        <v>1053881.78</v>
      </c>
      <c r="C3130">
        <v>0</v>
      </c>
      <c r="D3130">
        <v>70.989999999999995</v>
      </c>
      <c r="E3130">
        <v>3.577</v>
      </c>
      <c r="F3130">
        <v>142.19203809999999</v>
      </c>
      <c r="G3130">
        <v>7.6710000000000003</v>
      </c>
      <c r="N3130" s="8"/>
    </row>
    <row r="3131" spans="1:14" x14ac:dyDescent="0.25">
      <c r="A3131" s="8">
        <v>41096</v>
      </c>
      <c r="B3131">
        <v>1097786.1399999999</v>
      </c>
      <c r="C3131">
        <v>0</v>
      </c>
      <c r="D3131">
        <v>77.41</v>
      </c>
      <c r="E3131">
        <v>3.5379999999999998</v>
      </c>
      <c r="F3131">
        <v>142.22342979999999</v>
      </c>
      <c r="G3131">
        <v>7.7530000000000001</v>
      </c>
      <c r="N3131" s="8"/>
    </row>
    <row r="3132" spans="1:14" x14ac:dyDescent="0.25">
      <c r="A3132" s="8">
        <v>41103</v>
      </c>
      <c r="B3132">
        <v>971361.38</v>
      </c>
      <c r="C3132">
        <v>0</v>
      </c>
      <c r="D3132">
        <v>75.81</v>
      </c>
      <c r="E3132">
        <v>3.5609999999999999</v>
      </c>
      <c r="F3132">
        <v>142.2548214</v>
      </c>
      <c r="G3132">
        <v>7.7530000000000001</v>
      </c>
      <c r="N3132" s="8"/>
    </row>
    <row r="3133" spans="1:14" x14ac:dyDescent="0.25">
      <c r="A3133" s="8">
        <v>41110</v>
      </c>
      <c r="B3133">
        <v>991969.37</v>
      </c>
      <c r="C3133">
        <v>0</v>
      </c>
      <c r="D3133">
        <v>76.569999999999993</v>
      </c>
      <c r="E3133">
        <v>3.61</v>
      </c>
      <c r="F3133">
        <v>142.2337569</v>
      </c>
      <c r="G3133">
        <v>7.7530000000000001</v>
      </c>
      <c r="N3133" s="8"/>
    </row>
    <row r="3134" spans="1:14" x14ac:dyDescent="0.25">
      <c r="A3134" s="8">
        <v>41117</v>
      </c>
      <c r="B3134">
        <v>925731.21</v>
      </c>
      <c r="C3134">
        <v>0</v>
      </c>
      <c r="D3134">
        <v>73.52</v>
      </c>
      <c r="E3134">
        <v>3.7010000000000001</v>
      </c>
      <c r="F3134">
        <v>142.21269240000001</v>
      </c>
      <c r="G3134">
        <v>7.7530000000000001</v>
      </c>
      <c r="N3134" s="8"/>
    </row>
    <row r="3135" spans="1:14" x14ac:dyDescent="0.25">
      <c r="A3135" s="8">
        <v>41124</v>
      </c>
      <c r="B3135">
        <v>1007257.83</v>
      </c>
      <c r="C3135">
        <v>0</v>
      </c>
      <c r="D3135">
        <v>72.989999999999995</v>
      </c>
      <c r="E3135">
        <v>3.698</v>
      </c>
      <c r="F3135">
        <v>142.19162789999999</v>
      </c>
      <c r="G3135">
        <v>7.7530000000000001</v>
      </c>
      <c r="N3135" s="8"/>
    </row>
    <row r="3136" spans="1:14" x14ac:dyDescent="0.25">
      <c r="A3136" s="8">
        <v>41131</v>
      </c>
      <c r="B3136">
        <v>973812.79</v>
      </c>
      <c r="C3136">
        <v>0</v>
      </c>
      <c r="D3136">
        <v>76.739999999999995</v>
      </c>
      <c r="E3136">
        <v>3.7719999999999998</v>
      </c>
      <c r="F3136">
        <v>142.17056339999999</v>
      </c>
      <c r="G3136">
        <v>7.7530000000000001</v>
      </c>
      <c r="N3136" s="8"/>
    </row>
    <row r="3137" spans="1:14" x14ac:dyDescent="0.25">
      <c r="A3137" s="8">
        <v>41138</v>
      </c>
      <c r="B3137">
        <v>981273.26</v>
      </c>
      <c r="C3137">
        <v>0</v>
      </c>
      <c r="D3137">
        <v>74.92</v>
      </c>
      <c r="E3137">
        <v>3.84</v>
      </c>
      <c r="F3137">
        <v>142.21573849999999</v>
      </c>
      <c r="G3137">
        <v>7.7530000000000001</v>
      </c>
      <c r="N3137" s="8"/>
    </row>
    <row r="3138" spans="1:14" x14ac:dyDescent="0.25">
      <c r="A3138" s="8">
        <v>41145</v>
      </c>
      <c r="B3138">
        <v>1060906.75</v>
      </c>
      <c r="C3138">
        <v>0</v>
      </c>
      <c r="D3138">
        <v>70.42</v>
      </c>
      <c r="E3138">
        <v>3.8740000000000001</v>
      </c>
      <c r="F3138">
        <v>142.31059329999999</v>
      </c>
      <c r="G3138">
        <v>7.7530000000000001</v>
      </c>
      <c r="N3138" s="8"/>
    </row>
    <row r="3139" spans="1:14" x14ac:dyDescent="0.25">
      <c r="A3139" s="8">
        <v>41152</v>
      </c>
      <c r="B3139">
        <v>1022270.86</v>
      </c>
      <c r="C3139">
        <v>0</v>
      </c>
      <c r="D3139">
        <v>71.930000000000007</v>
      </c>
      <c r="E3139">
        <v>3.8839999999999999</v>
      </c>
      <c r="F3139">
        <v>142.4054482</v>
      </c>
      <c r="G3139">
        <v>7.7530000000000001</v>
      </c>
      <c r="N3139" s="8"/>
    </row>
    <row r="3140" spans="1:14" x14ac:dyDescent="0.25">
      <c r="A3140" s="8">
        <v>41159</v>
      </c>
      <c r="B3140">
        <v>996628.8</v>
      </c>
      <c r="C3140">
        <v>1</v>
      </c>
      <c r="D3140">
        <v>73.3</v>
      </c>
      <c r="E3140">
        <v>3.9209999999999998</v>
      </c>
      <c r="F3140">
        <v>142.500303</v>
      </c>
      <c r="G3140">
        <v>7.7530000000000001</v>
      </c>
      <c r="N3140" s="8"/>
    </row>
    <row r="3141" spans="1:14" x14ac:dyDescent="0.25">
      <c r="A3141" s="8">
        <v>41166</v>
      </c>
      <c r="B3141">
        <v>918049.28000000003</v>
      </c>
      <c r="C3141">
        <v>0</v>
      </c>
      <c r="D3141">
        <v>66.42</v>
      </c>
      <c r="E3141">
        <v>3.988</v>
      </c>
      <c r="F3141">
        <v>142.59388329999999</v>
      </c>
      <c r="G3141">
        <v>7.7530000000000001</v>
      </c>
      <c r="N3141" s="8"/>
    </row>
    <row r="3142" spans="1:14" x14ac:dyDescent="0.25">
      <c r="A3142" s="8">
        <v>41173</v>
      </c>
      <c r="B3142">
        <v>921612.53</v>
      </c>
      <c r="C3142">
        <v>0</v>
      </c>
      <c r="D3142">
        <v>63.38</v>
      </c>
      <c r="E3142">
        <v>4.056</v>
      </c>
      <c r="F3142">
        <v>142.6798167</v>
      </c>
      <c r="G3142">
        <v>7.7530000000000001</v>
      </c>
      <c r="N3142" s="8"/>
    </row>
    <row r="3143" spans="1:14" x14ac:dyDescent="0.25">
      <c r="A3143" s="8">
        <v>41180</v>
      </c>
      <c r="B3143">
        <v>976479.51</v>
      </c>
      <c r="C3143">
        <v>0</v>
      </c>
      <c r="D3143">
        <v>62.17</v>
      </c>
      <c r="E3143">
        <v>4.0179999999999998</v>
      </c>
      <c r="F3143">
        <v>142.76575</v>
      </c>
      <c r="G3143">
        <v>7.7530000000000001</v>
      </c>
      <c r="N3143" s="8"/>
    </row>
    <row r="3144" spans="1:14" x14ac:dyDescent="0.25">
      <c r="A3144" s="8">
        <v>41187</v>
      </c>
      <c r="B3144">
        <v>1009887.36</v>
      </c>
      <c r="C3144">
        <v>0</v>
      </c>
      <c r="D3144">
        <v>62.09</v>
      </c>
      <c r="E3144">
        <v>4.0270000000000001</v>
      </c>
      <c r="F3144">
        <v>142.85168329999999</v>
      </c>
      <c r="G3144">
        <v>7.5430000000000001</v>
      </c>
      <c r="N3144" s="8"/>
    </row>
    <row r="3145" spans="1:14" x14ac:dyDescent="0.25">
      <c r="A3145" s="8">
        <v>41194</v>
      </c>
      <c r="B3145">
        <v>1004039.84</v>
      </c>
      <c r="C3145">
        <v>0</v>
      </c>
      <c r="D3145">
        <v>54.18</v>
      </c>
      <c r="E3145">
        <v>4.0289999999999999</v>
      </c>
      <c r="F3145">
        <v>142.93761670000001</v>
      </c>
      <c r="G3145">
        <v>7.5430000000000001</v>
      </c>
      <c r="N3145" s="8"/>
    </row>
    <row r="3146" spans="1:14" x14ac:dyDescent="0.25">
      <c r="A3146" s="8">
        <v>41201</v>
      </c>
      <c r="B3146">
        <v>978027.95</v>
      </c>
      <c r="C3146">
        <v>0</v>
      </c>
      <c r="D3146">
        <v>55.28</v>
      </c>
      <c r="E3146">
        <v>4</v>
      </c>
      <c r="F3146">
        <v>142.8633629</v>
      </c>
      <c r="G3146">
        <v>7.5430000000000001</v>
      </c>
      <c r="N3146" s="8"/>
    </row>
    <row r="3147" spans="1:14" x14ac:dyDescent="0.25">
      <c r="A3147" s="8">
        <v>41208</v>
      </c>
      <c r="B3147">
        <v>1094422.69</v>
      </c>
      <c r="C3147">
        <v>0</v>
      </c>
      <c r="D3147">
        <v>57.58</v>
      </c>
      <c r="E3147">
        <v>3.9169999999999998</v>
      </c>
      <c r="F3147">
        <v>142.7624113</v>
      </c>
      <c r="G3147">
        <v>7.5430000000000001</v>
      </c>
      <c r="N3147" s="8"/>
    </row>
    <row r="3148" spans="1:14" x14ac:dyDescent="0.25">
      <c r="A3148" s="8">
        <v>40214</v>
      </c>
      <c r="B3148">
        <v>1364721.58</v>
      </c>
      <c r="C3148">
        <v>0</v>
      </c>
      <c r="D3148">
        <v>15.25</v>
      </c>
      <c r="E3148">
        <v>2.7879999999999998</v>
      </c>
      <c r="F3148">
        <v>131.5279032</v>
      </c>
      <c r="G3148">
        <v>5.8920000000000003</v>
      </c>
      <c r="N3148" s="8"/>
    </row>
    <row r="3149" spans="1:14" x14ac:dyDescent="0.25">
      <c r="A3149" s="8">
        <v>40221</v>
      </c>
      <c r="B3149">
        <v>1380892.08</v>
      </c>
      <c r="C3149">
        <v>1</v>
      </c>
      <c r="D3149">
        <v>18.75</v>
      </c>
      <c r="E3149">
        <v>2.7709999999999999</v>
      </c>
      <c r="F3149">
        <v>131.58661290000001</v>
      </c>
      <c r="G3149">
        <v>5.8920000000000003</v>
      </c>
      <c r="N3149" s="8"/>
    </row>
    <row r="3150" spans="1:14" x14ac:dyDescent="0.25">
      <c r="A3150" s="8">
        <v>40228</v>
      </c>
      <c r="B3150">
        <v>1319588.04</v>
      </c>
      <c r="C3150">
        <v>0</v>
      </c>
      <c r="D3150">
        <v>26.7</v>
      </c>
      <c r="E3150">
        <v>2.7469999999999999</v>
      </c>
      <c r="F3150">
        <v>131.637</v>
      </c>
      <c r="G3150">
        <v>5.8920000000000003</v>
      </c>
      <c r="N3150" s="8"/>
    </row>
    <row r="3151" spans="1:14" x14ac:dyDescent="0.25">
      <c r="A3151" s="8">
        <v>40235</v>
      </c>
      <c r="B3151">
        <v>1198709.6499999999</v>
      </c>
      <c r="C3151">
        <v>0</v>
      </c>
      <c r="D3151">
        <v>32.68</v>
      </c>
      <c r="E3151">
        <v>2.7530000000000001</v>
      </c>
      <c r="F3151">
        <v>131.68600000000001</v>
      </c>
      <c r="G3151">
        <v>5.8920000000000003</v>
      </c>
      <c r="N3151" s="8"/>
    </row>
    <row r="3152" spans="1:14" x14ac:dyDescent="0.25">
      <c r="A3152" s="8">
        <v>40242</v>
      </c>
      <c r="B3152">
        <v>1311175.93</v>
      </c>
      <c r="C3152">
        <v>0</v>
      </c>
      <c r="D3152">
        <v>33.15</v>
      </c>
      <c r="E3152">
        <v>2.766</v>
      </c>
      <c r="F3152">
        <v>131.73500000000001</v>
      </c>
      <c r="G3152">
        <v>5.8920000000000003</v>
      </c>
      <c r="N3152" s="8"/>
    </row>
    <row r="3153" spans="1:14" x14ac:dyDescent="0.25">
      <c r="A3153" s="8">
        <v>40249</v>
      </c>
      <c r="B3153">
        <v>1408082.96</v>
      </c>
      <c r="C3153">
        <v>0</v>
      </c>
      <c r="D3153">
        <v>36.07</v>
      </c>
      <c r="E3153">
        <v>2.8050000000000002</v>
      </c>
      <c r="F3153">
        <v>131.78399999999999</v>
      </c>
      <c r="G3153">
        <v>5.8920000000000003</v>
      </c>
      <c r="N3153" s="8"/>
    </row>
    <row r="3154" spans="1:14" x14ac:dyDescent="0.25">
      <c r="A3154" s="8">
        <v>40256</v>
      </c>
      <c r="B3154">
        <v>1229008.32</v>
      </c>
      <c r="C3154">
        <v>0</v>
      </c>
      <c r="D3154">
        <v>43.01</v>
      </c>
      <c r="E3154">
        <v>2.8340000000000001</v>
      </c>
      <c r="F3154">
        <v>131.8242903</v>
      </c>
      <c r="G3154">
        <v>5.8920000000000003</v>
      </c>
      <c r="N3154" s="8"/>
    </row>
    <row r="3155" spans="1:14" x14ac:dyDescent="0.25">
      <c r="A3155" s="8">
        <v>40263</v>
      </c>
      <c r="B3155">
        <v>1310701.8</v>
      </c>
      <c r="C3155">
        <v>0</v>
      </c>
      <c r="D3155">
        <v>38.590000000000003</v>
      </c>
      <c r="E3155">
        <v>2.831</v>
      </c>
      <c r="F3155">
        <v>131.86312899999999</v>
      </c>
      <c r="G3155">
        <v>5.8920000000000003</v>
      </c>
      <c r="N3155" s="8"/>
    </row>
    <row r="3156" spans="1:14" x14ac:dyDescent="0.25">
      <c r="A3156" s="8">
        <v>40270</v>
      </c>
      <c r="B3156">
        <v>1556627.62</v>
      </c>
      <c r="C3156">
        <v>0</v>
      </c>
      <c r="D3156">
        <v>40.5</v>
      </c>
      <c r="E3156">
        <v>2.8260000000000001</v>
      </c>
      <c r="F3156">
        <v>131.9019677</v>
      </c>
      <c r="G3156">
        <v>5.4349999999999996</v>
      </c>
      <c r="N3156" s="8"/>
    </row>
    <row r="3157" spans="1:14" x14ac:dyDescent="0.25">
      <c r="A3157" s="8">
        <v>40277</v>
      </c>
      <c r="B3157">
        <v>1264434.7</v>
      </c>
      <c r="C3157">
        <v>0</v>
      </c>
      <c r="D3157">
        <v>56.82</v>
      </c>
      <c r="E3157">
        <v>2.8490000000000002</v>
      </c>
      <c r="F3157">
        <v>131.94080650000001</v>
      </c>
      <c r="G3157">
        <v>5.4349999999999996</v>
      </c>
      <c r="N3157" s="8"/>
    </row>
    <row r="3158" spans="1:14" x14ac:dyDescent="0.25">
      <c r="A3158" s="8">
        <v>40284</v>
      </c>
      <c r="B3158">
        <v>1288823.72</v>
      </c>
      <c r="C3158">
        <v>0</v>
      </c>
      <c r="D3158">
        <v>44.25</v>
      </c>
      <c r="E3158">
        <v>2.8849999999999998</v>
      </c>
      <c r="F3158">
        <v>131.98089999999999</v>
      </c>
      <c r="G3158">
        <v>5.4349999999999996</v>
      </c>
      <c r="N3158" s="8"/>
    </row>
    <row r="3159" spans="1:14" x14ac:dyDescent="0.25">
      <c r="A3159" s="8">
        <v>40291</v>
      </c>
      <c r="B3159">
        <v>1315023.08</v>
      </c>
      <c r="C3159">
        <v>0</v>
      </c>
      <c r="D3159">
        <v>46.4</v>
      </c>
      <c r="E3159">
        <v>2.895</v>
      </c>
      <c r="F3159">
        <v>132.0226667</v>
      </c>
      <c r="G3159">
        <v>5.4349999999999996</v>
      </c>
      <c r="N3159" s="8"/>
    </row>
    <row r="3160" spans="1:14" x14ac:dyDescent="0.25">
      <c r="A3160" s="8">
        <v>40298</v>
      </c>
      <c r="B3160">
        <v>1259414.52</v>
      </c>
      <c r="C3160">
        <v>0</v>
      </c>
      <c r="D3160">
        <v>45.47</v>
      </c>
      <c r="E3160">
        <v>2.9350000000000001</v>
      </c>
      <c r="F3160">
        <v>132.06443329999999</v>
      </c>
      <c r="G3160">
        <v>5.4349999999999996</v>
      </c>
      <c r="N3160" s="8"/>
    </row>
    <row r="3161" spans="1:14" x14ac:dyDescent="0.25">
      <c r="A3161" s="8">
        <v>40305</v>
      </c>
      <c r="B3161">
        <v>1365552.28</v>
      </c>
      <c r="C3161">
        <v>0</v>
      </c>
      <c r="D3161">
        <v>61.04</v>
      </c>
      <c r="E3161">
        <v>2.9809999999999999</v>
      </c>
      <c r="F3161">
        <v>132.1062</v>
      </c>
      <c r="G3161">
        <v>5.4349999999999996</v>
      </c>
      <c r="N3161" s="8"/>
    </row>
    <row r="3162" spans="1:14" x14ac:dyDescent="0.25">
      <c r="A3162" s="8">
        <v>40312</v>
      </c>
      <c r="B3162">
        <v>1303055.0900000001</v>
      </c>
      <c r="C3162">
        <v>0</v>
      </c>
      <c r="D3162">
        <v>45.33</v>
      </c>
      <c r="E3162">
        <v>2.9830000000000001</v>
      </c>
      <c r="F3162">
        <v>132.152129</v>
      </c>
      <c r="G3162">
        <v>5.4349999999999996</v>
      </c>
      <c r="N3162" s="8"/>
    </row>
    <row r="3163" spans="1:14" x14ac:dyDescent="0.25">
      <c r="A3163" s="8">
        <v>40319</v>
      </c>
      <c r="B3163">
        <v>1327424.28</v>
      </c>
      <c r="C3163">
        <v>0</v>
      </c>
      <c r="D3163">
        <v>57.94</v>
      </c>
      <c r="E3163">
        <v>2.9609999999999999</v>
      </c>
      <c r="F3163">
        <v>132.2230323</v>
      </c>
      <c r="G3163">
        <v>5.4349999999999996</v>
      </c>
      <c r="N3163" s="8"/>
    </row>
    <row r="3164" spans="1:14" x14ac:dyDescent="0.25">
      <c r="A3164" s="8">
        <v>40326</v>
      </c>
      <c r="B3164">
        <v>1571158.56</v>
      </c>
      <c r="C3164">
        <v>0</v>
      </c>
      <c r="D3164">
        <v>69.260000000000005</v>
      </c>
      <c r="E3164">
        <v>2.9060000000000001</v>
      </c>
      <c r="F3164">
        <v>132.2939355</v>
      </c>
      <c r="G3164">
        <v>5.4349999999999996</v>
      </c>
      <c r="N3164" s="8"/>
    </row>
    <row r="3165" spans="1:14" x14ac:dyDescent="0.25">
      <c r="A3165" s="8">
        <v>40333</v>
      </c>
      <c r="B3165">
        <v>1514435.51</v>
      </c>
      <c r="C3165">
        <v>0</v>
      </c>
      <c r="D3165">
        <v>64.94</v>
      </c>
      <c r="E3165">
        <v>2.8570000000000002</v>
      </c>
      <c r="F3165">
        <v>132.36483870000001</v>
      </c>
      <c r="G3165">
        <v>5.4349999999999996</v>
      </c>
      <c r="N3165" s="8"/>
    </row>
    <row r="3166" spans="1:14" x14ac:dyDescent="0.25">
      <c r="A3166" s="8">
        <v>40340</v>
      </c>
      <c r="B3166">
        <v>1439432.06</v>
      </c>
      <c r="C3166">
        <v>0</v>
      </c>
      <c r="D3166">
        <v>58.35</v>
      </c>
      <c r="E3166">
        <v>2.83</v>
      </c>
      <c r="F3166">
        <v>132.43574190000001</v>
      </c>
      <c r="G3166">
        <v>5.4349999999999996</v>
      </c>
      <c r="N3166" s="8"/>
    </row>
    <row r="3167" spans="1:14" x14ac:dyDescent="0.25">
      <c r="A3167" s="8">
        <v>40347</v>
      </c>
      <c r="B3167">
        <v>1507708.93</v>
      </c>
      <c r="C3167">
        <v>0</v>
      </c>
      <c r="D3167">
        <v>60.29</v>
      </c>
      <c r="E3167">
        <v>2.8050000000000002</v>
      </c>
      <c r="F3167">
        <v>132.47333330000001</v>
      </c>
      <c r="G3167">
        <v>5.4349999999999996</v>
      </c>
      <c r="N3167" s="8"/>
    </row>
    <row r="3168" spans="1:14" x14ac:dyDescent="0.25">
      <c r="A3168" s="8">
        <v>40354</v>
      </c>
      <c r="B3168">
        <v>1415204.88</v>
      </c>
      <c r="C3168">
        <v>0</v>
      </c>
      <c r="D3168">
        <v>69.83</v>
      </c>
      <c r="E3168">
        <v>2.81</v>
      </c>
      <c r="F3168">
        <v>132.49760000000001</v>
      </c>
      <c r="G3168">
        <v>5.4349999999999996</v>
      </c>
      <c r="N3168" s="8"/>
    </row>
    <row r="3169" spans="1:14" x14ac:dyDescent="0.25">
      <c r="A3169" s="8">
        <v>40361</v>
      </c>
      <c r="B3169">
        <v>1549113.18</v>
      </c>
      <c r="C3169">
        <v>0</v>
      </c>
      <c r="D3169">
        <v>64.760000000000005</v>
      </c>
      <c r="E3169">
        <v>2.8149999999999999</v>
      </c>
      <c r="F3169">
        <v>132.5218667</v>
      </c>
      <c r="G3169">
        <v>5.3259999999999996</v>
      </c>
      <c r="N3169" s="8"/>
    </row>
    <row r="3170" spans="1:14" x14ac:dyDescent="0.25">
      <c r="A3170" s="8">
        <v>40368</v>
      </c>
      <c r="B3170">
        <v>1417535.78</v>
      </c>
      <c r="C3170">
        <v>0</v>
      </c>
      <c r="D3170">
        <v>77.16</v>
      </c>
      <c r="E3170">
        <v>2.806</v>
      </c>
      <c r="F3170">
        <v>132.54613330000001</v>
      </c>
      <c r="G3170">
        <v>5.3259999999999996</v>
      </c>
      <c r="N3170" s="8"/>
    </row>
    <row r="3171" spans="1:14" x14ac:dyDescent="0.25">
      <c r="A3171" s="8">
        <v>40375</v>
      </c>
      <c r="B3171">
        <v>1413124.11</v>
      </c>
      <c r="C3171">
        <v>0</v>
      </c>
      <c r="D3171">
        <v>73.94</v>
      </c>
      <c r="E3171">
        <v>2.7959999999999998</v>
      </c>
      <c r="F3171">
        <v>132.5667742</v>
      </c>
      <c r="G3171">
        <v>5.3259999999999996</v>
      </c>
      <c r="N3171" s="8"/>
    </row>
    <row r="3172" spans="1:14" x14ac:dyDescent="0.25">
      <c r="A3172" s="8">
        <v>40382</v>
      </c>
      <c r="B3172">
        <v>1333634.45</v>
      </c>
      <c r="C3172">
        <v>0</v>
      </c>
      <c r="D3172">
        <v>70.2</v>
      </c>
      <c r="E3172">
        <v>2.7839999999999998</v>
      </c>
      <c r="F3172">
        <v>132.5825806</v>
      </c>
      <c r="G3172">
        <v>5.3259999999999996</v>
      </c>
      <c r="N3172" s="8"/>
    </row>
    <row r="3173" spans="1:14" x14ac:dyDescent="0.25">
      <c r="A3173" s="8">
        <v>40389</v>
      </c>
      <c r="B3173">
        <v>1319773.55</v>
      </c>
      <c r="C3173">
        <v>0</v>
      </c>
      <c r="D3173">
        <v>69.709999999999994</v>
      </c>
      <c r="E3173">
        <v>2.7919999999999998</v>
      </c>
      <c r="F3173">
        <v>132.5983871</v>
      </c>
      <c r="G3173">
        <v>5.3259999999999996</v>
      </c>
      <c r="N3173" s="8"/>
    </row>
    <row r="3174" spans="1:14" x14ac:dyDescent="0.25">
      <c r="A3174" s="8">
        <v>40396</v>
      </c>
      <c r="B3174">
        <v>1417013.07</v>
      </c>
      <c r="C3174">
        <v>0</v>
      </c>
      <c r="D3174">
        <v>70.03</v>
      </c>
      <c r="E3174">
        <v>2.7919999999999998</v>
      </c>
      <c r="F3174">
        <v>132.6141935</v>
      </c>
      <c r="G3174">
        <v>5.3259999999999996</v>
      </c>
      <c r="N3174" s="8"/>
    </row>
    <row r="3175" spans="1:14" x14ac:dyDescent="0.25">
      <c r="A3175" s="8">
        <v>40403</v>
      </c>
      <c r="B3175">
        <v>1346345.97</v>
      </c>
      <c r="C3175">
        <v>0</v>
      </c>
      <c r="D3175">
        <v>67.430000000000007</v>
      </c>
      <c r="E3175">
        <v>2.81</v>
      </c>
      <c r="F3175">
        <v>132.63</v>
      </c>
      <c r="G3175">
        <v>5.3259999999999996</v>
      </c>
      <c r="N3175" s="8"/>
    </row>
    <row r="3176" spans="1:14" x14ac:dyDescent="0.25">
      <c r="A3176" s="8">
        <v>40410</v>
      </c>
      <c r="B3176">
        <v>1439901.05</v>
      </c>
      <c r="C3176">
        <v>0</v>
      </c>
      <c r="D3176">
        <v>68.650000000000006</v>
      </c>
      <c r="E3176">
        <v>2.7959999999999998</v>
      </c>
      <c r="F3176">
        <v>132.66161289999999</v>
      </c>
      <c r="G3176">
        <v>5.3259999999999996</v>
      </c>
      <c r="N3176" s="8"/>
    </row>
    <row r="3177" spans="1:14" x14ac:dyDescent="0.25">
      <c r="A3177" s="8">
        <v>40417</v>
      </c>
      <c r="B3177">
        <v>1584623.36</v>
      </c>
      <c r="C3177">
        <v>0</v>
      </c>
      <c r="D3177">
        <v>63.25</v>
      </c>
      <c r="E3177">
        <v>2.77</v>
      </c>
      <c r="F3177">
        <v>132.69322579999999</v>
      </c>
      <c r="G3177">
        <v>5.3259999999999996</v>
      </c>
      <c r="N3177" s="8"/>
    </row>
    <row r="3178" spans="1:14" x14ac:dyDescent="0.25">
      <c r="A3178" s="8">
        <v>40424</v>
      </c>
      <c r="B3178">
        <v>1405119.23</v>
      </c>
      <c r="C3178">
        <v>0</v>
      </c>
      <c r="D3178">
        <v>72.91</v>
      </c>
      <c r="E3178">
        <v>2.7349999999999999</v>
      </c>
      <c r="F3178">
        <v>132.72483869999999</v>
      </c>
      <c r="G3178">
        <v>5.3259999999999996</v>
      </c>
      <c r="N3178" s="8"/>
    </row>
    <row r="3179" spans="1:14" x14ac:dyDescent="0.25">
      <c r="A3179" s="8">
        <v>40431</v>
      </c>
      <c r="B3179">
        <v>1272842.8500000001</v>
      </c>
      <c r="C3179">
        <v>1</v>
      </c>
      <c r="D3179">
        <v>63.21</v>
      </c>
      <c r="E3179">
        <v>2.7170000000000001</v>
      </c>
      <c r="F3179">
        <v>132.75645159999999</v>
      </c>
      <c r="G3179">
        <v>5.3259999999999996</v>
      </c>
      <c r="N3179" s="8"/>
    </row>
    <row r="3180" spans="1:14" x14ac:dyDescent="0.25">
      <c r="A3180" s="8">
        <v>40438</v>
      </c>
      <c r="B3180">
        <v>1159132.58</v>
      </c>
      <c r="C3180">
        <v>0</v>
      </c>
      <c r="D3180">
        <v>55.3</v>
      </c>
      <c r="E3180">
        <v>2.7160000000000002</v>
      </c>
      <c r="F3180">
        <v>132.76706669999999</v>
      </c>
      <c r="G3180">
        <v>5.3259999999999996</v>
      </c>
      <c r="N3180" s="8"/>
    </row>
    <row r="3181" spans="1:14" x14ac:dyDescent="0.25">
      <c r="A3181" s="8">
        <v>40445</v>
      </c>
      <c r="B3181">
        <v>1099055.6499999999</v>
      </c>
      <c r="C3181">
        <v>0</v>
      </c>
      <c r="D3181">
        <v>57.75</v>
      </c>
      <c r="E3181">
        <v>2.718</v>
      </c>
      <c r="F3181">
        <v>132.76193330000001</v>
      </c>
      <c r="G3181">
        <v>5.3259999999999996</v>
      </c>
      <c r="N3181" s="8"/>
    </row>
    <row r="3182" spans="1:14" x14ac:dyDescent="0.25">
      <c r="A3182" s="8">
        <v>40452</v>
      </c>
      <c r="B3182">
        <v>1129909.44</v>
      </c>
      <c r="C3182">
        <v>0</v>
      </c>
      <c r="D3182">
        <v>62.07</v>
      </c>
      <c r="E3182">
        <v>2.7170000000000001</v>
      </c>
      <c r="F3182">
        <v>132.7568</v>
      </c>
      <c r="G3182">
        <v>5.2869999999999999</v>
      </c>
      <c r="N3182" s="8"/>
    </row>
    <row r="3183" spans="1:14" x14ac:dyDescent="0.25">
      <c r="A3183" s="8">
        <v>40459</v>
      </c>
      <c r="B3183">
        <v>1179851.68</v>
      </c>
      <c r="C3183">
        <v>0</v>
      </c>
      <c r="D3183">
        <v>50.75</v>
      </c>
      <c r="E3183">
        <v>2.7759999999999998</v>
      </c>
      <c r="F3183">
        <v>132.75166669999999</v>
      </c>
      <c r="G3183">
        <v>5.2869999999999999</v>
      </c>
      <c r="N3183" s="8"/>
    </row>
    <row r="3184" spans="1:14" x14ac:dyDescent="0.25">
      <c r="A3184" s="8">
        <v>40466</v>
      </c>
      <c r="B3184">
        <v>1119809.71</v>
      </c>
      <c r="C3184">
        <v>0</v>
      </c>
      <c r="D3184">
        <v>45.55</v>
      </c>
      <c r="E3184">
        <v>2.8780000000000001</v>
      </c>
      <c r="F3184">
        <v>132.7633548</v>
      </c>
      <c r="G3184">
        <v>5.2869999999999999</v>
      </c>
      <c r="N3184" s="8"/>
    </row>
    <row r="3185" spans="1:14" x14ac:dyDescent="0.25">
      <c r="A3185" s="8">
        <v>40473</v>
      </c>
      <c r="B3185">
        <v>1147503.92</v>
      </c>
      <c r="C3185">
        <v>0</v>
      </c>
      <c r="D3185">
        <v>43.19</v>
      </c>
      <c r="E3185">
        <v>2.919</v>
      </c>
      <c r="F3185">
        <v>132.8170968</v>
      </c>
      <c r="G3185">
        <v>5.2869999999999999</v>
      </c>
      <c r="N3185" s="8"/>
    </row>
    <row r="3186" spans="1:14" x14ac:dyDescent="0.25">
      <c r="A3186" s="8">
        <v>40480</v>
      </c>
      <c r="B3186">
        <v>1112871.23</v>
      </c>
      <c r="C3186">
        <v>0</v>
      </c>
      <c r="D3186">
        <v>48.68</v>
      </c>
      <c r="E3186">
        <v>2.9380000000000002</v>
      </c>
      <c r="F3186">
        <v>132.87083870000001</v>
      </c>
      <c r="G3186">
        <v>5.2869999999999999</v>
      </c>
      <c r="N3186" s="8"/>
    </row>
    <row r="3187" spans="1:14" x14ac:dyDescent="0.25">
      <c r="A3187" s="8">
        <v>40487</v>
      </c>
      <c r="B3187">
        <v>1203119.96</v>
      </c>
      <c r="C3187">
        <v>0</v>
      </c>
      <c r="D3187">
        <v>36.6</v>
      </c>
      <c r="E3187">
        <v>2.9380000000000002</v>
      </c>
      <c r="F3187">
        <v>132.92458060000001</v>
      </c>
      <c r="G3187">
        <v>5.2869999999999999</v>
      </c>
      <c r="N3187" s="8"/>
    </row>
    <row r="3188" spans="1:14" x14ac:dyDescent="0.25">
      <c r="A3188" s="8">
        <v>40494</v>
      </c>
      <c r="B3188">
        <v>1387953.75</v>
      </c>
      <c r="C3188">
        <v>0</v>
      </c>
      <c r="D3188">
        <v>35.590000000000003</v>
      </c>
      <c r="E3188">
        <v>2.9609999999999999</v>
      </c>
      <c r="F3188">
        <v>132.97832260000001</v>
      </c>
      <c r="G3188">
        <v>5.2869999999999999</v>
      </c>
      <c r="N3188" s="8"/>
    </row>
    <row r="3189" spans="1:14" x14ac:dyDescent="0.25">
      <c r="A3189" s="8">
        <v>40501</v>
      </c>
      <c r="B3189">
        <v>1314994.32</v>
      </c>
      <c r="C3189">
        <v>0</v>
      </c>
      <c r="D3189">
        <v>41.66</v>
      </c>
      <c r="E3189">
        <v>3.03</v>
      </c>
      <c r="F3189">
        <v>132.91720000000001</v>
      </c>
      <c r="G3189">
        <v>5.2869999999999999</v>
      </c>
      <c r="N3189" s="8"/>
    </row>
    <row r="3190" spans="1:14" x14ac:dyDescent="0.25">
      <c r="A3190" s="8">
        <v>40508</v>
      </c>
      <c r="B3190">
        <v>2072685.05</v>
      </c>
      <c r="C3190">
        <v>1</v>
      </c>
      <c r="D3190">
        <v>34.950000000000003</v>
      </c>
      <c r="E3190">
        <v>3.07</v>
      </c>
      <c r="F3190">
        <v>132.8369333</v>
      </c>
      <c r="G3190">
        <v>5.2869999999999999</v>
      </c>
      <c r="N3190" s="8"/>
    </row>
    <row r="3191" spans="1:14" x14ac:dyDescent="0.25">
      <c r="A3191" s="8">
        <v>40515</v>
      </c>
      <c r="B3191">
        <v>1617025.41</v>
      </c>
      <c r="C3191">
        <v>0</v>
      </c>
      <c r="D3191">
        <v>34.299999999999997</v>
      </c>
      <c r="E3191">
        <v>3.0649999999999999</v>
      </c>
      <c r="F3191">
        <v>132.75666670000001</v>
      </c>
      <c r="G3191">
        <v>5.2869999999999999</v>
      </c>
      <c r="N3191" s="8"/>
    </row>
    <row r="3192" spans="1:14" x14ac:dyDescent="0.25">
      <c r="A3192" s="8">
        <v>40522</v>
      </c>
      <c r="B3192">
        <v>1872365.99</v>
      </c>
      <c r="C3192">
        <v>0</v>
      </c>
      <c r="D3192">
        <v>20.12</v>
      </c>
      <c r="E3192">
        <v>3.1320000000000001</v>
      </c>
      <c r="F3192">
        <v>132.6764</v>
      </c>
      <c r="G3192">
        <v>5.2869999999999999</v>
      </c>
      <c r="N3192" s="8"/>
    </row>
    <row r="3193" spans="1:14" x14ac:dyDescent="0.25">
      <c r="A3193" s="8">
        <v>40529</v>
      </c>
      <c r="B3193">
        <v>2238573.48</v>
      </c>
      <c r="C3193">
        <v>0</v>
      </c>
      <c r="D3193">
        <v>23.05</v>
      </c>
      <c r="E3193">
        <v>3.1389999999999998</v>
      </c>
      <c r="F3193">
        <v>132.6804516</v>
      </c>
      <c r="G3193">
        <v>5.2869999999999999</v>
      </c>
      <c r="N3193" s="8"/>
    </row>
    <row r="3194" spans="1:14" x14ac:dyDescent="0.25">
      <c r="A3194" s="8">
        <v>40536</v>
      </c>
      <c r="B3194">
        <v>2734277.1</v>
      </c>
      <c r="C3194">
        <v>0</v>
      </c>
      <c r="D3194">
        <v>22.96</v>
      </c>
      <c r="E3194">
        <v>3.15</v>
      </c>
      <c r="F3194">
        <v>132.74774189999999</v>
      </c>
      <c r="G3194">
        <v>5.2869999999999999</v>
      </c>
      <c r="N3194" s="8"/>
    </row>
    <row r="3195" spans="1:14" x14ac:dyDescent="0.25">
      <c r="A3195" s="8">
        <v>40543</v>
      </c>
      <c r="B3195">
        <v>1169773.8500000001</v>
      </c>
      <c r="C3195">
        <v>1</v>
      </c>
      <c r="D3195">
        <v>19.05</v>
      </c>
      <c r="E3195">
        <v>3.177</v>
      </c>
      <c r="F3195">
        <v>132.81503230000001</v>
      </c>
      <c r="G3195">
        <v>5.2869999999999999</v>
      </c>
      <c r="N3195" s="8"/>
    </row>
    <row r="3196" spans="1:14" x14ac:dyDescent="0.25">
      <c r="A3196" s="8">
        <v>40550</v>
      </c>
      <c r="B3196">
        <v>1122034.48</v>
      </c>
      <c r="C3196">
        <v>0</v>
      </c>
      <c r="D3196">
        <v>27.81</v>
      </c>
      <c r="E3196">
        <v>3.1930000000000001</v>
      </c>
      <c r="F3196">
        <v>132.88232260000001</v>
      </c>
      <c r="G3196">
        <v>5.1139999999999999</v>
      </c>
      <c r="N3196" s="8"/>
    </row>
    <row r="3197" spans="1:14" x14ac:dyDescent="0.25">
      <c r="A3197" s="8">
        <v>40557</v>
      </c>
      <c r="B3197">
        <v>1016756.1</v>
      </c>
      <c r="C3197">
        <v>0</v>
      </c>
      <c r="D3197">
        <v>18.2</v>
      </c>
      <c r="E3197">
        <v>3.2149999999999999</v>
      </c>
      <c r="F3197">
        <v>132.9510645</v>
      </c>
      <c r="G3197">
        <v>5.1139999999999999</v>
      </c>
      <c r="N3197" s="8"/>
    </row>
    <row r="3198" spans="1:14" x14ac:dyDescent="0.25">
      <c r="A3198" s="8">
        <v>40564</v>
      </c>
      <c r="B3198">
        <v>1110706.06</v>
      </c>
      <c r="C3198">
        <v>0</v>
      </c>
      <c r="D3198">
        <v>15.58</v>
      </c>
      <c r="E3198">
        <v>3.2320000000000002</v>
      </c>
      <c r="F3198">
        <v>133.02851609999999</v>
      </c>
      <c r="G3198">
        <v>5.1139999999999999</v>
      </c>
      <c r="N3198" s="8"/>
    </row>
    <row r="3199" spans="1:14" x14ac:dyDescent="0.25">
      <c r="A3199" s="8">
        <v>40571</v>
      </c>
      <c r="B3199">
        <v>1083657.6100000001</v>
      </c>
      <c r="C3199">
        <v>0</v>
      </c>
      <c r="D3199">
        <v>10.91</v>
      </c>
      <c r="E3199">
        <v>3.2429999999999999</v>
      </c>
      <c r="F3199">
        <v>133.10596770000001</v>
      </c>
      <c r="G3199">
        <v>5.1139999999999999</v>
      </c>
      <c r="N3199" s="8"/>
    </row>
    <row r="3200" spans="1:14" x14ac:dyDescent="0.25">
      <c r="A3200" s="8">
        <v>40578</v>
      </c>
      <c r="B3200">
        <v>1159438.53</v>
      </c>
      <c r="C3200">
        <v>0</v>
      </c>
      <c r="D3200">
        <v>14.5</v>
      </c>
      <c r="E3200">
        <v>3.24</v>
      </c>
      <c r="F3200">
        <v>133.18341939999999</v>
      </c>
      <c r="G3200">
        <v>5.1139999999999999</v>
      </c>
      <c r="N3200" s="8"/>
    </row>
    <row r="3201" spans="1:14" x14ac:dyDescent="0.25">
      <c r="A3201" s="8">
        <v>40585</v>
      </c>
      <c r="B3201">
        <v>1249786.3999999999</v>
      </c>
      <c r="C3201">
        <v>1</v>
      </c>
      <c r="D3201">
        <v>21.52</v>
      </c>
      <c r="E3201">
        <v>3.2549999999999999</v>
      </c>
      <c r="F3201">
        <v>133.26087100000001</v>
      </c>
      <c r="G3201">
        <v>5.1139999999999999</v>
      </c>
      <c r="N3201" s="8"/>
    </row>
    <row r="3202" spans="1:14" x14ac:dyDescent="0.25">
      <c r="A3202" s="8">
        <v>40592</v>
      </c>
      <c r="B3202">
        <v>1369971.57</v>
      </c>
      <c r="C3202">
        <v>0</v>
      </c>
      <c r="D3202">
        <v>26.6</v>
      </c>
      <c r="E3202">
        <v>3.2629999999999999</v>
      </c>
      <c r="F3202">
        <v>133.37014289999999</v>
      </c>
      <c r="G3202">
        <v>5.1139999999999999</v>
      </c>
      <c r="N3202" s="8"/>
    </row>
    <row r="3203" spans="1:14" x14ac:dyDescent="0.25">
      <c r="A3203" s="8">
        <v>40599</v>
      </c>
      <c r="B3203">
        <v>1206917.2</v>
      </c>
      <c r="C3203">
        <v>0</v>
      </c>
      <c r="D3203">
        <v>17</v>
      </c>
      <c r="E3203">
        <v>3.2810000000000001</v>
      </c>
      <c r="F3203">
        <v>133.4921429</v>
      </c>
      <c r="G3203">
        <v>5.1139999999999999</v>
      </c>
      <c r="N3203" s="8"/>
    </row>
    <row r="3204" spans="1:14" x14ac:dyDescent="0.25">
      <c r="A3204" s="8">
        <v>40606</v>
      </c>
      <c r="B3204">
        <v>1301185.28</v>
      </c>
      <c r="C3204">
        <v>0</v>
      </c>
      <c r="D3204">
        <v>20.67</v>
      </c>
      <c r="E3204">
        <v>3.4369999999999998</v>
      </c>
      <c r="F3204">
        <v>133.61414289999999</v>
      </c>
      <c r="G3204">
        <v>5.1139999999999999</v>
      </c>
      <c r="N3204" s="8"/>
    </row>
    <row r="3205" spans="1:14" x14ac:dyDescent="0.25">
      <c r="A3205" s="8">
        <v>40613</v>
      </c>
      <c r="B3205">
        <v>1042043.55</v>
      </c>
      <c r="C3205">
        <v>0</v>
      </c>
      <c r="D3205">
        <v>29.36</v>
      </c>
      <c r="E3205">
        <v>3.6</v>
      </c>
      <c r="F3205">
        <v>133.7361429</v>
      </c>
      <c r="G3205">
        <v>5.1139999999999999</v>
      </c>
      <c r="N3205" s="8"/>
    </row>
    <row r="3206" spans="1:14" x14ac:dyDescent="0.25">
      <c r="A3206" s="8">
        <v>40620</v>
      </c>
      <c r="B3206">
        <v>1203682.6200000001</v>
      </c>
      <c r="C3206">
        <v>0</v>
      </c>
      <c r="D3206">
        <v>37.28</v>
      </c>
      <c r="E3206">
        <v>3.6339999999999999</v>
      </c>
      <c r="F3206">
        <v>133.8492258</v>
      </c>
      <c r="G3206">
        <v>5.1139999999999999</v>
      </c>
      <c r="N3206" s="8"/>
    </row>
    <row r="3207" spans="1:14" x14ac:dyDescent="0.25">
      <c r="A3207" s="8">
        <v>40627</v>
      </c>
      <c r="B3207">
        <v>1148624.83</v>
      </c>
      <c r="C3207">
        <v>0</v>
      </c>
      <c r="D3207">
        <v>29.11</v>
      </c>
      <c r="E3207">
        <v>3.6240000000000001</v>
      </c>
      <c r="F3207">
        <v>133.95874190000001</v>
      </c>
      <c r="G3207">
        <v>5.1139999999999999</v>
      </c>
      <c r="N3207" s="8"/>
    </row>
    <row r="3208" spans="1:14" x14ac:dyDescent="0.25">
      <c r="A3208" s="8">
        <v>40634</v>
      </c>
      <c r="B3208">
        <v>1182694.95</v>
      </c>
      <c r="C3208">
        <v>0</v>
      </c>
      <c r="D3208">
        <v>29.44</v>
      </c>
      <c r="E3208">
        <v>3.6379999999999999</v>
      </c>
      <c r="F3208">
        <v>134.06825810000001</v>
      </c>
      <c r="G3208">
        <v>4.7809999999999997</v>
      </c>
      <c r="N3208" s="8"/>
    </row>
    <row r="3209" spans="1:14" x14ac:dyDescent="0.25">
      <c r="A3209" s="8">
        <v>40641</v>
      </c>
      <c r="B3209">
        <v>1248901.98</v>
      </c>
      <c r="C3209">
        <v>0</v>
      </c>
      <c r="D3209">
        <v>36.74</v>
      </c>
      <c r="E3209">
        <v>3.72</v>
      </c>
      <c r="F3209">
        <v>134.17777419999999</v>
      </c>
      <c r="G3209">
        <v>4.7809999999999997</v>
      </c>
      <c r="N3209" s="8"/>
    </row>
    <row r="3210" spans="1:14" x14ac:dyDescent="0.25">
      <c r="A3210" s="8">
        <v>40648</v>
      </c>
      <c r="B3210">
        <v>1263680.51</v>
      </c>
      <c r="C3210">
        <v>0</v>
      </c>
      <c r="D3210">
        <v>45.51</v>
      </c>
      <c r="E3210">
        <v>3.823</v>
      </c>
      <c r="F3210">
        <v>134.2784667</v>
      </c>
      <c r="G3210">
        <v>4.7809999999999997</v>
      </c>
      <c r="N3210" s="8"/>
    </row>
    <row r="3211" spans="1:14" x14ac:dyDescent="0.25">
      <c r="A3211" s="8">
        <v>40655</v>
      </c>
      <c r="B3211">
        <v>1447301.24</v>
      </c>
      <c r="C3211">
        <v>0</v>
      </c>
      <c r="D3211">
        <v>39.619999999999997</v>
      </c>
      <c r="E3211">
        <v>3.919</v>
      </c>
      <c r="F3211">
        <v>134.3571</v>
      </c>
      <c r="G3211">
        <v>4.7809999999999997</v>
      </c>
      <c r="N3211" s="8"/>
    </row>
    <row r="3212" spans="1:14" x14ac:dyDescent="0.25">
      <c r="A3212" s="8">
        <v>40662</v>
      </c>
      <c r="B3212">
        <v>1173307.3999999999</v>
      </c>
      <c r="C3212">
        <v>0</v>
      </c>
      <c r="D3212">
        <v>54.2</v>
      </c>
      <c r="E3212">
        <v>3.988</v>
      </c>
      <c r="F3212">
        <v>134.43573330000001</v>
      </c>
      <c r="G3212">
        <v>4.7809999999999997</v>
      </c>
      <c r="N3212" s="8"/>
    </row>
    <row r="3213" spans="1:14" x14ac:dyDescent="0.25">
      <c r="A3213" s="8">
        <v>40669</v>
      </c>
      <c r="B3213">
        <v>1359921.13</v>
      </c>
      <c r="C3213">
        <v>0</v>
      </c>
      <c r="D3213">
        <v>50.07</v>
      </c>
      <c r="E3213">
        <v>4.0780000000000003</v>
      </c>
      <c r="F3213">
        <v>134.51436670000001</v>
      </c>
      <c r="G3213">
        <v>4.7809999999999997</v>
      </c>
      <c r="N3213" s="8"/>
    </row>
    <row r="3214" spans="1:14" x14ac:dyDescent="0.25">
      <c r="A3214" s="8">
        <v>40676</v>
      </c>
      <c r="B3214">
        <v>1254914.8700000001</v>
      </c>
      <c r="C3214">
        <v>0</v>
      </c>
      <c r="D3214">
        <v>55.12</v>
      </c>
      <c r="E3214">
        <v>4.0949999999999998</v>
      </c>
      <c r="F3214">
        <v>134.59299999999999</v>
      </c>
      <c r="G3214">
        <v>4.7809999999999997</v>
      </c>
      <c r="N3214" s="8"/>
    </row>
    <row r="3215" spans="1:14" x14ac:dyDescent="0.25">
      <c r="A3215" s="8">
        <v>40683</v>
      </c>
      <c r="B3215">
        <v>1337617.55</v>
      </c>
      <c r="C3215">
        <v>0</v>
      </c>
      <c r="D3215">
        <v>56.67</v>
      </c>
      <c r="E3215">
        <v>4.101</v>
      </c>
      <c r="F3215">
        <v>134.68038709999999</v>
      </c>
      <c r="G3215">
        <v>4.7809999999999997</v>
      </c>
      <c r="N3215" s="8"/>
    </row>
    <row r="3216" spans="1:14" x14ac:dyDescent="0.25">
      <c r="A3216" s="8">
        <v>40690</v>
      </c>
      <c r="B3216">
        <v>1361945.18</v>
      </c>
      <c r="C3216">
        <v>0</v>
      </c>
      <c r="D3216">
        <v>63.27</v>
      </c>
      <c r="E3216">
        <v>4.0339999999999998</v>
      </c>
      <c r="F3216">
        <v>134.76777419999999</v>
      </c>
      <c r="G3216">
        <v>4.7809999999999997</v>
      </c>
      <c r="N3216" s="8"/>
    </row>
    <row r="3217" spans="1:14" x14ac:dyDescent="0.25">
      <c r="A3217" s="8">
        <v>40697</v>
      </c>
      <c r="B3217">
        <v>1562161.97</v>
      </c>
      <c r="C3217">
        <v>0</v>
      </c>
      <c r="D3217">
        <v>67.209999999999994</v>
      </c>
      <c r="E3217">
        <v>3.9729999999999999</v>
      </c>
      <c r="F3217">
        <v>134.85516129999999</v>
      </c>
      <c r="G3217">
        <v>4.7809999999999997</v>
      </c>
      <c r="N3217" s="8"/>
    </row>
    <row r="3218" spans="1:14" x14ac:dyDescent="0.25">
      <c r="A3218" s="8">
        <v>40704</v>
      </c>
      <c r="B3218">
        <v>1447028.06</v>
      </c>
      <c r="C3218">
        <v>0</v>
      </c>
      <c r="D3218">
        <v>65.23</v>
      </c>
      <c r="E3218">
        <v>3.9239999999999999</v>
      </c>
      <c r="F3218">
        <v>134.94254839999999</v>
      </c>
      <c r="G3218">
        <v>4.7809999999999997</v>
      </c>
      <c r="N3218" s="8"/>
    </row>
    <row r="3219" spans="1:14" x14ac:dyDescent="0.25">
      <c r="A3219" s="8">
        <v>40711</v>
      </c>
      <c r="B3219">
        <v>1470520.83</v>
      </c>
      <c r="C3219">
        <v>0</v>
      </c>
      <c r="D3219">
        <v>61.06</v>
      </c>
      <c r="E3219">
        <v>3.8730000000000002</v>
      </c>
      <c r="F3219">
        <v>135.08373330000001</v>
      </c>
      <c r="G3219">
        <v>4.7809999999999997</v>
      </c>
      <c r="N3219" s="8"/>
    </row>
    <row r="3220" spans="1:14" x14ac:dyDescent="0.25">
      <c r="A3220" s="8">
        <v>40718</v>
      </c>
      <c r="B3220">
        <v>1434036.18</v>
      </c>
      <c r="C3220">
        <v>0</v>
      </c>
      <c r="D3220">
        <v>63.8</v>
      </c>
      <c r="E3220">
        <v>3.851</v>
      </c>
      <c r="F3220">
        <v>135.26526670000001</v>
      </c>
      <c r="G3220">
        <v>4.7809999999999997</v>
      </c>
      <c r="N3220" s="8"/>
    </row>
    <row r="3221" spans="1:14" x14ac:dyDescent="0.25">
      <c r="A3221" s="8">
        <v>40725</v>
      </c>
      <c r="B3221">
        <v>1492507.44</v>
      </c>
      <c r="C3221">
        <v>0</v>
      </c>
      <c r="D3221">
        <v>65.650000000000006</v>
      </c>
      <c r="E3221">
        <v>3.8149999999999999</v>
      </c>
      <c r="F3221">
        <v>135.4468</v>
      </c>
      <c r="G3221">
        <v>4.5839999999999996</v>
      </c>
      <c r="N3221" s="8"/>
    </row>
    <row r="3222" spans="1:14" x14ac:dyDescent="0.25">
      <c r="A3222" s="8">
        <v>40732</v>
      </c>
      <c r="B3222">
        <v>1379488.05</v>
      </c>
      <c r="C3222">
        <v>0</v>
      </c>
      <c r="D3222">
        <v>69.92</v>
      </c>
      <c r="E3222">
        <v>3.7839999999999998</v>
      </c>
      <c r="F3222">
        <v>135.62833330000001</v>
      </c>
      <c r="G3222">
        <v>4.5839999999999996</v>
      </c>
      <c r="N3222" s="8"/>
    </row>
    <row r="3223" spans="1:14" x14ac:dyDescent="0.25">
      <c r="A3223" s="8">
        <v>40739</v>
      </c>
      <c r="B3223">
        <v>1360520.56</v>
      </c>
      <c r="C3223">
        <v>0</v>
      </c>
      <c r="D3223">
        <v>69.8</v>
      </c>
      <c r="E3223">
        <v>3.827</v>
      </c>
      <c r="F3223">
        <v>135.7837419</v>
      </c>
      <c r="G3223">
        <v>4.5839999999999996</v>
      </c>
      <c r="N3223" s="8"/>
    </row>
    <row r="3224" spans="1:14" x14ac:dyDescent="0.25">
      <c r="A3224" s="8">
        <v>40746</v>
      </c>
      <c r="B3224">
        <v>1362144</v>
      </c>
      <c r="C3224">
        <v>0</v>
      </c>
      <c r="D3224">
        <v>76.739999999999995</v>
      </c>
      <c r="E3224">
        <v>3.8820000000000001</v>
      </c>
      <c r="F3224">
        <v>135.87383869999999</v>
      </c>
      <c r="G3224">
        <v>4.5839999999999996</v>
      </c>
      <c r="N3224" s="8"/>
    </row>
    <row r="3225" spans="1:14" x14ac:dyDescent="0.25">
      <c r="A3225" s="8">
        <v>40753</v>
      </c>
      <c r="B3225">
        <v>1319767.55</v>
      </c>
      <c r="C3225">
        <v>0</v>
      </c>
      <c r="D3225">
        <v>69.55</v>
      </c>
      <c r="E3225">
        <v>3.8980000000000001</v>
      </c>
      <c r="F3225">
        <v>135.96393549999999</v>
      </c>
      <c r="G3225">
        <v>4.5839999999999996</v>
      </c>
      <c r="N3225" s="8"/>
    </row>
    <row r="3226" spans="1:14" x14ac:dyDescent="0.25">
      <c r="A3226" s="8">
        <v>40760</v>
      </c>
      <c r="B3226">
        <v>1416344.68</v>
      </c>
      <c r="C3226">
        <v>0</v>
      </c>
      <c r="D3226">
        <v>69.53</v>
      </c>
      <c r="E3226">
        <v>3.903</v>
      </c>
      <c r="F3226">
        <v>136.05403229999999</v>
      </c>
      <c r="G3226">
        <v>4.5839999999999996</v>
      </c>
      <c r="N3226" s="8"/>
    </row>
    <row r="3227" spans="1:14" x14ac:dyDescent="0.25">
      <c r="A3227" s="8">
        <v>40767</v>
      </c>
      <c r="B3227">
        <v>1380952.05</v>
      </c>
      <c r="C3227">
        <v>0</v>
      </c>
      <c r="D3227">
        <v>69.86</v>
      </c>
      <c r="E3227">
        <v>3.88</v>
      </c>
      <c r="F3227">
        <v>136.14412899999999</v>
      </c>
      <c r="G3227">
        <v>4.5839999999999996</v>
      </c>
      <c r="N3227" s="8"/>
    </row>
    <row r="3228" spans="1:14" x14ac:dyDescent="0.25">
      <c r="A3228" s="8">
        <v>40774</v>
      </c>
      <c r="B3228">
        <v>1453416.53</v>
      </c>
      <c r="C3228">
        <v>0</v>
      </c>
      <c r="D3228">
        <v>67.09</v>
      </c>
      <c r="E3228">
        <v>3.82</v>
      </c>
      <c r="F3228">
        <v>136.18312900000001</v>
      </c>
      <c r="G3228">
        <v>4.5839999999999996</v>
      </c>
      <c r="N3228" s="8"/>
    </row>
    <row r="3229" spans="1:14" x14ac:dyDescent="0.25">
      <c r="A3229" s="8">
        <v>40781</v>
      </c>
      <c r="B3229">
        <v>1637266.29</v>
      </c>
      <c r="C3229">
        <v>0</v>
      </c>
      <c r="D3229">
        <v>67.040000000000006</v>
      </c>
      <c r="E3229">
        <v>3.7959999999999998</v>
      </c>
      <c r="F3229">
        <v>136.21361289999999</v>
      </c>
      <c r="G3229">
        <v>4.5839999999999996</v>
      </c>
      <c r="N3229" s="8"/>
    </row>
    <row r="3230" spans="1:14" x14ac:dyDescent="0.25">
      <c r="A3230" s="8">
        <v>40788</v>
      </c>
      <c r="B3230">
        <v>1464295.69</v>
      </c>
      <c r="C3230">
        <v>0</v>
      </c>
      <c r="D3230">
        <v>65.33</v>
      </c>
      <c r="E3230">
        <v>3.7839999999999998</v>
      </c>
      <c r="F3230">
        <v>136.24409679999999</v>
      </c>
      <c r="G3230">
        <v>4.5839999999999996</v>
      </c>
      <c r="N3230" s="8"/>
    </row>
    <row r="3231" spans="1:14" x14ac:dyDescent="0.25">
      <c r="A3231" s="8">
        <v>40795</v>
      </c>
      <c r="B3231">
        <v>1423289.9</v>
      </c>
      <c r="C3231">
        <v>1</v>
      </c>
      <c r="D3231">
        <v>66.040000000000006</v>
      </c>
      <c r="E3231">
        <v>3.8090000000000002</v>
      </c>
      <c r="F3231">
        <v>136.27458060000001</v>
      </c>
      <c r="G3231">
        <v>4.5839999999999996</v>
      </c>
      <c r="N3231" s="8"/>
    </row>
    <row r="3232" spans="1:14" x14ac:dyDescent="0.25">
      <c r="A3232" s="8">
        <v>40802</v>
      </c>
      <c r="B3232">
        <v>1253329.17</v>
      </c>
      <c r="C3232">
        <v>0</v>
      </c>
      <c r="D3232">
        <v>60.52</v>
      </c>
      <c r="E3232">
        <v>3.8090000000000002</v>
      </c>
      <c r="F3232">
        <v>136.31450000000001</v>
      </c>
      <c r="G3232">
        <v>4.5839999999999996</v>
      </c>
      <c r="N3232" s="8"/>
    </row>
    <row r="3233" spans="1:14" x14ac:dyDescent="0.25">
      <c r="A3233" s="8">
        <v>40809</v>
      </c>
      <c r="B3233">
        <v>1289082.81</v>
      </c>
      <c r="C3233">
        <v>0</v>
      </c>
      <c r="D3233">
        <v>57.14</v>
      </c>
      <c r="E3233">
        <v>3.758</v>
      </c>
      <c r="F3233">
        <v>136.36699999999999</v>
      </c>
      <c r="G3233">
        <v>4.5839999999999996</v>
      </c>
      <c r="N3233" s="8"/>
    </row>
    <row r="3234" spans="1:14" x14ac:dyDescent="0.25">
      <c r="A3234" s="8">
        <v>40816</v>
      </c>
      <c r="B3234">
        <v>1275597.8500000001</v>
      </c>
      <c r="C3234">
        <v>0</v>
      </c>
      <c r="D3234">
        <v>64.760000000000005</v>
      </c>
      <c r="E3234">
        <v>3.6840000000000002</v>
      </c>
      <c r="F3234">
        <v>136.4195</v>
      </c>
      <c r="G3234">
        <v>4.5839999999999996</v>
      </c>
      <c r="N3234" s="8"/>
    </row>
    <row r="3235" spans="1:14" x14ac:dyDescent="0.25">
      <c r="A3235" s="8">
        <v>40823</v>
      </c>
      <c r="B3235">
        <v>1463501.99</v>
      </c>
      <c r="C3235">
        <v>0</v>
      </c>
      <c r="D3235">
        <v>49</v>
      </c>
      <c r="E3235">
        <v>3.633</v>
      </c>
      <c r="F3235">
        <v>136.47200000000001</v>
      </c>
      <c r="G3235">
        <v>4.42</v>
      </c>
      <c r="N3235" s="8"/>
    </row>
    <row r="3236" spans="1:14" x14ac:dyDescent="0.25">
      <c r="A3236" s="8">
        <v>40830</v>
      </c>
      <c r="B3236">
        <v>1257778.3400000001</v>
      </c>
      <c r="C3236">
        <v>0</v>
      </c>
      <c r="D3236">
        <v>56.79</v>
      </c>
      <c r="E3236">
        <v>3.5830000000000002</v>
      </c>
      <c r="F3236">
        <v>136.51509680000001</v>
      </c>
      <c r="G3236">
        <v>4.42</v>
      </c>
      <c r="N3236" s="8"/>
    </row>
    <row r="3237" spans="1:14" x14ac:dyDescent="0.25">
      <c r="A3237" s="8">
        <v>40837</v>
      </c>
      <c r="B3237">
        <v>1441032.59</v>
      </c>
      <c r="C3237">
        <v>0</v>
      </c>
      <c r="D3237">
        <v>52.12</v>
      </c>
      <c r="E3237">
        <v>3.6179999999999999</v>
      </c>
      <c r="F3237">
        <v>136.5017742</v>
      </c>
      <c r="G3237">
        <v>4.42</v>
      </c>
      <c r="N3237" s="8"/>
    </row>
    <row r="3238" spans="1:14" x14ac:dyDescent="0.25">
      <c r="A3238" s="8">
        <v>40844</v>
      </c>
      <c r="B3238">
        <v>1407191.96</v>
      </c>
      <c r="C3238">
        <v>0</v>
      </c>
      <c r="D3238">
        <v>42.57</v>
      </c>
      <c r="E3238">
        <v>3.6040000000000001</v>
      </c>
      <c r="F3238">
        <v>136.48845159999999</v>
      </c>
      <c r="G3238">
        <v>4.42</v>
      </c>
      <c r="N3238" s="8"/>
    </row>
    <row r="3239" spans="1:14" x14ac:dyDescent="0.25">
      <c r="A3239" s="8">
        <v>40851</v>
      </c>
      <c r="B3239">
        <v>1428436.33</v>
      </c>
      <c r="C3239">
        <v>0</v>
      </c>
      <c r="D3239">
        <v>39.18</v>
      </c>
      <c r="E3239">
        <v>3.5859999999999999</v>
      </c>
      <c r="F3239">
        <v>136.47512900000001</v>
      </c>
      <c r="G3239">
        <v>4.42</v>
      </c>
      <c r="N3239" s="8"/>
    </row>
    <row r="3240" spans="1:14" x14ac:dyDescent="0.25">
      <c r="A3240" s="8">
        <v>40858</v>
      </c>
      <c r="B3240">
        <v>1436940.78</v>
      </c>
      <c r="C3240">
        <v>0</v>
      </c>
      <c r="D3240">
        <v>44.04</v>
      </c>
      <c r="E3240">
        <v>3.57</v>
      </c>
      <c r="F3240">
        <v>136.46180649999999</v>
      </c>
      <c r="G3240">
        <v>4.42</v>
      </c>
      <c r="N3240" s="8"/>
    </row>
    <row r="3241" spans="1:14" x14ac:dyDescent="0.25">
      <c r="A3241" s="8">
        <v>40865</v>
      </c>
      <c r="B3241">
        <v>1345631.96</v>
      </c>
      <c r="C3241">
        <v>0</v>
      </c>
      <c r="D3241">
        <v>45.48</v>
      </c>
      <c r="E3241">
        <v>3.5710000000000002</v>
      </c>
      <c r="F3241">
        <v>136.46666669999999</v>
      </c>
      <c r="G3241">
        <v>4.42</v>
      </c>
      <c r="N3241" s="8"/>
    </row>
    <row r="3242" spans="1:14" x14ac:dyDescent="0.25">
      <c r="A3242" s="8">
        <v>40872</v>
      </c>
      <c r="B3242">
        <v>2057059.53</v>
      </c>
      <c r="C3242">
        <v>1</v>
      </c>
      <c r="D3242">
        <v>35.229999999999997</v>
      </c>
      <c r="E3242">
        <v>3.536</v>
      </c>
      <c r="F3242">
        <v>136.47880000000001</v>
      </c>
      <c r="G3242">
        <v>4.42</v>
      </c>
      <c r="N3242" s="8"/>
    </row>
    <row r="3243" spans="1:14" x14ac:dyDescent="0.25">
      <c r="A3243" s="8">
        <v>40879</v>
      </c>
      <c r="B3243">
        <v>1552886.59</v>
      </c>
      <c r="C3243">
        <v>0</v>
      </c>
      <c r="D3243">
        <v>43.6</v>
      </c>
      <c r="E3243">
        <v>3.5009999999999999</v>
      </c>
      <c r="F3243">
        <v>136.49093329999999</v>
      </c>
      <c r="G3243">
        <v>4.42</v>
      </c>
      <c r="N3243" s="8"/>
    </row>
    <row r="3244" spans="1:14" x14ac:dyDescent="0.25">
      <c r="A3244" s="8">
        <v>40886</v>
      </c>
      <c r="B3244">
        <v>1841173.6</v>
      </c>
      <c r="C3244">
        <v>0</v>
      </c>
      <c r="D3244">
        <v>36.4</v>
      </c>
      <c r="E3244">
        <v>3.47</v>
      </c>
      <c r="F3244">
        <v>136.50306670000001</v>
      </c>
      <c r="G3244">
        <v>4.42</v>
      </c>
      <c r="N3244" s="8"/>
    </row>
    <row r="3245" spans="1:14" x14ac:dyDescent="0.25">
      <c r="A3245" s="8">
        <v>40893</v>
      </c>
      <c r="B3245">
        <v>2173621.2000000002</v>
      </c>
      <c r="C3245">
        <v>0</v>
      </c>
      <c r="D3245">
        <v>32.99</v>
      </c>
      <c r="E3245">
        <v>3.4449999999999998</v>
      </c>
      <c r="F3245">
        <v>136.53351610000001</v>
      </c>
      <c r="G3245">
        <v>4.42</v>
      </c>
      <c r="N3245" s="8"/>
    </row>
    <row r="3246" spans="1:14" x14ac:dyDescent="0.25">
      <c r="A3246" s="8">
        <v>40900</v>
      </c>
      <c r="B3246">
        <v>2587953.3199999998</v>
      </c>
      <c r="C3246">
        <v>0</v>
      </c>
      <c r="D3246">
        <v>27.8</v>
      </c>
      <c r="E3246">
        <v>3.4129999999999998</v>
      </c>
      <c r="F3246">
        <v>136.58838710000001</v>
      </c>
      <c r="G3246">
        <v>4.42</v>
      </c>
      <c r="N3246" s="8"/>
    </row>
    <row r="3247" spans="1:14" x14ac:dyDescent="0.25">
      <c r="A3247" s="8">
        <v>40907</v>
      </c>
      <c r="B3247">
        <v>1213486.95</v>
      </c>
      <c r="C3247">
        <v>1</v>
      </c>
      <c r="D3247">
        <v>22.3</v>
      </c>
      <c r="E3247">
        <v>3.4020000000000001</v>
      </c>
      <c r="F3247">
        <v>136.6432581</v>
      </c>
      <c r="G3247">
        <v>4.42</v>
      </c>
      <c r="N3247" s="8"/>
    </row>
    <row r="3248" spans="1:14" x14ac:dyDescent="0.25">
      <c r="A3248" s="8">
        <v>40914</v>
      </c>
      <c r="B3248">
        <v>1150662.55</v>
      </c>
      <c r="C3248">
        <v>0</v>
      </c>
      <c r="D3248">
        <v>24.29</v>
      </c>
      <c r="E3248">
        <v>3.4390000000000001</v>
      </c>
      <c r="F3248">
        <v>136.69812899999999</v>
      </c>
      <c r="G3248">
        <v>4.2610000000000001</v>
      </c>
      <c r="N3248" s="8"/>
    </row>
    <row r="3249" spans="1:14" x14ac:dyDescent="0.25">
      <c r="A3249" s="8">
        <v>40921</v>
      </c>
      <c r="B3249">
        <v>1031451.35</v>
      </c>
      <c r="C3249">
        <v>0</v>
      </c>
      <c r="D3249">
        <v>28.49</v>
      </c>
      <c r="E3249">
        <v>3.5230000000000001</v>
      </c>
      <c r="F3249">
        <v>136.75299999999999</v>
      </c>
      <c r="G3249">
        <v>4.2610000000000001</v>
      </c>
      <c r="N3249" s="8"/>
    </row>
    <row r="3250" spans="1:14" x14ac:dyDescent="0.25">
      <c r="A3250" s="8">
        <v>40928</v>
      </c>
      <c r="B3250">
        <v>1146992.1299999999</v>
      </c>
      <c r="C3250">
        <v>0</v>
      </c>
      <c r="D3250">
        <v>15.33</v>
      </c>
      <c r="E3250">
        <v>3.5419999999999998</v>
      </c>
      <c r="F3250">
        <v>136.85641939999999</v>
      </c>
      <c r="G3250">
        <v>4.2610000000000001</v>
      </c>
      <c r="N3250" s="8"/>
    </row>
    <row r="3251" spans="1:14" x14ac:dyDescent="0.25">
      <c r="A3251" s="8">
        <v>40935</v>
      </c>
      <c r="B3251">
        <v>1037476.38</v>
      </c>
      <c r="C3251">
        <v>0</v>
      </c>
      <c r="D3251">
        <v>25.71</v>
      </c>
      <c r="E3251">
        <v>3.5680000000000001</v>
      </c>
      <c r="F3251">
        <v>136.95983870000001</v>
      </c>
      <c r="G3251">
        <v>4.2610000000000001</v>
      </c>
      <c r="N3251" s="8"/>
    </row>
    <row r="3252" spans="1:14" x14ac:dyDescent="0.25">
      <c r="A3252" s="8">
        <v>40942</v>
      </c>
      <c r="B3252">
        <v>1261872.67</v>
      </c>
      <c r="C3252">
        <v>0</v>
      </c>
      <c r="D3252">
        <v>29.71</v>
      </c>
      <c r="E3252">
        <v>3.633</v>
      </c>
      <c r="F3252">
        <v>137.06325810000001</v>
      </c>
      <c r="G3252">
        <v>4.2610000000000001</v>
      </c>
      <c r="N3252" s="8"/>
    </row>
    <row r="3253" spans="1:14" x14ac:dyDescent="0.25">
      <c r="A3253" s="8">
        <v>40949</v>
      </c>
      <c r="B3253">
        <v>1358444.07</v>
      </c>
      <c r="C3253">
        <v>1</v>
      </c>
      <c r="D3253">
        <v>26.6</v>
      </c>
      <c r="E3253">
        <v>3.6549999999999998</v>
      </c>
      <c r="F3253">
        <v>137.1666774</v>
      </c>
      <c r="G3253">
        <v>4.2610000000000001</v>
      </c>
      <c r="N3253" s="8"/>
    </row>
    <row r="3254" spans="1:14" x14ac:dyDescent="0.25">
      <c r="A3254" s="8">
        <v>40956</v>
      </c>
      <c r="B3254">
        <v>1365546.69</v>
      </c>
      <c r="C3254">
        <v>0</v>
      </c>
      <c r="D3254">
        <v>27.01</v>
      </c>
      <c r="E3254">
        <v>3.7029999999999998</v>
      </c>
      <c r="F3254">
        <v>137.25831030000001</v>
      </c>
      <c r="G3254">
        <v>4.2610000000000001</v>
      </c>
      <c r="N3254" s="8"/>
    </row>
    <row r="3255" spans="1:14" x14ac:dyDescent="0.25">
      <c r="A3255" s="8">
        <v>40963</v>
      </c>
      <c r="B3255">
        <v>1272948.27</v>
      </c>
      <c r="C3255">
        <v>0</v>
      </c>
      <c r="D3255">
        <v>31.12</v>
      </c>
      <c r="E3255">
        <v>3.7509999999999999</v>
      </c>
      <c r="F3255">
        <v>137.34110340000001</v>
      </c>
      <c r="G3255">
        <v>4.2610000000000001</v>
      </c>
      <c r="N3255" s="8"/>
    </row>
    <row r="3256" spans="1:14" x14ac:dyDescent="0.25">
      <c r="A3256" s="8">
        <v>40970</v>
      </c>
      <c r="B3256">
        <v>1322852.2</v>
      </c>
      <c r="C3256">
        <v>0</v>
      </c>
      <c r="D3256">
        <v>25.91</v>
      </c>
      <c r="E3256">
        <v>3.827</v>
      </c>
      <c r="F3256">
        <v>137.42389660000001</v>
      </c>
      <c r="G3256">
        <v>4.2610000000000001</v>
      </c>
      <c r="N3256" s="8"/>
    </row>
    <row r="3257" spans="1:14" x14ac:dyDescent="0.25">
      <c r="A3257" s="8">
        <v>40977</v>
      </c>
      <c r="B3257">
        <v>1292724.8999999999</v>
      </c>
      <c r="C3257">
        <v>0</v>
      </c>
      <c r="D3257">
        <v>33.11</v>
      </c>
      <c r="E3257">
        <v>3.8759999999999999</v>
      </c>
      <c r="F3257">
        <v>137.50668970000001</v>
      </c>
      <c r="G3257">
        <v>4.2610000000000001</v>
      </c>
      <c r="N3257" s="8"/>
    </row>
    <row r="3258" spans="1:14" x14ac:dyDescent="0.25">
      <c r="A3258" s="8">
        <v>40984</v>
      </c>
      <c r="B3258">
        <v>1258364.31</v>
      </c>
      <c r="C3258">
        <v>0</v>
      </c>
      <c r="D3258">
        <v>41.19</v>
      </c>
      <c r="E3258">
        <v>3.867</v>
      </c>
      <c r="F3258">
        <v>137.58438709999999</v>
      </c>
      <c r="G3258">
        <v>4.2610000000000001</v>
      </c>
      <c r="N3258" s="8"/>
    </row>
    <row r="3259" spans="1:14" x14ac:dyDescent="0.25">
      <c r="A3259" s="8">
        <v>40991</v>
      </c>
      <c r="B3259">
        <v>1288154.1000000001</v>
      </c>
      <c r="C3259">
        <v>0</v>
      </c>
      <c r="D3259">
        <v>57.82</v>
      </c>
      <c r="E3259">
        <v>3.8889999999999998</v>
      </c>
      <c r="F3259">
        <v>137.65529029999999</v>
      </c>
      <c r="G3259">
        <v>4.2610000000000001</v>
      </c>
      <c r="N3259" s="8"/>
    </row>
    <row r="3260" spans="1:14" x14ac:dyDescent="0.25">
      <c r="A3260" s="8">
        <v>40998</v>
      </c>
      <c r="B3260">
        <v>1261964.96</v>
      </c>
      <c r="C3260">
        <v>0</v>
      </c>
      <c r="D3260">
        <v>36.71</v>
      </c>
      <c r="E3260">
        <v>3.9209999999999998</v>
      </c>
      <c r="F3260">
        <v>137.72619349999999</v>
      </c>
      <c r="G3260">
        <v>4.2610000000000001</v>
      </c>
      <c r="N3260" s="8"/>
    </row>
    <row r="3261" spans="1:14" x14ac:dyDescent="0.25">
      <c r="A3261" s="8">
        <v>41005</v>
      </c>
      <c r="B3261">
        <v>1604605.69</v>
      </c>
      <c r="C3261">
        <v>0</v>
      </c>
      <c r="D3261">
        <v>37.43</v>
      </c>
      <c r="E3261">
        <v>3.9569999999999999</v>
      </c>
      <c r="F3261">
        <v>137.79709679999999</v>
      </c>
      <c r="G3261">
        <v>4.125</v>
      </c>
      <c r="N3261" s="8"/>
    </row>
    <row r="3262" spans="1:14" x14ac:dyDescent="0.25">
      <c r="A3262" s="8">
        <v>41012</v>
      </c>
      <c r="B3262">
        <v>1231752.54</v>
      </c>
      <c r="C3262">
        <v>0</v>
      </c>
      <c r="D3262">
        <v>41.81</v>
      </c>
      <c r="E3262">
        <v>4.0250000000000004</v>
      </c>
      <c r="F3262">
        <v>137.86799999999999</v>
      </c>
      <c r="G3262">
        <v>4.125</v>
      </c>
      <c r="N3262" s="8"/>
    </row>
    <row r="3263" spans="1:14" x14ac:dyDescent="0.25">
      <c r="A3263" s="8">
        <v>41019</v>
      </c>
      <c r="B3263">
        <v>1287899.4099999999</v>
      </c>
      <c r="C3263">
        <v>0</v>
      </c>
      <c r="D3263">
        <v>56.55</v>
      </c>
      <c r="E3263">
        <v>4.0460000000000003</v>
      </c>
      <c r="F3263">
        <v>137.92306669999999</v>
      </c>
      <c r="G3263">
        <v>4.125</v>
      </c>
      <c r="N3263" s="8"/>
    </row>
    <row r="3264" spans="1:14" x14ac:dyDescent="0.25">
      <c r="A3264" s="8">
        <v>41026</v>
      </c>
      <c r="B3264">
        <v>1277758.76</v>
      </c>
      <c r="C3264">
        <v>0</v>
      </c>
      <c r="D3264">
        <v>44.62</v>
      </c>
      <c r="E3264">
        <v>4.0229999999999997</v>
      </c>
      <c r="F3264">
        <v>137.9781333</v>
      </c>
      <c r="G3264">
        <v>4.125</v>
      </c>
      <c r="N3264" s="8"/>
    </row>
    <row r="3265" spans="1:14" x14ac:dyDescent="0.25">
      <c r="A3265" s="8">
        <v>41033</v>
      </c>
      <c r="B3265">
        <v>1317379.68</v>
      </c>
      <c r="C3265">
        <v>0</v>
      </c>
      <c r="D3265">
        <v>45.88</v>
      </c>
      <c r="E3265">
        <v>3.9910000000000001</v>
      </c>
      <c r="F3265">
        <v>138.03319999999999</v>
      </c>
      <c r="G3265">
        <v>4.125</v>
      </c>
      <c r="N3265" s="8"/>
    </row>
    <row r="3266" spans="1:14" x14ac:dyDescent="0.25">
      <c r="A3266" s="8">
        <v>41040</v>
      </c>
      <c r="B3266">
        <v>1321914.3400000001</v>
      </c>
      <c r="C3266">
        <v>0</v>
      </c>
      <c r="D3266">
        <v>52.9</v>
      </c>
      <c r="E3266">
        <v>3.9470000000000001</v>
      </c>
      <c r="F3266">
        <v>138.08826669999999</v>
      </c>
      <c r="G3266">
        <v>4.125</v>
      </c>
      <c r="N3266" s="8"/>
    </row>
    <row r="3267" spans="1:14" x14ac:dyDescent="0.25">
      <c r="A3267" s="8">
        <v>41047</v>
      </c>
      <c r="B3267">
        <v>1332952.47</v>
      </c>
      <c r="C3267">
        <v>0</v>
      </c>
      <c r="D3267">
        <v>58.42</v>
      </c>
      <c r="E3267">
        <v>3.899</v>
      </c>
      <c r="F3267">
        <v>138.1065806</v>
      </c>
      <c r="G3267">
        <v>4.125</v>
      </c>
      <c r="N3267" s="8"/>
    </row>
    <row r="3268" spans="1:14" x14ac:dyDescent="0.25">
      <c r="A3268" s="8">
        <v>41054</v>
      </c>
      <c r="B3268">
        <v>1552934.64</v>
      </c>
      <c r="C3268">
        <v>0</v>
      </c>
      <c r="D3268">
        <v>66.430000000000007</v>
      </c>
      <c r="E3268">
        <v>3.85</v>
      </c>
      <c r="F3268">
        <v>138.11019350000001</v>
      </c>
      <c r="G3268">
        <v>4.125</v>
      </c>
      <c r="N3268" s="8"/>
    </row>
    <row r="3269" spans="1:14" x14ac:dyDescent="0.25">
      <c r="A3269" s="8">
        <v>41061</v>
      </c>
      <c r="B3269">
        <v>1476144.34</v>
      </c>
      <c r="C3269">
        <v>0</v>
      </c>
      <c r="D3269">
        <v>66.22</v>
      </c>
      <c r="E3269">
        <v>3.798</v>
      </c>
      <c r="F3269">
        <v>138.11380650000001</v>
      </c>
      <c r="G3269">
        <v>4.125</v>
      </c>
      <c r="N3269" s="8"/>
    </row>
    <row r="3270" spans="1:14" x14ac:dyDescent="0.25">
      <c r="A3270" s="8">
        <v>41068</v>
      </c>
      <c r="B3270">
        <v>1568048.54</v>
      </c>
      <c r="C3270">
        <v>0</v>
      </c>
      <c r="D3270">
        <v>56.82</v>
      </c>
      <c r="E3270">
        <v>3.746</v>
      </c>
      <c r="F3270">
        <v>138.11741939999999</v>
      </c>
      <c r="G3270">
        <v>4.125</v>
      </c>
      <c r="N3270" s="8"/>
    </row>
    <row r="3271" spans="1:14" x14ac:dyDescent="0.25">
      <c r="A3271" s="8">
        <v>41075</v>
      </c>
      <c r="B3271">
        <v>1543667.68</v>
      </c>
      <c r="C3271">
        <v>0</v>
      </c>
      <c r="D3271">
        <v>64.73</v>
      </c>
      <c r="E3271">
        <v>3.6829999999999998</v>
      </c>
      <c r="F3271">
        <v>138.12953329999999</v>
      </c>
      <c r="G3271">
        <v>4.125</v>
      </c>
      <c r="N3271" s="8"/>
    </row>
    <row r="3272" spans="1:14" x14ac:dyDescent="0.25">
      <c r="A3272" s="8">
        <v>41082</v>
      </c>
      <c r="B3272">
        <v>1522042.57</v>
      </c>
      <c r="C3272">
        <v>0</v>
      </c>
      <c r="D3272">
        <v>71.819999999999993</v>
      </c>
      <c r="E3272">
        <v>3.629</v>
      </c>
      <c r="F3272">
        <v>138.16290000000001</v>
      </c>
      <c r="G3272">
        <v>4.125</v>
      </c>
      <c r="N3272" s="8"/>
    </row>
    <row r="3273" spans="1:14" x14ac:dyDescent="0.25">
      <c r="A3273" s="8">
        <v>41089</v>
      </c>
      <c r="B3273">
        <v>1451782.16</v>
      </c>
      <c r="C3273">
        <v>0</v>
      </c>
      <c r="D3273">
        <v>64.23</v>
      </c>
      <c r="E3273">
        <v>3.577</v>
      </c>
      <c r="F3273">
        <v>138.1962667</v>
      </c>
      <c r="G3273">
        <v>4.125</v>
      </c>
      <c r="N3273" s="8"/>
    </row>
    <row r="3274" spans="1:14" x14ac:dyDescent="0.25">
      <c r="A3274" s="8">
        <v>41096</v>
      </c>
      <c r="B3274">
        <v>1545370.16</v>
      </c>
      <c r="C3274">
        <v>0</v>
      </c>
      <c r="D3274">
        <v>70.86</v>
      </c>
      <c r="E3274">
        <v>3.5379999999999998</v>
      </c>
      <c r="F3274">
        <v>138.22963329999999</v>
      </c>
      <c r="G3274">
        <v>4.1559999999999997</v>
      </c>
      <c r="N3274" s="8"/>
    </row>
    <row r="3275" spans="1:14" x14ac:dyDescent="0.25">
      <c r="A3275" s="8">
        <v>41103</v>
      </c>
      <c r="B3275">
        <v>1384921.63</v>
      </c>
      <c r="C3275">
        <v>0</v>
      </c>
      <c r="D3275">
        <v>69.19</v>
      </c>
      <c r="E3275">
        <v>3.5609999999999999</v>
      </c>
      <c r="F3275">
        <v>138.26300000000001</v>
      </c>
      <c r="G3275">
        <v>4.1559999999999997</v>
      </c>
      <c r="N3275" s="8"/>
    </row>
    <row r="3276" spans="1:14" x14ac:dyDescent="0.25">
      <c r="A3276" s="8">
        <v>41110</v>
      </c>
      <c r="B3276">
        <v>1381339.23</v>
      </c>
      <c r="C3276">
        <v>0</v>
      </c>
      <c r="D3276">
        <v>71.13</v>
      </c>
      <c r="E3276">
        <v>3.61</v>
      </c>
      <c r="F3276">
        <v>138.2331935</v>
      </c>
      <c r="G3276">
        <v>4.1559999999999997</v>
      </c>
      <c r="N3276" s="8"/>
    </row>
    <row r="3277" spans="1:14" x14ac:dyDescent="0.25">
      <c r="A3277" s="8">
        <v>41117</v>
      </c>
      <c r="B3277">
        <v>1322932.3600000001</v>
      </c>
      <c r="C3277">
        <v>0</v>
      </c>
      <c r="D3277">
        <v>69.31</v>
      </c>
      <c r="E3277">
        <v>3.7010000000000001</v>
      </c>
      <c r="F3277">
        <v>138.20338709999999</v>
      </c>
      <c r="G3277">
        <v>4.1559999999999997</v>
      </c>
      <c r="N3277" s="8"/>
    </row>
    <row r="3278" spans="1:14" x14ac:dyDescent="0.25">
      <c r="A3278" s="8">
        <v>41124</v>
      </c>
      <c r="B3278">
        <v>1416926.31</v>
      </c>
      <c r="C3278">
        <v>0</v>
      </c>
      <c r="D3278">
        <v>71.510000000000005</v>
      </c>
      <c r="E3278">
        <v>3.698</v>
      </c>
      <c r="F3278">
        <v>138.17358060000001</v>
      </c>
      <c r="G3278">
        <v>4.1559999999999997</v>
      </c>
      <c r="N3278" s="8"/>
    </row>
    <row r="3279" spans="1:14" x14ac:dyDescent="0.25">
      <c r="A3279" s="8">
        <v>41131</v>
      </c>
      <c r="B3279">
        <v>1436311.76</v>
      </c>
      <c r="C3279">
        <v>0</v>
      </c>
      <c r="D3279">
        <v>71.12</v>
      </c>
      <c r="E3279">
        <v>3.7719999999999998</v>
      </c>
      <c r="F3279">
        <v>138.1437742</v>
      </c>
      <c r="G3279">
        <v>4.1559999999999997</v>
      </c>
      <c r="N3279" s="8"/>
    </row>
    <row r="3280" spans="1:14" x14ac:dyDescent="0.25">
      <c r="A3280" s="8">
        <v>41138</v>
      </c>
      <c r="B3280">
        <v>1510131.45</v>
      </c>
      <c r="C3280">
        <v>0</v>
      </c>
      <c r="D3280">
        <v>69.97</v>
      </c>
      <c r="E3280">
        <v>3.84</v>
      </c>
      <c r="F3280">
        <v>138.18570969999999</v>
      </c>
      <c r="G3280">
        <v>4.1559999999999997</v>
      </c>
      <c r="N3280" s="8"/>
    </row>
    <row r="3281" spans="1:14" x14ac:dyDescent="0.25">
      <c r="A3281" s="8">
        <v>41145</v>
      </c>
      <c r="B3281">
        <v>1702220.96</v>
      </c>
      <c r="C3281">
        <v>0</v>
      </c>
      <c r="D3281">
        <v>64.63</v>
      </c>
      <c r="E3281">
        <v>3.8740000000000001</v>
      </c>
      <c r="F3281">
        <v>138.2814516</v>
      </c>
      <c r="G3281">
        <v>4.1559999999999997</v>
      </c>
      <c r="N3281" s="8"/>
    </row>
    <row r="3282" spans="1:14" x14ac:dyDescent="0.25">
      <c r="A3282" s="8">
        <v>41152</v>
      </c>
      <c r="B3282">
        <v>1577468.78</v>
      </c>
      <c r="C3282">
        <v>0</v>
      </c>
      <c r="D3282">
        <v>68.34</v>
      </c>
      <c r="E3282">
        <v>3.8839999999999999</v>
      </c>
      <c r="F3282">
        <v>138.3771935</v>
      </c>
      <c r="G3282">
        <v>4.1559999999999997</v>
      </c>
      <c r="N3282" s="8"/>
    </row>
    <row r="3283" spans="1:14" x14ac:dyDescent="0.25">
      <c r="A3283" s="8">
        <v>41159</v>
      </c>
      <c r="B3283">
        <v>1427162.26</v>
      </c>
      <c r="C3283">
        <v>1</v>
      </c>
      <c r="D3283">
        <v>66.739999999999995</v>
      </c>
      <c r="E3283">
        <v>3.9209999999999998</v>
      </c>
      <c r="F3283">
        <v>138.47293550000001</v>
      </c>
      <c r="G3283">
        <v>4.1559999999999997</v>
      </c>
      <c r="N3283" s="8"/>
    </row>
    <row r="3284" spans="1:14" x14ac:dyDescent="0.25">
      <c r="A3284" s="8">
        <v>41166</v>
      </c>
      <c r="B3284">
        <v>1279041.6399999999</v>
      </c>
      <c r="C3284">
        <v>0</v>
      </c>
      <c r="D3284">
        <v>61.37</v>
      </c>
      <c r="E3284">
        <v>3.988</v>
      </c>
      <c r="F3284">
        <v>138.56729999999999</v>
      </c>
      <c r="G3284">
        <v>4.1559999999999997</v>
      </c>
      <c r="N3284" s="8"/>
    </row>
    <row r="3285" spans="1:14" x14ac:dyDescent="0.25">
      <c r="A3285" s="8">
        <v>41173</v>
      </c>
      <c r="B3285">
        <v>1338627.55</v>
      </c>
      <c r="C3285">
        <v>0</v>
      </c>
      <c r="D3285">
        <v>56.8</v>
      </c>
      <c r="E3285">
        <v>4.056</v>
      </c>
      <c r="F3285">
        <v>138.6534</v>
      </c>
      <c r="G3285">
        <v>4.1559999999999997</v>
      </c>
      <c r="N3285" s="8"/>
    </row>
    <row r="3286" spans="1:14" x14ac:dyDescent="0.25">
      <c r="A3286" s="8">
        <v>41180</v>
      </c>
      <c r="B3286">
        <v>1319035.06</v>
      </c>
      <c r="C3286">
        <v>0</v>
      </c>
      <c r="D3286">
        <v>53.71</v>
      </c>
      <c r="E3286">
        <v>4.0179999999999998</v>
      </c>
      <c r="F3286">
        <v>138.73949999999999</v>
      </c>
      <c r="G3286">
        <v>4.1559999999999997</v>
      </c>
      <c r="N3286" s="8"/>
    </row>
    <row r="3287" spans="1:14" x14ac:dyDescent="0.25">
      <c r="A3287" s="8">
        <v>41187</v>
      </c>
      <c r="B3287">
        <v>1464616.59</v>
      </c>
      <c r="C3287">
        <v>0</v>
      </c>
      <c r="D3287">
        <v>56.65</v>
      </c>
      <c r="E3287">
        <v>4.0270000000000001</v>
      </c>
      <c r="F3287">
        <v>138.82560000000001</v>
      </c>
      <c r="G3287">
        <v>4.1449999999999996</v>
      </c>
      <c r="N3287" s="8"/>
    </row>
    <row r="3288" spans="1:14" x14ac:dyDescent="0.25">
      <c r="A3288" s="8">
        <v>41194</v>
      </c>
      <c r="B3288">
        <v>1412925.25</v>
      </c>
      <c r="C3288">
        <v>0</v>
      </c>
      <c r="D3288">
        <v>48.1</v>
      </c>
      <c r="E3288">
        <v>4.0289999999999999</v>
      </c>
      <c r="F3288">
        <v>138.9117</v>
      </c>
      <c r="G3288">
        <v>4.1449999999999996</v>
      </c>
      <c r="N3288" s="8"/>
    </row>
    <row r="3289" spans="1:14" x14ac:dyDescent="0.25">
      <c r="A3289" s="8">
        <v>41201</v>
      </c>
      <c r="B3289">
        <v>1363155.77</v>
      </c>
      <c r="C3289">
        <v>0</v>
      </c>
      <c r="D3289">
        <v>47.89</v>
      </c>
      <c r="E3289">
        <v>4</v>
      </c>
      <c r="F3289">
        <v>138.83361289999999</v>
      </c>
      <c r="G3289">
        <v>4.1449999999999996</v>
      </c>
      <c r="N3289" s="8"/>
    </row>
    <row r="3290" spans="1:14" x14ac:dyDescent="0.25">
      <c r="A3290" s="8">
        <v>41208</v>
      </c>
      <c r="B3290">
        <v>1347454.59</v>
      </c>
      <c r="C3290">
        <v>0</v>
      </c>
      <c r="D3290">
        <v>50.56</v>
      </c>
      <c r="E3290">
        <v>3.9169999999999998</v>
      </c>
      <c r="F3290">
        <v>138.72816130000001</v>
      </c>
      <c r="G3290">
        <v>4.1449999999999996</v>
      </c>
      <c r="N3290" s="8"/>
    </row>
    <row r="3291" spans="1:14" x14ac:dyDescent="0.25">
      <c r="A3291" s="8">
        <v>40214</v>
      </c>
      <c r="B3291">
        <v>1388725.63</v>
      </c>
      <c r="C3291">
        <v>0</v>
      </c>
      <c r="D3291">
        <v>22.43</v>
      </c>
      <c r="E3291">
        <v>2.9540000000000002</v>
      </c>
      <c r="F3291">
        <v>131.5279032</v>
      </c>
      <c r="G3291">
        <v>8.3260000000000005</v>
      </c>
      <c r="N3291" s="8"/>
    </row>
    <row r="3292" spans="1:14" x14ac:dyDescent="0.25">
      <c r="A3292" s="8">
        <v>40221</v>
      </c>
      <c r="B3292">
        <v>1414107.1</v>
      </c>
      <c r="C3292">
        <v>1</v>
      </c>
      <c r="D3292">
        <v>25.94</v>
      </c>
      <c r="E3292">
        <v>2.94</v>
      </c>
      <c r="F3292">
        <v>131.58661290000001</v>
      </c>
      <c r="G3292">
        <v>8.3260000000000005</v>
      </c>
      <c r="N3292" s="8"/>
    </row>
    <row r="3293" spans="1:14" x14ac:dyDescent="0.25">
      <c r="A3293" s="8">
        <v>40228</v>
      </c>
      <c r="B3293">
        <v>1385362.49</v>
      </c>
      <c r="C3293">
        <v>0</v>
      </c>
      <c r="D3293">
        <v>31.05</v>
      </c>
      <c r="E3293">
        <v>2.9089999999999998</v>
      </c>
      <c r="F3293">
        <v>131.637</v>
      </c>
      <c r="G3293">
        <v>8.3260000000000005</v>
      </c>
      <c r="N3293" s="8"/>
    </row>
    <row r="3294" spans="1:14" x14ac:dyDescent="0.25">
      <c r="A3294" s="8">
        <v>40235</v>
      </c>
      <c r="B3294">
        <v>1158722.74</v>
      </c>
      <c r="C3294">
        <v>0</v>
      </c>
      <c r="D3294">
        <v>33.979999999999997</v>
      </c>
      <c r="E3294">
        <v>2.91</v>
      </c>
      <c r="F3294">
        <v>131.68600000000001</v>
      </c>
      <c r="G3294">
        <v>8.3260000000000005</v>
      </c>
      <c r="N3294" s="8"/>
    </row>
    <row r="3295" spans="1:14" x14ac:dyDescent="0.25">
      <c r="A3295" s="8">
        <v>40242</v>
      </c>
      <c r="B3295">
        <v>1412387.37</v>
      </c>
      <c r="C3295">
        <v>0</v>
      </c>
      <c r="D3295">
        <v>36.729999999999997</v>
      </c>
      <c r="E3295">
        <v>2.919</v>
      </c>
      <c r="F3295">
        <v>131.73500000000001</v>
      </c>
      <c r="G3295">
        <v>8.3260000000000005</v>
      </c>
      <c r="N3295" s="8"/>
    </row>
    <row r="3296" spans="1:14" x14ac:dyDescent="0.25">
      <c r="A3296" s="8">
        <v>40249</v>
      </c>
      <c r="B3296">
        <v>1309340.1599999999</v>
      </c>
      <c r="C3296">
        <v>0</v>
      </c>
      <c r="D3296">
        <v>42.31</v>
      </c>
      <c r="E3296">
        <v>2.9380000000000002</v>
      </c>
      <c r="F3296">
        <v>131.78399999999999</v>
      </c>
      <c r="G3296">
        <v>8.3260000000000005</v>
      </c>
      <c r="N3296" s="8"/>
    </row>
    <row r="3297" spans="1:14" x14ac:dyDescent="0.25">
      <c r="A3297" s="8">
        <v>40256</v>
      </c>
      <c r="B3297">
        <v>1222511.29</v>
      </c>
      <c r="C3297">
        <v>0</v>
      </c>
      <c r="D3297">
        <v>46.09</v>
      </c>
      <c r="E3297">
        <v>2.96</v>
      </c>
      <c r="F3297">
        <v>131.8242903</v>
      </c>
      <c r="G3297">
        <v>8.3260000000000005</v>
      </c>
      <c r="N3297" s="8"/>
    </row>
    <row r="3298" spans="1:14" x14ac:dyDescent="0.25">
      <c r="A3298" s="8">
        <v>40263</v>
      </c>
      <c r="B3298">
        <v>1258311.56</v>
      </c>
      <c r="C3298">
        <v>0</v>
      </c>
      <c r="D3298">
        <v>48.87</v>
      </c>
      <c r="E3298">
        <v>2.9630000000000001</v>
      </c>
      <c r="F3298">
        <v>131.86312899999999</v>
      </c>
      <c r="G3298">
        <v>8.3260000000000005</v>
      </c>
      <c r="N3298" s="8"/>
    </row>
    <row r="3299" spans="1:14" x14ac:dyDescent="0.25">
      <c r="A3299" s="8">
        <v>40270</v>
      </c>
      <c r="B3299">
        <v>1478321.26</v>
      </c>
      <c r="C3299">
        <v>0</v>
      </c>
      <c r="D3299">
        <v>45.22</v>
      </c>
      <c r="E3299">
        <v>2.9569999999999999</v>
      </c>
      <c r="F3299">
        <v>131.9019677</v>
      </c>
      <c r="G3299">
        <v>8.2110000000000003</v>
      </c>
      <c r="N3299" s="8"/>
    </row>
    <row r="3300" spans="1:14" x14ac:dyDescent="0.25">
      <c r="A3300" s="8">
        <v>40277</v>
      </c>
      <c r="B3300">
        <v>1379579.63</v>
      </c>
      <c r="C3300">
        <v>0</v>
      </c>
      <c r="D3300">
        <v>62.06</v>
      </c>
      <c r="E3300">
        <v>2.992</v>
      </c>
      <c r="F3300">
        <v>131.94080650000001</v>
      </c>
      <c r="G3300">
        <v>8.2110000000000003</v>
      </c>
      <c r="N3300" s="8"/>
    </row>
    <row r="3301" spans="1:14" x14ac:dyDescent="0.25">
      <c r="A3301" s="8">
        <v>40284</v>
      </c>
      <c r="B3301">
        <v>1268266.72</v>
      </c>
      <c r="C3301">
        <v>0</v>
      </c>
      <c r="D3301">
        <v>51.08</v>
      </c>
      <c r="E3301">
        <v>3.01</v>
      </c>
      <c r="F3301">
        <v>131.98089999999999</v>
      </c>
      <c r="G3301">
        <v>8.2110000000000003</v>
      </c>
      <c r="N3301" s="8"/>
    </row>
    <row r="3302" spans="1:14" x14ac:dyDescent="0.25">
      <c r="A3302" s="8">
        <v>40291</v>
      </c>
      <c r="B3302">
        <v>1264117.01</v>
      </c>
      <c r="C3302">
        <v>0</v>
      </c>
      <c r="D3302">
        <v>51.07</v>
      </c>
      <c r="E3302">
        <v>3.0209999999999999</v>
      </c>
      <c r="F3302">
        <v>132.0226667</v>
      </c>
      <c r="G3302">
        <v>8.2110000000000003</v>
      </c>
      <c r="N3302" s="8"/>
    </row>
    <row r="3303" spans="1:14" x14ac:dyDescent="0.25">
      <c r="A3303" s="8">
        <v>40298</v>
      </c>
      <c r="B3303">
        <v>1259877.19</v>
      </c>
      <c r="C3303">
        <v>0</v>
      </c>
      <c r="D3303">
        <v>51.48</v>
      </c>
      <c r="E3303">
        <v>3.0419999999999998</v>
      </c>
      <c r="F3303">
        <v>132.06443329999999</v>
      </c>
      <c r="G3303">
        <v>8.2110000000000003</v>
      </c>
      <c r="N3303" s="8"/>
    </row>
    <row r="3304" spans="1:14" x14ac:dyDescent="0.25">
      <c r="A3304" s="8">
        <v>40305</v>
      </c>
      <c r="B3304">
        <v>1409705.03</v>
      </c>
      <c r="C3304">
        <v>0</v>
      </c>
      <c r="D3304">
        <v>66.650000000000006</v>
      </c>
      <c r="E3304">
        <v>3.0950000000000002</v>
      </c>
      <c r="F3304">
        <v>132.1062</v>
      </c>
      <c r="G3304">
        <v>8.2110000000000003</v>
      </c>
      <c r="N3304" s="8"/>
    </row>
    <row r="3305" spans="1:14" x14ac:dyDescent="0.25">
      <c r="A3305" s="8">
        <v>40312</v>
      </c>
      <c r="B3305">
        <v>1346783.35</v>
      </c>
      <c r="C3305">
        <v>0</v>
      </c>
      <c r="D3305">
        <v>51.31</v>
      </c>
      <c r="E3305">
        <v>3.1120000000000001</v>
      </c>
      <c r="F3305">
        <v>132.152129</v>
      </c>
      <c r="G3305">
        <v>8.2110000000000003</v>
      </c>
      <c r="N3305" s="8"/>
    </row>
    <row r="3306" spans="1:14" x14ac:dyDescent="0.25">
      <c r="A3306" s="8">
        <v>40319</v>
      </c>
      <c r="B3306">
        <v>1283482.8500000001</v>
      </c>
      <c r="C3306">
        <v>0</v>
      </c>
      <c r="D3306">
        <v>60.44</v>
      </c>
      <c r="E3306">
        <v>3.0960000000000001</v>
      </c>
      <c r="F3306">
        <v>132.2230323</v>
      </c>
      <c r="G3306">
        <v>8.2110000000000003</v>
      </c>
      <c r="N3306" s="8"/>
    </row>
    <row r="3307" spans="1:14" x14ac:dyDescent="0.25">
      <c r="A3307" s="8">
        <v>40326</v>
      </c>
      <c r="B3307">
        <v>1473868.15</v>
      </c>
      <c r="C3307">
        <v>0</v>
      </c>
      <c r="D3307">
        <v>69.59</v>
      </c>
      <c r="E3307">
        <v>3.0459999999999998</v>
      </c>
      <c r="F3307">
        <v>132.2939355</v>
      </c>
      <c r="G3307">
        <v>8.2110000000000003</v>
      </c>
      <c r="N3307" s="8"/>
    </row>
    <row r="3308" spans="1:14" x14ac:dyDescent="0.25">
      <c r="A3308" s="8">
        <v>40333</v>
      </c>
      <c r="B3308">
        <v>1566668.91</v>
      </c>
      <c r="C3308">
        <v>0</v>
      </c>
      <c r="D3308">
        <v>71.989999999999995</v>
      </c>
      <c r="E3308">
        <v>3.0059999999999998</v>
      </c>
      <c r="F3308">
        <v>132.36483870000001</v>
      </c>
      <c r="G3308">
        <v>8.2110000000000003</v>
      </c>
      <c r="N3308" s="8"/>
    </row>
    <row r="3309" spans="1:14" x14ac:dyDescent="0.25">
      <c r="A3309" s="8">
        <v>40340</v>
      </c>
      <c r="B3309">
        <v>1375458.21</v>
      </c>
      <c r="C3309">
        <v>0</v>
      </c>
      <c r="D3309">
        <v>64.84</v>
      </c>
      <c r="E3309">
        <v>2.972</v>
      </c>
      <c r="F3309">
        <v>132.43574190000001</v>
      </c>
      <c r="G3309">
        <v>8.2110000000000003</v>
      </c>
      <c r="N3309" s="8"/>
    </row>
    <row r="3310" spans="1:14" x14ac:dyDescent="0.25">
      <c r="A3310" s="8">
        <v>40347</v>
      </c>
      <c r="B3310">
        <v>1354168.18</v>
      </c>
      <c r="C3310">
        <v>0</v>
      </c>
      <c r="D3310">
        <v>67.17</v>
      </c>
      <c r="E3310">
        <v>2.9420000000000002</v>
      </c>
      <c r="F3310">
        <v>132.47333330000001</v>
      </c>
      <c r="G3310">
        <v>8.2110000000000003</v>
      </c>
      <c r="N3310" s="8"/>
    </row>
    <row r="3311" spans="1:14" x14ac:dyDescent="0.25">
      <c r="A3311" s="8">
        <v>40354</v>
      </c>
      <c r="B3311">
        <v>1399073.75</v>
      </c>
      <c r="C3311">
        <v>0</v>
      </c>
      <c r="D3311">
        <v>74.900000000000006</v>
      </c>
      <c r="E3311">
        <v>2.9580000000000002</v>
      </c>
      <c r="F3311">
        <v>132.49760000000001</v>
      </c>
      <c r="G3311">
        <v>8.2110000000000003</v>
      </c>
      <c r="N3311" s="8"/>
    </row>
    <row r="3312" spans="1:14" x14ac:dyDescent="0.25">
      <c r="A3312" s="8">
        <v>40361</v>
      </c>
      <c r="B3312">
        <v>1563387.94</v>
      </c>
      <c r="C3312">
        <v>0</v>
      </c>
      <c r="D3312">
        <v>71.12</v>
      </c>
      <c r="E3312">
        <v>2.9580000000000002</v>
      </c>
      <c r="F3312">
        <v>132.5218667</v>
      </c>
      <c r="G3312">
        <v>8.1170000000000009</v>
      </c>
      <c r="N3312" s="8"/>
    </row>
    <row r="3313" spans="1:14" x14ac:dyDescent="0.25">
      <c r="A3313" s="8">
        <v>40368</v>
      </c>
      <c r="B3313">
        <v>1665502.55</v>
      </c>
      <c r="C3313">
        <v>0</v>
      </c>
      <c r="D3313">
        <v>79.05</v>
      </c>
      <c r="E3313">
        <v>2.94</v>
      </c>
      <c r="F3313">
        <v>132.54613330000001</v>
      </c>
      <c r="G3313">
        <v>8.1170000000000009</v>
      </c>
      <c r="N3313" s="8"/>
    </row>
    <row r="3314" spans="1:14" x14ac:dyDescent="0.25">
      <c r="A3314" s="8">
        <v>40375</v>
      </c>
      <c r="B3314">
        <v>1418697.05</v>
      </c>
      <c r="C3314">
        <v>0</v>
      </c>
      <c r="D3314">
        <v>76.56</v>
      </c>
      <c r="E3314">
        <v>2.9329999999999998</v>
      </c>
      <c r="F3314">
        <v>132.5667742</v>
      </c>
      <c r="G3314">
        <v>8.1170000000000009</v>
      </c>
      <c r="N3314" s="8"/>
    </row>
    <row r="3315" spans="1:14" x14ac:dyDescent="0.25">
      <c r="A3315" s="8">
        <v>40382</v>
      </c>
      <c r="B3315">
        <v>1333740.3500000001</v>
      </c>
      <c r="C3315">
        <v>0</v>
      </c>
      <c r="D3315">
        <v>75.27</v>
      </c>
      <c r="E3315">
        <v>2.9239999999999999</v>
      </c>
      <c r="F3315">
        <v>132.5825806</v>
      </c>
      <c r="G3315">
        <v>8.1170000000000009</v>
      </c>
      <c r="N3315" s="8"/>
    </row>
    <row r="3316" spans="1:14" x14ac:dyDescent="0.25">
      <c r="A3316" s="8">
        <v>40389</v>
      </c>
      <c r="B3316">
        <v>1387517.63</v>
      </c>
      <c r="C3316">
        <v>0</v>
      </c>
      <c r="D3316">
        <v>75.91</v>
      </c>
      <c r="E3316">
        <v>2.9319999999999999</v>
      </c>
      <c r="F3316">
        <v>132.5983871</v>
      </c>
      <c r="G3316">
        <v>8.1170000000000009</v>
      </c>
      <c r="N3316" s="8"/>
    </row>
    <row r="3317" spans="1:14" x14ac:dyDescent="0.25">
      <c r="A3317" s="8">
        <v>40396</v>
      </c>
      <c r="B3317">
        <v>1442819.28</v>
      </c>
      <c r="C3317">
        <v>0</v>
      </c>
      <c r="D3317">
        <v>74.540000000000006</v>
      </c>
      <c r="E3317">
        <v>2.9420000000000002</v>
      </c>
      <c r="F3317">
        <v>132.6141935</v>
      </c>
      <c r="G3317">
        <v>8.1170000000000009</v>
      </c>
      <c r="N3317" s="8"/>
    </row>
    <row r="3318" spans="1:14" x14ac:dyDescent="0.25">
      <c r="A3318" s="8">
        <v>40403</v>
      </c>
      <c r="B3318">
        <v>1384243.75</v>
      </c>
      <c r="C3318">
        <v>0</v>
      </c>
      <c r="D3318">
        <v>74.17</v>
      </c>
      <c r="E3318">
        <v>2.923</v>
      </c>
      <c r="F3318">
        <v>132.63</v>
      </c>
      <c r="G3318">
        <v>8.1170000000000009</v>
      </c>
      <c r="N3318" s="8"/>
    </row>
    <row r="3319" spans="1:14" x14ac:dyDescent="0.25">
      <c r="A3319" s="8">
        <v>40410</v>
      </c>
      <c r="B3319">
        <v>1375307.54</v>
      </c>
      <c r="C3319">
        <v>0</v>
      </c>
      <c r="D3319">
        <v>72.17</v>
      </c>
      <c r="E3319">
        <v>2.9129999999999998</v>
      </c>
      <c r="F3319">
        <v>132.66161289999999</v>
      </c>
      <c r="G3319">
        <v>8.1170000000000009</v>
      </c>
      <c r="N3319" s="8"/>
    </row>
    <row r="3320" spans="1:14" x14ac:dyDescent="0.25">
      <c r="A3320" s="8">
        <v>40417</v>
      </c>
      <c r="B3320">
        <v>1350059.35</v>
      </c>
      <c r="C3320">
        <v>0</v>
      </c>
      <c r="D3320">
        <v>67</v>
      </c>
      <c r="E3320">
        <v>2.8849999999999998</v>
      </c>
      <c r="F3320">
        <v>132.69322579999999</v>
      </c>
      <c r="G3320">
        <v>8.1170000000000009</v>
      </c>
      <c r="N3320" s="8"/>
    </row>
    <row r="3321" spans="1:14" x14ac:dyDescent="0.25">
      <c r="A3321" s="8">
        <v>40424</v>
      </c>
      <c r="B3321">
        <v>1366381.6</v>
      </c>
      <c r="C3321">
        <v>0</v>
      </c>
      <c r="D3321">
        <v>73.52</v>
      </c>
      <c r="E3321">
        <v>2.86</v>
      </c>
      <c r="F3321">
        <v>132.72483869999999</v>
      </c>
      <c r="G3321">
        <v>8.1170000000000009</v>
      </c>
      <c r="N3321" s="8"/>
    </row>
    <row r="3322" spans="1:14" x14ac:dyDescent="0.25">
      <c r="A3322" s="8">
        <v>40431</v>
      </c>
      <c r="B3322">
        <v>1474498.59</v>
      </c>
      <c r="C3322">
        <v>1</v>
      </c>
      <c r="D3322">
        <v>67.11</v>
      </c>
      <c r="E3322">
        <v>2.8370000000000002</v>
      </c>
      <c r="F3322">
        <v>132.75645159999999</v>
      </c>
      <c r="G3322">
        <v>8.1170000000000009</v>
      </c>
      <c r="N3322" s="8"/>
    </row>
    <row r="3323" spans="1:14" x14ac:dyDescent="0.25">
      <c r="A3323" s="8">
        <v>40438</v>
      </c>
      <c r="B3323">
        <v>1273295.46</v>
      </c>
      <c r="C3323">
        <v>0</v>
      </c>
      <c r="D3323">
        <v>60.31</v>
      </c>
      <c r="E3323">
        <v>2.8460000000000001</v>
      </c>
      <c r="F3323">
        <v>132.76706669999999</v>
      </c>
      <c r="G3323">
        <v>8.1170000000000009</v>
      </c>
      <c r="N3323" s="8"/>
    </row>
    <row r="3324" spans="1:14" x14ac:dyDescent="0.25">
      <c r="A3324" s="8">
        <v>40445</v>
      </c>
      <c r="B3324">
        <v>1169413.27</v>
      </c>
      <c r="C3324">
        <v>0</v>
      </c>
      <c r="D3324">
        <v>64.3</v>
      </c>
      <c r="E3324">
        <v>2.8370000000000002</v>
      </c>
      <c r="F3324">
        <v>132.76193330000001</v>
      </c>
      <c r="G3324">
        <v>8.1170000000000009</v>
      </c>
      <c r="N3324" s="8"/>
    </row>
    <row r="3325" spans="1:14" x14ac:dyDescent="0.25">
      <c r="A3325" s="8">
        <v>40452</v>
      </c>
      <c r="B3325">
        <v>1215273.2</v>
      </c>
      <c r="C3325">
        <v>0</v>
      </c>
      <c r="D3325">
        <v>66.88</v>
      </c>
      <c r="E3325">
        <v>2.84</v>
      </c>
      <c r="F3325">
        <v>132.7568</v>
      </c>
      <c r="G3325">
        <v>8.2750000000000004</v>
      </c>
      <c r="N3325" s="8"/>
    </row>
    <row r="3326" spans="1:14" x14ac:dyDescent="0.25">
      <c r="A3326" s="8">
        <v>40459</v>
      </c>
      <c r="B3326">
        <v>1361944.94</v>
      </c>
      <c r="C3326">
        <v>0</v>
      </c>
      <c r="D3326">
        <v>54.82</v>
      </c>
      <c r="E3326">
        <v>2.903</v>
      </c>
      <c r="F3326">
        <v>132.75166669999999</v>
      </c>
      <c r="G3326">
        <v>8.2750000000000004</v>
      </c>
      <c r="N3326" s="8"/>
    </row>
    <row r="3327" spans="1:14" x14ac:dyDescent="0.25">
      <c r="A3327" s="8">
        <v>40466</v>
      </c>
      <c r="B3327">
        <v>1300806.74</v>
      </c>
      <c r="C3327">
        <v>0</v>
      </c>
      <c r="D3327">
        <v>52.83</v>
      </c>
      <c r="E3327">
        <v>2.9990000000000001</v>
      </c>
      <c r="F3327">
        <v>132.7633548</v>
      </c>
      <c r="G3327">
        <v>8.2750000000000004</v>
      </c>
      <c r="N3327" s="8"/>
    </row>
    <row r="3328" spans="1:14" x14ac:dyDescent="0.25">
      <c r="A3328" s="8">
        <v>40473</v>
      </c>
      <c r="B3328">
        <v>1234875.33</v>
      </c>
      <c r="C3328">
        <v>0</v>
      </c>
      <c r="D3328">
        <v>48.69</v>
      </c>
      <c r="E3328">
        <v>3.0489999999999999</v>
      </c>
      <c r="F3328">
        <v>132.8170968</v>
      </c>
      <c r="G3328">
        <v>8.2750000000000004</v>
      </c>
      <c r="N3328" s="8"/>
    </row>
    <row r="3329" spans="1:14" x14ac:dyDescent="0.25">
      <c r="A3329" s="8">
        <v>40480</v>
      </c>
      <c r="B3329">
        <v>1244925.94</v>
      </c>
      <c r="C3329">
        <v>0</v>
      </c>
      <c r="D3329">
        <v>57.29</v>
      </c>
      <c r="E3329">
        <v>3.0550000000000002</v>
      </c>
      <c r="F3329">
        <v>132.87083870000001</v>
      </c>
      <c r="G3329">
        <v>8.2750000000000004</v>
      </c>
      <c r="N3329" s="8"/>
    </row>
    <row r="3330" spans="1:14" x14ac:dyDescent="0.25">
      <c r="A3330" s="8">
        <v>40487</v>
      </c>
      <c r="B3330">
        <v>1285358.01</v>
      </c>
      <c r="C3330">
        <v>0</v>
      </c>
      <c r="D3330">
        <v>42.2</v>
      </c>
      <c r="E3330">
        <v>3.0489999999999999</v>
      </c>
      <c r="F3330">
        <v>132.92458060000001</v>
      </c>
      <c r="G3330">
        <v>8.2750000000000004</v>
      </c>
      <c r="N3330" s="8"/>
    </row>
    <row r="3331" spans="1:14" x14ac:dyDescent="0.25">
      <c r="A3331" s="8">
        <v>40494</v>
      </c>
      <c r="B3331">
        <v>1312877.01</v>
      </c>
      <c r="C3331">
        <v>0</v>
      </c>
      <c r="D3331">
        <v>41.76</v>
      </c>
      <c r="E3331">
        <v>3.0649999999999999</v>
      </c>
      <c r="F3331">
        <v>132.97832260000001</v>
      </c>
      <c r="G3331">
        <v>8.2750000000000004</v>
      </c>
      <c r="N3331" s="8"/>
    </row>
    <row r="3332" spans="1:14" x14ac:dyDescent="0.25">
      <c r="A3332" s="8">
        <v>40501</v>
      </c>
      <c r="B3332">
        <v>1277150.6000000001</v>
      </c>
      <c r="C3332">
        <v>0</v>
      </c>
      <c r="D3332">
        <v>45.63</v>
      </c>
      <c r="E3332">
        <v>3.1379999999999999</v>
      </c>
      <c r="F3332">
        <v>132.91720000000001</v>
      </c>
      <c r="G3332">
        <v>8.2750000000000004</v>
      </c>
      <c r="N3332" s="8"/>
    </row>
    <row r="3333" spans="1:14" x14ac:dyDescent="0.25">
      <c r="A3333" s="8">
        <v>40508</v>
      </c>
      <c r="B3333">
        <v>1779276.51</v>
      </c>
      <c r="C3333">
        <v>1</v>
      </c>
      <c r="D3333">
        <v>41.92</v>
      </c>
      <c r="E3333">
        <v>3.1859999999999999</v>
      </c>
      <c r="F3333">
        <v>132.8369333</v>
      </c>
      <c r="G3333">
        <v>8.2750000000000004</v>
      </c>
      <c r="N3333" s="8"/>
    </row>
    <row r="3334" spans="1:14" x14ac:dyDescent="0.25">
      <c r="A3334" s="8">
        <v>40515</v>
      </c>
      <c r="B3334">
        <v>1413302.7</v>
      </c>
      <c r="C3334">
        <v>0</v>
      </c>
      <c r="D3334">
        <v>37.08</v>
      </c>
      <c r="E3334">
        <v>3.2</v>
      </c>
      <c r="F3334">
        <v>132.75666670000001</v>
      </c>
      <c r="G3334">
        <v>8.2750000000000004</v>
      </c>
      <c r="N3334" s="8"/>
    </row>
    <row r="3335" spans="1:14" x14ac:dyDescent="0.25">
      <c r="A3335" s="8">
        <v>40522</v>
      </c>
      <c r="B3335">
        <v>1593012.75</v>
      </c>
      <c r="C3335">
        <v>0</v>
      </c>
      <c r="D3335">
        <v>27.11</v>
      </c>
      <c r="E3335">
        <v>3.2549999999999999</v>
      </c>
      <c r="F3335">
        <v>132.6764</v>
      </c>
      <c r="G3335">
        <v>8.2750000000000004</v>
      </c>
      <c r="N3335" s="8"/>
    </row>
    <row r="3336" spans="1:14" x14ac:dyDescent="0.25">
      <c r="A3336" s="8">
        <v>40529</v>
      </c>
      <c r="B3336">
        <v>1663525.77</v>
      </c>
      <c r="C3336">
        <v>0</v>
      </c>
      <c r="D3336">
        <v>27.99</v>
      </c>
      <c r="E3336">
        <v>3.3010000000000002</v>
      </c>
      <c r="F3336">
        <v>132.6804516</v>
      </c>
      <c r="G3336">
        <v>8.2750000000000004</v>
      </c>
      <c r="N3336" s="8"/>
    </row>
    <row r="3337" spans="1:14" x14ac:dyDescent="0.25">
      <c r="A3337" s="8">
        <v>40536</v>
      </c>
      <c r="B3337">
        <v>2386015.75</v>
      </c>
      <c r="C3337">
        <v>0</v>
      </c>
      <c r="D3337">
        <v>27.74</v>
      </c>
      <c r="E3337">
        <v>3.3090000000000002</v>
      </c>
      <c r="F3337">
        <v>132.74774189999999</v>
      </c>
      <c r="G3337">
        <v>8.2750000000000004</v>
      </c>
      <c r="N3337" s="8"/>
    </row>
    <row r="3338" spans="1:14" x14ac:dyDescent="0.25">
      <c r="A3338" s="8">
        <v>40543</v>
      </c>
      <c r="B3338">
        <v>1208600.05</v>
      </c>
      <c r="C3338">
        <v>1</v>
      </c>
      <c r="D3338">
        <v>25.9</v>
      </c>
      <c r="E3338">
        <v>3.3359999999999999</v>
      </c>
      <c r="F3338">
        <v>132.81503230000001</v>
      </c>
      <c r="G3338">
        <v>8.2750000000000004</v>
      </c>
      <c r="N3338" s="8"/>
    </row>
    <row r="3339" spans="1:14" x14ac:dyDescent="0.25">
      <c r="A3339" s="8">
        <v>40550</v>
      </c>
      <c r="B3339">
        <v>1178641.71</v>
      </c>
      <c r="C3339">
        <v>0</v>
      </c>
      <c r="D3339">
        <v>30.72</v>
      </c>
      <c r="E3339">
        <v>3.351</v>
      </c>
      <c r="F3339">
        <v>132.88232260000001</v>
      </c>
      <c r="G3339">
        <v>8.2520000000000007</v>
      </c>
      <c r="N3339" s="8"/>
    </row>
    <row r="3340" spans="1:14" x14ac:dyDescent="0.25">
      <c r="A3340" s="8">
        <v>40557</v>
      </c>
      <c r="B3340">
        <v>1167740.2</v>
      </c>
      <c r="C3340">
        <v>0</v>
      </c>
      <c r="D3340">
        <v>22.41</v>
      </c>
      <c r="E3340">
        <v>3.367</v>
      </c>
      <c r="F3340">
        <v>132.9510645</v>
      </c>
      <c r="G3340">
        <v>8.2520000000000007</v>
      </c>
      <c r="N3340" s="8"/>
    </row>
    <row r="3341" spans="1:14" x14ac:dyDescent="0.25">
      <c r="A3341" s="8">
        <v>40564</v>
      </c>
      <c r="B3341">
        <v>1107170.3899999999</v>
      </c>
      <c r="C3341">
        <v>0</v>
      </c>
      <c r="D3341">
        <v>23.69</v>
      </c>
      <c r="E3341">
        <v>3.391</v>
      </c>
      <c r="F3341">
        <v>133.02851609999999</v>
      </c>
      <c r="G3341">
        <v>8.2520000000000007</v>
      </c>
      <c r="N3341" s="8"/>
    </row>
    <row r="3342" spans="1:14" x14ac:dyDescent="0.25">
      <c r="A3342" s="8">
        <v>40571</v>
      </c>
      <c r="B3342">
        <v>1126921.3400000001</v>
      </c>
      <c r="C3342">
        <v>0</v>
      </c>
      <c r="D3342">
        <v>17.91</v>
      </c>
      <c r="E3342">
        <v>3.4020000000000001</v>
      </c>
      <c r="F3342">
        <v>133.10596770000001</v>
      </c>
      <c r="G3342">
        <v>8.2520000000000007</v>
      </c>
      <c r="N3342" s="8"/>
    </row>
    <row r="3343" spans="1:14" x14ac:dyDescent="0.25">
      <c r="A3343" s="8">
        <v>40578</v>
      </c>
      <c r="B3343">
        <v>1225182.04</v>
      </c>
      <c r="C3343">
        <v>0</v>
      </c>
      <c r="D3343">
        <v>23.83</v>
      </c>
      <c r="E3343">
        <v>3.4</v>
      </c>
      <c r="F3343">
        <v>133.18341939999999</v>
      </c>
      <c r="G3343">
        <v>8.2520000000000007</v>
      </c>
      <c r="N3343" s="8"/>
    </row>
    <row r="3344" spans="1:14" x14ac:dyDescent="0.25">
      <c r="A3344" s="8">
        <v>40585</v>
      </c>
      <c r="B3344">
        <v>1341240.6200000001</v>
      </c>
      <c r="C3344">
        <v>1</v>
      </c>
      <c r="D3344">
        <v>26.51</v>
      </c>
      <c r="E3344">
        <v>3.4159999999999999</v>
      </c>
      <c r="F3344">
        <v>133.26087100000001</v>
      </c>
      <c r="G3344">
        <v>8.2520000000000007</v>
      </c>
      <c r="N3344" s="8"/>
    </row>
    <row r="3345" spans="1:14" x14ac:dyDescent="0.25">
      <c r="A3345" s="8">
        <v>40592</v>
      </c>
      <c r="B3345">
        <v>1360150.12</v>
      </c>
      <c r="C3345">
        <v>0</v>
      </c>
      <c r="D3345">
        <v>34.04</v>
      </c>
      <c r="E3345">
        <v>3.42</v>
      </c>
      <c r="F3345">
        <v>133.37014289999999</v>
      </c>
      <c r="G3345">
        <v>8.2520000000000007</v>
      </c>
      <c r="N3345" s="8"/>
    </row>
    <row r="3346" spans="1:14" x14ac:dyDescent="0.25">
      <c r="A3346" s="8">
        <v>40599</v>
      </c>
      <c r="B3346">
        <v>1235121.33</v>
      </c>
      <c r="C3346">
        <v>0</v>
      </c>
      <c r="D3346">
        <v>26.09</v>
      </c>
      <c r="E3346">
        <v>3.452</v>
      </c>
      <c r="F3346">
        <v>133.4921429</v>
      </c>
      <c r="G3346">
        <v>8.2520000000000007</v>
      </c>
      <c r="N3346" s="8"/>
    </row>
    <row r="3347" spans="1:14" x14ac:dyDescent="0.25">
      <c r="A3347" s="8">
        <v>40606</v>
      </c>
      <c r="B3347">
        <v>1346994.53</v>
      </c>
      <c r="C3347">
        <v>0</v>
      </c>
      <c r="D3347">
        <v>31.36</v>
      </c>
      <c r="E3347">
        <v>3.605</v>
      </c>
      <c r="F3347">
        <v>133.61414289999999</v>
      </c>
      <c r="G3347">
        <v>8.2520000000000007</v>
      </c>
      <c r="N3347" s="8"/>
    </row>
    <row r="3348" spans="1:14" x14ac:dyDescent="0.25">
      <c r="A3348" s="8">
        <v>40613</v>
      </c>
      <c r="B3348">
        <v>1253218.7</v>
      </c>
      <c r="C3348">
        <v>0</v>
      </c>
      <c r="D3348">
        <v>39.51</v>
      </c>
      <c r="E3348">
        <v>3.7519999999999998</v>
      </c>
      <c r="F3348">
        <v>133.7361429</v>
      </c>
      <c r="G3348">
        <v>8.2520000000000007</v>
      </c>
      <c r="N3348" s="8"/>
    </row>
    <row r="3349" spans="1:14" x14ac:dyDescent="0.25">
      <c r="A3349" s="8">
        <v>40620</v>
      </c>
      <c r="B3349">
        <v>1168397.26</v>
      </c>
      <c r="C3349">
        <v>0</v>
      </c>
      <c r="D3349">
        <v>43.39</v>
      </c>
      <c r="E3349">
        <v>3.7959999999999998</v>
      </c>
      <c r="F3349">
        <v>133.8492258</v>
      </c>
      <c r="G3349">
        <v>8.2520000000000007</v>
      </c>
      <c r="N3349" s="8"/>
    </row>
    <row r="3350" spans="1:14" x14ac:dyDescent="0.25">
      <c r="A3350" s="8">
        <v>40627</v>
      </c>
      <c r="B3350">
        <v>1158693.1200000001</v>
      </c>
      <c r="C3350">
        <v>0</v>
      </c>
      <c r="D3350">
        <v>36.880000000000003</v>
      </c>
      <c r="E3350">
        <v>3.7890000000000001</v>
      </c>
      <c r="F3350">
        <v>133.95874190000001</v>
      </c>
      <c r="G3350">
        <v>8.2520000000000007</v>
      </c>
      <c r="N3350" s="8"/>
    </row>
    <row r="3351" spans="1:14" x14ac:dyDescent="0.25">
      <c r="A3351" s="8">
        <v>40634</v>
      </c>
      <c r="B3351">
        <v>1163803.3</v>
      </c>
      <c r="C3351">
        <v>0</v>
      </c>
      <c r="D3351">
        <v>35.729999999999997</v>
      </c>
      <c r="E3351">
        <v>3.8109999999999999</v>
      </c>
      <c r="F3351">
        <v>134.06825810000001</v>
      </c>
      <c r="G3351">
        <v>8.2119999999999997</v>
      </c>
      <c r="N3351" s="8"/>
    </row>
    <row r="3352" spans="1:14" x14ac:dyDescent="0.25">
      <c r="A3352" s="8">
        <v>40641</v>
      </c>
      <c r="B3352">
        <v>1273670.32</v>
      </c>
      <c r="C3352">
        <v>0</v>
      </c>
      <c r="D3352">
        <v>44.7</v>
      </c>
      <c r="E3352">
        <v>3.895</v>
      </c>
      <c r="F3352">
        <v>134.17777419999999</v>
      </c>
      <c r="G3352">
        <v>8.2119999999999997</v>
      </c>
      <c r="N3352" s="8"/>
    </row>
    <row r="3353" spans="1:14" x14ac:dyDescent="0.25">
      <c r="A3353" s="8">
        <v>40648</v>
      </c>
      <c r="B3353">
        <v>1245576.6499999999</v>
      </c>
      <c r="C3353">
        <v>0</v>
      </c>
      <c r="D3353">
        <v>52.36</v>
      </c>
      <c r="E3353">
        <v>3.9809999999999999</v>
      </c>
      <c r="F3353">
        <v>134.2784667</v>
      </c>
      <c r="G3353">
        <v>8.2119999999999997</v>
      </c>
      <c r="N3353" s="8"/>
    </row>
    <row r="3354" spans="1:14" x14ac:dyDescent="0.25">
      <c r="A3354" s="8">
        <v>40655</v>
      </c>
      <c r="B3354">
        <v>1372484.9</v>
      </c>
      <c r="C3354">
        <v>0</v>
      </c>
      <c r="D3354">
        <v>46</v>
      </c>
      <c r="E3354">
        <v>4.0609999999999999</v>
      </c>
      <c r="F3354">
        <v>134.3571</v>
      </c>
      <c r="G3354">
        <v>8.2119999999999997</v>
      </c>
      <c r="N3354" s="8"/>
    </row>
    <row r="3355" spans="1:14" x14ac:dyDescent="0.25">
      <c r="A3355" s="8">
        <v>40662</v>
      </c>
      <c r="B3355">
        <v>1197761.17</v>
      </c>
      <c r="C3355">
        <v>0</v>
      </c>
      <c r="D3355">
        <v>60.48</v>
      </c>
      <c r="E3355">
        <v>4.117</v>
      </c>
      <c r="F3355">
        <v>134.43573330000001</v>
      </c>
      <c r="G3355">
        <v>8.2119999999999997</v>
      </c>
      <c r="N3355" s="8"/>
    </row>
    <row r="3356" spans="1:14" x14ac:dyDescent="0.25">
      <c r="A3356" s="8">
        <v>40669</v>
      </c>
      <c r="B3356">
        <v>1339630.3500000001</v>
      </c>
      <c r="C3356">
        <v>0</v>
      </c>
      <c r="D3356">
        <v>55.75</v>
      </c>
      <c r="E3356">
        <v>4.1920000000000002</v>
      </c>
      <c r="F3356">
        <v>134.51436670000001</v>
      </c>
      <c r="G3356">
        <v>8.2119999999999997</v>
      </c>
      <c r="N3356" s="8"/>
    </row>
    <row r="3357" spans="1:14" x14ac:dyDescent="0.25">
      <c r="A3357" s="8">
        <v>40676</v>
      </c>
      <c r="B3357">
        <v>1311950.1599999999</v>
      </c>
      <c r="C3357">
        <v>0</v>
      </c>
      <c r="D3357">
        <v>58.49</v>
      </c>
      <c r="E3357">
        <v>4.2110000000000003</v>
      </c>
      <c r="F3357">
        <v>134.59299999999999</v>
      </c>
      <c r="G3357">
        <v>8.2119999999999997</v>
      </c>
      <c r="N3357" s="8"/>
    </row>
    <row r="3358" spans="1:14" x14ac:dyDescent="0.25">
      <c r="A3358" s="8">
        <v>40683</v>
      </c>
      <c r="B3358">
        <v>1234281.7</v>
      </c>
      <c r="C3358">
        <v>0</v>
      </c>
      <c r="D3358">
        <v>59.84</v>
      </c>
      <c r="E3358">
        <v>4.202</v>
      </c>
      <c r="F3358">
        <v>134.68038709999999</v>
      </c>
      <c r="G3358">
        <v>8.2119999999999997</v>
      </c>
      <c r="N3358" s="8"/>
    </row>
    <row r="3359" spans="1:14" x14ac:dyDescent="0.25">
      <c r="A3359" s="8">
        <v>40690</v>
      </c>
      <c r="B3359">
        <v>1311153.72</v>
      </c>
      <c r="C3359">
        <v>0</v>
      </c>
      <c r="D3359">
        <v>65.739999999999995</v>
      </c>
      <c r="E3359">
        <v>4.1340000000000003</v>
      </c>
      <c r="F3359">
        <v>134.76777419999999</v>
      </c>
      <c r="G3359">
        <v>8.2119999999999997</v>
      </c>
      <c r="N3359" s="8"/>
    </row>
    <row r="3360" spans="1:14" x14ac:dyDescent="0.25">
      <c r="A3360" s="8">
        <v>40697</v>
      </c>
      <c r="B3360">
        <v>1554837.62</v>
      </c>
      <c r="C3360">
        <v>0</v>
      </c>
      <c r="D3360">
        <v>73.12</v>
      </c>
      <c r="E3360">
        <v>4.069</v>
      </c>
      <c r="F3360">
        <v>134.85516129999999</v>
      </c>
      <c r="G3360">
        <v>8.2119999999999997</v>
      </c>
      <c r="N3360" s="8"/>
    </row>
    <row r="3361" spans="1:14" x14ac:dyDescent="0.25">
      <c r="A3361" s="8">
        <v>40704</v>
      </c>
      <c r="B3361">
        <v>1373841.91</v>
      </c>
      <c r="C3361">
        <v>0</v>
      </c>
      <c r="D3361">
        <v>70.02</v>
      </c>
      <c r="E3361">
        <v>4.0250000000000004</v>
      </c>
      <c r="F3361">
        <v>134.94254839999999</v>
      </c>
      <c r="G3361">
        <v>8.2119999999999997</v>
      </c>
      <c r="N3361" s="8"/>
    </row>
    <row r="3362" spans="1:14" x14ac:dyDescent="0.25">
      <c r="A3362" s="8">
        <v>40711</v>
      </c>
      <c r="B3362">
        <v>1320359.23</v>
      </c>
      <c r="C3362">
        <v>0</v>
      </c>
      <c r="D3362">
        <v>64.34</v>
      </c>
      <c r="E3362">
        <v>3.9889999999999999</v>
      </c>
      <c r="F3362">
        <v>135.08373330000001</v>
      </c>
      <c r="G3362">
        <v>8.2119999999999997</v>
      </c>
      <c r="N3362" s="8"/>
    </row>
    <row r="3363" spans="1:14" x14ac:dyDescent="0.25">
      <c r="A3363" s="8">
        <v>40718</v>
      </c>
      <c r="B3363">
        <v>1304850.67</v>
      </c>
      <c r="C3363">
        <v>0</v>
      </c>
      <c r="D3363">
        <v>68.88</v>
      </c>
      <c r="E3363">
        <v>3.964</v>
      </c>
      <c r="F3363">
        <v>135.26526670000001</v>
      </c>
      <c r="G3363">
        <v>8.2119999999999997</v>
      </c>
      <c r="N3363" s="8"/>
    </row>
    <row r="3364" spans="1:14" x14ac:dyDescent="0.25">
      <c r="A3364" s="8">
        <v>40725</v>
      </c>
      <c r="B3364">
        <v>1445596.61</v>
      </c>
      <c r="C3364">
        <v>0</v>
      </c>
      <c r="D3364">
        <v>70.27</v>
      </c>
      <c r="E3364">
        <v>3.9159999999999999</v>
      </c>
      <c r="F3364">
        <v>135.4468</v>
      </c>
      <c r="G3364">
        <v>8.3580000000000005</v>
      </c>
      <c r="N3364" s="8"/>
    </row>
    <row r="3365" spans="1:14" x14ac:dyDescent="0.25">
      <c r="A3365" s="8">
        <v>40732</v>
      </c>
      <c r="B3365">
        <v>1567340.07</v>
      </c>
      <c r="C3365">
        <v>0</v>
      </c>
      <c r="D3365">
        <v>72.56</v>
      </c>
      <c r="E3365">
        <v>3.8860000000000001</v>
      </c>
      <c r="F3365">
        <v>135.62833330000001</v>
      </c>
      <c r="G3365">
        <v>8.3580000000000005</v>
      </c>
      <c r="N3365" s="8"/>
    </row>
    <row r="3366" spans="1:14" x14ac:dyDescent="0.25">
      <c r="A3366" s="8">
        <v>40739</v>
      </c>
      <c r="B3366">
        <v>1356938.95</v>
      </c>
      <c r="C3366">
        <v>0</v>
      </c>
      <c r="D3366">
        <v>74.430000000000007</v>
      </c>
      <c r="E3366">
        <v>3.915</v>
      </c>
      <c r="F3366">
        <v>135.7837419</v>
      </c>
      <c r="G3366">
        <v>8.3580000000000005</v>
      </c>
      <c r="N3366" s="8"/>
    </row>
    <row r="3367" spans="1:14" x14ac:dyDescent="0.25">
      <c r="A3367" s="8">
        <v>40746</v>
      </c>
      <c r="B3367">
        <v>1357672.24</v>
      </c>
      <c r="C3367">
        <v>0</v>
      </c>
      <c r="D3367">
        <v>79.290000000000006</v>
      </c>
      <c r="E3367">
        <v>3.972</v>
      </c>
      <c r="F3367">
        <v>135.87383869999999</v>
      </c>
      <c r="G3367">
        <v>8.3580000000000005</v>
      </c>
      <c r="N3367" s="8"/>
    </row>
    <row r="3368" spans="1:14" x14ac:dyDescent="0.25">
      <c r="A3368" s="8">
        <v>40753</v>
      </c>
      <c r="B3368">
        <v>1310973.06</v>
      </c>
      <c r="C3368">
        <v>0</v>
      </c>
      <c r="D3368">
        <v>74.84</v>
      </c>
      <c r="E3368">
        <v>4.0039999999999996</v>
      </c>
      <c r="F3368">
        <v>135.96393549999999</v>
      </c>
      <c r="G3368">
        <v>8.3580000000000005</v>
      </c>
      <c r="N3368" s="8"/>
    </row>
    <row r="3369" spans="1:14" x14ac:dyDescent="0.25">
      <c r="A3369" s="8">
        <v>40760</v>
      </c>
      <c r="B3369">
        <v>1417616.81</v>
      </c>
      <c r="C3369">
        <v>0</v>
      </c>
      <c r="D3369">
        <v>74.64</v>
      </c>
      <c r="E3369">
        <v>4.0199999999999996</v>
      </c>
      <c r="F3369">
        <v>136.05403229999999</v>
      </c>
      <c r="G3369">
        <v>8.3580000000000005</v>
      </c>
      <c r="N3369" s="8"/>
    </row>
    <row r="3370" spans="1:14" x14ac:dyDescent="0.25">
      <c r="A3370" s="8">
        <v>40767</v>
      </c>
      <c r="B3370">
        <v>1402818.01</v>
      </c>
      <c r="C3370">
        <v>0</v>
      </c>
      <c r="D3370">
        <v>72.52</v>
      </c>
      <c r="E3370">
        <v>3.9950000000000001</v>
      </c>
      <c r="F3370">
        <v>136.14412899999999</v>
      </c>
      <c r="G3370">
        <v>8.3580000000000005</v>
      </c>
      <c r="N3370" s="8"/>
    </row>
    <row r="3371" spans="1:14" x14ac:dyDescent="0.25">
      <c r="A3371" s="8">
        <v>40774</v>
      </c>
      <c r="B3371">
        <v>1352039.88</v>
      </c>
      <c r="C3371">
        <v>0</v>
      </c>
      <c r="D3371">
        <v>69.930000000000007</v>
      </c>
      <c r="E3371">
        <v>3.9420000000000002</v>
      </c>
      <c r="F3371">
        <v>136.18312900000001</v>
      </c>
      <c r="G3371">
        <v>8.3580000000000005</v>
      </c>
      <c r="N3371" s="8"/>
    </row>
    <row r="3372" spans="1:14" x14ac:dyDescent="0.25">
      <c r="A3372" s="8">
        <v>40781</v>
      </c>
      <c r="B3372">
        <v>1402372.09</v>
      </c>
      <c r="C3372">
        <v>0</v>
      </c>
      <c r="D3372">
        <v>69.94</v>
      </c>
      <c r="E3372">
        <v>3.9060000000000001</v>
      </c>
      <c r="F3372">
        <v>136.21361289999999</v>
      </c>
      <c r="G3372">
        <v>8.3580000000000005</v>
      </c>
      <c r="N3372" s="8"/>
    </row>
    <row r="3373" spans="1:14" x14ac:dyDescent="0.25">
      <c r="A3373" s="8">
        <v>40788</v>
      </c>
      <c r="B3373">
        <v>1196105.44</v>
      </c>
      <c r="C3373">
        <v>0</v>
      </c>
      <c r="D3373">
        <v>68.14</v>
      </c>
      <c r="E3373">
        <v>3.879</v>
      </c>
      <c r="F3373">
        <v>136.24409679999999</v>
      </c>
      <c r="G3373">
        <v>8.3580000000000005</v>
      </c>
      <c r="N3373" s="8"/>
    </row>
    <row r="3374" spans="1:14" x14ac:dyDescent="0.25">
      <c r="A3374" s="8">
        <v>40795</v>
      </c>
      <c r="B3374">
        <v>1527455.19</v>
      </c>
      <c r="C3374">
        <v>1</v>
      </c>
      <c r="D3374">
        <v>68.319999999999993</v>
      </c>
      <c r="E3374">
        <v>3.93</v>
      </c>
      <c r="F3374">
        <v>136.27458060000001</v>
      </c>
      <c r="G3374">
        <v>8.3580000000000005</v>
      </c>
      <c r="N3374" s="8"/>
    </row>
    <row r="3375" spans="1:14" x14ac:dyDescent="0.25">
      <c r="A3375" s="8">
        <v>40802</v>
      </c>
      <c r="B3375">
        <v>1227535.97</v>
      </c>
      <c r="C3375">
        <v>0</v>
      </c>
      <c r="D3375">
        <v>65.56</v>
      </c>
      <c r="E3375">
        <v>3.9369999999999998</v>
      </c>
      <c r="F3375">
        <v>136.31450000000001</v>
      </c>
      <c r="G3375">
        <v>8.3580000000000005</v>
      </c>
      <c r="N3375" s="8"/>
    </row>
    <row r="3376" spans="1:14" x14ac:dyDescent="0.25">
      <c r="A3376" s="8">
        <v>40809</v>
      </c>
      <c r="B3376">
        <v>1232376.49</v>
      </c>
      <c r="C3376">
        <v>0</v>
      </c>
      <c r="D3376">
        <v>60.61</v>
      </c>
      <c r="E3376">
        <v>3.899</v>
      </c>
      <c r="F3376">
        <v>136.36699999999999</v>
      </c>
      <c r="G3376">
        <v>8.3580000000000005</v>
      </c>
      <c r="N3376" s="8"/>
    </row>
    <row r="3377" spans="1:14" x14ac:dyDescent="0.25">
      <c r="A3377" s="8">
        <v>40816</v>
      </c>
      <c r="B3377">
        <v>1246242.6100000001</v>
      </c>
      <c r="C3377">
        <v>0</v>
      </c>
      <c r="D3377">
        <v>68</v>
      </c>
      <c r="E3377">
        <v>3.8580000000000001</v>
      </c>
      <c r="F3377">
        <v>136.4195</v>
      </c>
      <c r="G3377">
        <v>8.3580000000000005</v>
      </c>
      <c r="N3377" s="8"/>
    </row>
    <row r="3378" spans="1:14" x14ac:dyDescent="0.25">
      <c r="A3378" s="8">
        <v>40823</v>
      </c>
      <c r="B3378">
        <v>1405914.39</v>
      </c>
      <c r="C3378">
        <v>0</v>
      </c>
      <c r="D3378">
        <v>53.87</v>
      </c>
      <c r="E3378">
        <v>3.7749999999999999</v>
      </c>
      <c r="F3378">
        <v>136.47200000000001</v>
      </c>
      <c r="G3378">
        <v>8.4540000000000006</v>
      </c>
      <c r="N3378" s="8"/>
    </row>
    <row r="3379" spans="1:14" x14ac:dyDescent="0.25">
      <c r="A3379" s="8">
        <v>40830</v>
      </c>
      <c r="B3379">
        <v>1333315.03</v>
      </c>
      <c r="C3379">
        <v>0</v>
      </c>
      <c r="D3379">
        <v>60.21</v>
      </c>
      <c r="E3379">
        <v>3.7440000000000002</v>
      </c>
      <c r="F3379">
        <v>136.51509680000001</v>
      </c>
      <c r="G3379">
        <v>8.4540000000000006</v>
      </c>
      <c r="N3379" s="8"/>
    </row>
    <row r="3380" spans="1:14" x14ac:dyDescent="0.25">
      <c r="A3380" s="8">
        <v>40837</v>
      </c>
      <c r="B3380">
        <v>1283563.43</v>
      </c>
      <c r="C3380">
        <v>0</v>
      </c>
      <c r="D3380">
        <v>56.6</v>
      </c>
      <c r="E3380">
        <v>3.7570000000000001</v>
      </c>
      <c r="F3380">
        <v>136.5017742</v>
      </c>
      <c r="G3380">
        <v>8.4540000000000006</v>
      </c>
      <c r="N3380" s="8"/>
    </row>
    <row r="3381" spans="1:14" x14ac:dyDescent="0.25">
      <c r="A3381" s="8">
        <v>40844</v>
      </c>
      <c r="B3381">
        <v>1307142.75</v>
      </c>
      <c r="C3381">
        <v>0</v>
      </c>
      <c r="D3381">
        <v>48</v>
      </c>
      <c r="E3381">
        <v>3.7570000000000001</v>
      </c>
      <c r="F3381">
        <v>136.48845159999999</v>
      </c>
      <c r="G3381">
        <v>8.4540000000000006</v>
      </c>
      <c r="N3381" s="8"/>
    </row>
    <row r="3382" spans="1:14" x14ac:dyDescent="0.25">
      <c r="A3382" s="8">
        <v>40851</v>
      </c>
      <c r="B3382">
        <v>1385860.38</v>
      </c>
      <c r="C3382">
        <v>0</v>
      </c>
      <c r="D3382">
        <v>39.869999999999997</v>
      </c>
      <c r="E3382">
        <v>3.738</v>
      </c>
      <c r="F3382">
        <v>136.47512900000001</v>
      </c>
      <c r="G3382">
        <v>8.4540000000000006</v>
      </c>
      <c r="N3382" s="8"/>
    </row>
    <row r="3383" spans="1:14" x14ac:dyDescent="0.25">
      <c r="A3383" s="8">
        <v>40858</v>
      </c>
      <c r="B3383">
        <v>1425078.59</v>
      </c>
      <c r="C3383">
        <v>0</v>
      </c>
      <c r="D3383">
        <v>46.78</v>
      </c>
      <c r="E3383">
        <v>3.7189999999999999</v>
      </c>
      <c r="F3383">
        <v>136.46180649999999</v>
      </c>
      <c r="G3383">
        <v>8.4540000000000006</v>
      </c>
      <c r="N3383" s="8"/>
    </row>
    <row r="3384" spans="1:14" x14ac:dyDescent="0.25">
      <c r="A3384" s="8">
        <v>40865</v>
      </c>
      <c r="B3384">
        <v>1297535.69</v>
      </c>
      <c r="C3384">
        <v>0</v>
      </c>
      <c r="D3384">
        <v>48.17</v>
      </c>
      <c r="E3384">
        <v>3.7170000000000001</v>
      </c>
      <c r="F3384">
        <v>136.46666669999999</v>
      </c>
      <c r="G3384">
        <v>8.4540000000000006</v>
      </c>
      <c r="N3384" s="8"/>
    </row>
    <row r="3385" spans="1:14" x14ac:dyDescent="0.25">
      <c r="A3385" s="8">
        <v>40872</v>
      </c>
      <c r="B3385">
        <v>1761235.67</v>
      </c>
      <c r="C3385">
        <v>1</v>
      </c>
      <c r="D3385">
        <v>41.83</v>
      </c>
      <c r="E3385">
        <v>3.6890000000000001</v>
      </c>
      <c r="F3385">
        <v>136.47880000000001</v>
      </c>
      <c r="G3385">
        <v>8.4540000000000006</v>
      </c>
      <c r="N3385" s="8"/>
    </row>
    <row r="3386" spans="1:14" x14ac:dyDescent="0.25">
      <c r="A3386" s="8">
        <v>40879</v>
      </c>
      <c r="B3386">
        <v>1335647.1000000001</v>
      </c>
      <c r="C3386">
        <v>0</v>
      </c>
      <c r="D3386">
        <v>47.21</v>
      </c>
      <c r="E3386">
        <v>3.6659999999999999</v>
      </c>
      <c r="F3386">
        <v>136.49093329999999</v>
      </c>
      <c r="G3386">
        <v>8.4540000000000006</v>
      </c>
      <c r="N3386" s="8"/>
    </row>
    <row r="3387" spans="1:14" x14ac:dyDescent="0.25">
      <c r="A3387" s="8">
        <v>40886</v>
      </c>
      <c r="B3387">
        <v>1529615.54</v>
      </c>
      <c r="C3387">
        <v>0</v>
      </c>
      <c r="D3387">
        <v>42.3</v>
      </c>
      <c r="E3387">
        <v>3.6269999999999998</v>
      </c>
      <c r="F3387">
        <v>136.50306670000001</v>
      </c>
      <c r="G3387">
        <v>8.4540000000000006</v>
      </c>
      <c r="N3387" s="8"/>
    </row>
    <row r="3388" spans="1:14" x14ac:dyDescent="0.25">
      <c r="A3388" s="8">
        <v>40893</v>
      </c>
      <c r="B3388">
        <v>1624994.43</v>
      </c>
      <c r="C3388">
        <v>0</v>
      </c>
      <c r="D3388">
        <v>36</v>
      </c>
      <c r="E3388">
        <v>3.6110000000000002</v>
      </c>
      <c r="F3388">
        <v>136.53351610000001</v>
      </c>
      <c r="G3388">
        <v>8.4540000000000006</v>
      </c>
      <c r="N3388" s="8"/>
    </row>
    <row r="3389" spans="1:14" x14ac:dyDescent="0.25">
      <c r="A3389" s="8">
        <v>40900</v>
      </c>
      <c r="B3389">
        <v>2168344.23</v>
      </c>
      <c r="C3389">
        <v>0</v>
      </c>
      <c r="D3389">
        <v>36.93</v>
      </c>
      <c r="E3389">
        <v>3.5870000000000002</v>
      </c>
      <c r="F3389">
        <v>136.58838710000001</v>
      </c>
      <c r="G3389">
        <v>8.4540000000000006</v>
      </c>
      <c r="N3389" s="8"/>
    </row>
    <row r="3390" spans="1:14" x14ac:dyDescent="0.25">
      <c r="A3390" s="8">
        <v>40907</v>
      </c>
      <c r="B3390">
        <v>1363973.16</v>
      </c>
      <c r="C3390">
        <v>1</v>
      </c>
      <c r="D3390">
        <v>33.450000000000003</v>
      </c>
      <c r="E3390">
        <v>3.5659999999999998</v>
      </c>
      <c r="F3390">
        <v>136.6432581</v>
      </c>
      <c r="G3390">
        <v>8.4540000000000006</v>
      </c>
      <c r="N3390" s="8"/>
    </row>
    <row r="3391" spans="1:14" x14ac:dyDescent="0.25">
      <c r="A3391" s="8">
        <v>40914</v>
      </c>
      <c r="B3391">
        <v>1251581.8899999999</v>
      </c>
      <c r="C3391">
        <v>0</v>
      </c>
      <c r="D3391">
        <v>32.86</v>
      </c>
      <c r="E3391">
        <v>3.585</v>
      </c>
      <c r="F3391">
        <v>136.69812899999999</v>
      </c>
      <c r="G3391">
        <v>8.6590000000000007</v>
      </c>
      <c r="N3391" s="8"/>
    </row>
    <row r="3392" spans="1:14" x14ac:dyDescent="0.25">
      <c r="A3392" s="8">
        <v>40921</v>
      </c>
      <c r="B3392">
        <v>1155594.2</v>
      </c>
      <c r="C3392">
        <v>0</v>
      </c>
      <c r="D3392">
        <v>36.5</v>
      </c>
      <c r="E3392">
        <v>3.6659999999999999</v>
      </c>
      <c r="F3392">
        <v>136.75299999999999</v>
      </c>
      <c r="G3392">
        <v>8.6590000000000007</v>
      </c>
      <c r="N3392" s="8"/>
    </row>
    <row r="3393" spans="1:14" x14ac:dyDescent="0.25">
      <c r="A3393" s="8">
        <v>40928</v>
      </c>
      <c r="B3393">
        <v>1151993.8500000001</v>
      </c>
      <c r="C3393">
        <v>0</v>
      </c>
      <c r="D3393">
        <v>25.73</v>
      </c>
      <c r="E3393">
        <v>3.7050000000000001</v>
      </c>
      <c r="F3393">
        <v>136.85641939999999</v>
      </c>
      <c r="G3393">
        <v>8.6590000000000007</v>
      </c>
      <c r="N3393" s="8"/>
    </row>
    <row r="3394" spans="1:14" x14ac:dyDescent="0.25">
      <c r="A3394" s="8">
        <v>40935</v>
      </c>
      <c r="B3394">
        <v>1057290.4099999999</v>
      </c>
      <c r="C3394">
        <v>0</v>
      </c>
      <c r="D3394">
        <v>31.92</v>
      </c>
      <c r="E3394">
        <v>3.7370000000000001</v>
      </c>
      <c r="F3394">
        <v>136.95983870000001</v>
      </c>
      <c r="G3394">
        <v>8.6590000000000007</v>
      </c>
      <c r="N3394" s="8"/>
    </row>
    <row r="3395" spans="1:14" x14ac:dyDescent="0.25">
      <c r="A3395" s="8">
        <v>40942</v>
      </c>
      <c r="B3395">
        <v>1249696.97</v>
      </c>
      <c r="C3395">
        <v>0</v>
      </c>
      <c r="D3395">
        <v>38.61</v>
      </c>
      <c r="E3395">
        <v>3.7959999999999998</v>
      </c>
      <c r="F3395">
        <v>137.06325810000001</v>
      </c>
      <c r="G3395">
        <v>8.6590000000000007</v>
      </c>
      <c r="N3395" s="8"/>
    </row>
    <row r="3396" spans="1:14" x14ac:dyDescent="0.25">
      <c r="A3396" s="8">
        <v>40949</v>
      </c>
      <c r="B3396">
        <v>1403460.87</v>
      </c>
      <c r="C3396">
        <v>1</v>
      </c>
      <c r="D3396">
        <v>33.82</v>
      </c>
      <c r="E3396">
        <v>3.8260000000000001</v>
      </c>
      <c r="F3396">
        <v>137.1666774</v>
      </c>
      <c r="G3396">
        <v>8.6590000000000007</v>
      </c>
      <c r="N3396" s="8"/>
    </row>
    <row r="3397" spans="1:14" x14ac:dyDescent="0.25">
      <c r="A3397" s="8">
        <v>40956</v>
      </c>
      <c r="B3397">
        <v>1326370.08</v>
      </c>
      <c r="C3397">
        <v>0</v>
      </c>
      <c r="D3397">
        <v>33.92</v>
      </c>
      <c r="E3397">
        <v>3.8740000000000001</v>
      </c>
      <c r="F3397">
        <v>137.25831030000001</v>
      </c>
      <c r="G3397">
        <v>8.6590000000000007</v>
      </c>
      <c r="N3397" s="8"/>
    </row>
    <row r="3398" spans="1:14" x14ac:dyDescent="0.25">
      <c r="A3398" s="8">
        <v>40963</v>
      </c>
      <c r="B3398">
        <v>1303233.1499999999</v>
      </c>
      <c r="C3398">
        <v>0</v>
      </c>
      <c r="D3398">
        <v>37.35</v>
      </c>
      <c r="E3398">
        <v>3.9169999999999998</v>
      </c>
      <c r="F3398">
        <v>137.34110340000001</v>
      </c>
      <c r="G3398">
        <v>8.6590000000000007</v>
      </c>
      <c r="N3398" s="8"/>
    </row>
    <row r="3399" spans="1:14" x14ac:dyDescent="0.25">
      <c r="A3399" s="8">
        <v>40970</v>
      </c>
      <c r="B3399">
        <v>1213994.3899999999</v>
      </c>
      <c r="C3399">
        <v>0</v>
      </c>
      <c r="D3399">
        <v>35.36</v>
      </c>
      <c r="E3399">
        <v>3.9830000000000001</v>
      </c>
      <c r="F3399">
        <v>137.42389660000001</v>
      </c>
      <c r="G3399">
        <v>8.6590000000000007</v>
      </c>
      <c r="N3399" s="8"/>
    </row>
    <row r="3400" spans="1:14" x14ac:dyDescent="0.25">
      <c r="A3400" s="8">
        <v>40977</v>
      </c>
      <c r="B3400">
        <v>1325835.7</v>
      </c>
      <c r="C3400">
        <v>0</v>
      </c>
      <c r="D3400">
        <v>41.5</v>
      </c>
      <c r="E3400">
        <v>4.0209999999999999</v>
      </c>
      <c r="F3400">
        <v>137.50668970000001</v>
      </c>
      <c r="G3400">
        <v>8.6590000000000007</v>
      </c>
      <c r="N3400" s="8"/>
    </row>
    <row r="3401" spans="1:14" x14ac:dyDescent="0.25">
      <c r="A3401" s="8">
        <v>40984</v>
      </c>
      <c r="B3401">
        <v>1239299.1200000001</v>
      </c>
      <c r="C3401">
        <v>0</v>
      </c>
      <c r="D3401">
        <v>48.68</v>
      </c>
      <c r="E3401">
        <v>4.0209999999999999</v>
      </c>
      <c r="F3401">
        <v>137.58438709999999</v>
      </c>
      <c r="G3401">
        <v>8.6590000000000007</v>
      </c>
      <c r="N3401" s="8"/>
    </row>
    <row r="3402" spans="1:14" x14ac:dyDescent="0.25">
      <c r="A3402" s="8">
        <v>40991</v>
      </c>
      <c r="B3402">
        <v>1221723.94</v>
      </c>
      <c r="C3402">
        <v>0</v>
      </c>
      <c r="D3402">
        <v>59.51</v>
      </c>
      <c r="E3402">
        <v>4.0540000000000003</v>
      </c>
      <c r="F3402">
        <v>137.65529029999999</v>
      </c>
      <c r="G3402">
        <v>8.6590000000000007</v>
      </c>
      <c r="N3402" s="8"/>
    </row>
    <row r="3403" spans="1:14" x14ac:dyDescent="0.25">
      <c r="A3403" s="8">
        <v>40998</v>
      </c>
      <c r="B3403">
        <v>1230106.1299999999</v>
      </c>
      <c r="C3403">
        <v>0</v>
      </c>
      <c r="D3403">
        <v>47.28</v>
      </c>
      <c r="E3403">
        <v>4.0979999999999999</v>
      </c>
      <c r="F3403">
        <v>137.72619349999999</v>
      </c>
      <c r="G3403">
        <v>8.6590000000000007</v>
      </c>
      <c r="N3403" s="8"/>
    </row>
    <row r="3404" spans="1:14" x14ac:dyDescent="0.25">
      <c r="A3404" s="8">
        <v>41005</v>
      </c>
      <c r="B3404">
        <v>1524734.29</v>
      </c>
      <c r="C3404">
        <v>0</v>
      </c>
      <c r="D3404">
        <v>45.25</v>
      </c>
      <c r="E3404">
        <v>4.1429999999999998</v>
      </c>
      <c r="F3404">
        <v>137.79709679999999</v>
      </c>
      <c r="G3404">
        <v>8.9830000000000005</v>
      </c>
      <c r="N3404" s="8"/>
    </row>
    <row r="3405" spans="1:14" x14ac:dyDescent="0.25">
      <c r="A3405" s="8">
        <v>41012</v>
      </c>
      <c r="B3405">
        <v>1285783.8700000001</v>
      </c>
      <c r="C3405">
        <v>0</v>
      </c>
      <c r="D3405">
        <v>48.65</v>
      </c>
      <c r="E3405">
        <v>4.1870000000000003</v>
      </c>
      <c r="F3405">
        <v>137.86799999999999</v>
      </c>
      <c r="G3405">
        <v>8.9830000000000005</v>
      </c>
      <c r="N3405" s="8"/>
    </row>
    <row r="3406" spans="1:14" x14ac:dyDescent="0.25">
      <c r="A3406" s="8">
        <v>41019</v>
      </c>
      <c r="B3406">
        <v>1208654.3999999999</v>
      </c>
      <c r="C3406">
        <v>0</v>
      </c>
      <c r="D3406">
        <v>61.05</v>
      </c>
      <c r="E3406">
        <v>4.17</v>
      </c>
      <c r="F3406">
        <v>137.92306669999999</v>
      </c>
      <c r="G3406">
        <v>8.9830000000000005</v>
      </c>
      <c r="N3406" s="8"/>
    </row>
    <row r="3407" spans="1:14" x14ac:dyDescent="0.25">
      <c r="A3407" s="8">
        <v>41026</v>
      </c>
      <c r="B3407">
        <v>1194334.6499999999</v>
      </c>
      <c r="C3407">
        <v>0</v>
      </c>
      <c r="D3407">
        <v>49.26</v>
      </c>
      <c r="E3407">
        <v>4.1630000000000003</v>
      </c>
      <c r="F3407">
        <v>137.9781333</v>
      </c>
      <c r="G3407">
        <v>8.9830000000000005</v>
      </c>
      <c r="N3407" s="8"/>
    </row>
    <row r="3408" spans="1:14" x14ac:dyDescent="0.25">
      <c r="A3408" s="8">
        <v>41033</v>
      </c>
      <c r="B3408">
        <v>1306551.71</v>
      </c>
      <c r="C3408">
        <v>0</v>
      </c>
      <c r="D3408">
        <v>52.14</v>
      </c>
      <c r="E3408">
        <v>4.1239999999999997</v>
      </c>
      <c r="F3408">
        <v>138.03319999999999</v>
      </c>
      <c r="G3408">
        <v>8.9830000000000005</v>
      </c>
      <c r="N3408" s="8"/>
    </row>
    <row r="3409" spans="1:14" x14ac:dyDescent="0.25">
      <c r="A3409" s="8">
        <v>41040</v>
      </c>
      <c r="B3409">
        <v>1355391.79</v>
      </c>
      <c r="C3409">
        <v>0</v>
      </c>
      <c r="D3409">
        <v>58.7</v>
      </c>
      <c r="E3409">
        <v>4.0549999999999997</v>
      </c>
      <c r="F3409">
        <v>138.08826669999999</v>
      </c>
      <c r="G3409">
        <v>8.9830000000000005</v>
      </c>
      <c r="N3409" s="8"/>
    </row>
    <row r="3410" spans="1:14" x14ac:dyDescent="0.25">
      <c r="A3410" s="8">
        <v>41047</v>
      </c>
      <c r="B3410">
        <v>1298809.8</v>
      </c>
      <c r="C3410">
        <v>0</v>
      </c>
      <c r="D3410">
        <v>63.1</v>
      </c>
      <c r="E3410">
        <v>4.0289999999999999</v>
      </c>
      <c r="F3410">
        <v>138.1065806</v>
      </c>
      <c r="G3410">
        <v>8.9830000000000005</v>
      </c>
      <c r="N3410" s="8"/>
    </row>
    <row r="3411" spans="1:14" x14ac:dyDescent="0.25">
      <c r="A3411" s="8">
        <v>41054</v>
      </c>
      <c r="B3411">
        <v>1407897.57</v>
      </c>
      <c r="C3411">
        <v>0</v>
      </c>
      <c r="D3411">
        <v>65.790000000000006</v>
      </c>
      <c r="E3411">
        <v>3.9790000000000001</v>
      </c>
      <c r="F3411">
        <v>138.11019350000001</v>
      </c>
      <c r="G3411">
        <v>8.9830000000000005</v>
      </c>
      <c r="N3411" s="8"/>
    </row>
    <row r="3412" spans="1:14" x14ac:dyDescent="0.25">
      <c r="A3412" s="8">
        <v>41061</v>
      </c>
      <c r="B3412">
        <v>1467722.19</v>
      </c>
      <c r="C3412">
        <v>0</v>
      </c>
      <c r="D3412">
        <v>71.790000000000006</v>
      </c>
      <c r="E3412">
        <v>3.915</v>
      </c>
      <c r="F3412">
        <v>138.11380650000001</v>
      </c>
      <c r="G3412">
        <v>8.9830000000000005</v>
      </c>
      <c r="N3412" s="8"/>
    </row>
    <row r="3413" spans="1:14" x14ac:dyDescent="0.25">
      <c r="A3413" s="8">
        <v>41068</v>
      </c>
      <c r="B3413">
        <v>1406313.13</v>
      </c>
      <c r="C3413">
        <v>0</v>
      </c>
      <c r="D3413">
        <v>59.93</v>
      </c>
      <c r="E3413">
        <v>3.871</v>
      </c>
      <c r="F3413">
        <v>138.11741939999999</v>
      </c>
      <c r="G3413">
        <v>8.9830000000000005</v>
      </c>
      <c r="N3413" s="8"/>
    </row>
    <row r="3414" spans="1:14" x14ac:dyDescent="0.25">
      <c r="A3414" s="8">
        <v>41075</v>
      </c>
      <c r="B3414">
        <v>1364445.98</v>
      </c>
      <c r="C3414">
        <v>0</v>
      </c>
      <c r="D3414">
        <v>68.28</v>
      </c>
      <c r="E3414">
        <v>3.786</v>
      </c>
      <c r="F3414">
        <v>138.12953329999999</v>
      </c>
      <c r="G3414">
        <v>8.9830000000000005</v>
      </c>
      <c r="N3414" s="8"/>
    </row>
    <row r="3415" spans="1:14" x14ac:dyDescent="0.25">
      <c r="A3415" s="8">
        <v>41082</v>
      </c>
      <c r="B3415">
        <v>1434709.63</v>
      </c>
      <c r="C3415">
        <v>0</v>
      </c>
      <c r="D3415">
        <v>72.290000000000006</v>
      </c>
      <c r="E3415">
        <v>3.722</v>
      </c>
      <c r="F3415">
        <v>138.16290000000001</v>
      </c>
      <c r="G3415">
        <v>8.9830000000000005</v>
      </c>
      <c r="N3415" s="8"/>
    </row>
    <row r="3416" spans="1:14" x14ac:dyDescent="0.25">
      <c r="A3416" s="8">
        <v>41089</v>
      </c>
      <c r="B3416">
        <v>1428869.9</v>
      </c>
      <c r="C3416">
        <v>0</v>
      </c>
      <c r="D3416">
        <v>70.400000000000006</v>
      </c>
      <c r="E3416">
        <v>3.6669999999999998</v>
      </c>
      <c r="F3416">
        <v>138.1962667</v>
      </c>
      <c r="G3416">
        <v>8.9830000000000005</v>
      </c>
      <c r="N3416" s="8"/>
    </row>
    <row r="3417" spans="1:14" x14ac:dyDescent="0.25">
      <c r="A3417" s="8">
        <v>41096</v>
      </c>
      <c r="B3417">
        <v>1645097.75</v>
      </c>
      <c r="C3417">
        <v>0</v>
      </c>
      <c r="D3417">
        <v>77.180000000000007</v>
      </c>
      <c r="E3417">
        <v>3.6459999999999999</v>
      </c>
      <c r="F3417">
        <v>138.22963329999999</v>
      </c>
      <c r="G3417">
        <v>8.9529999999999994</v>
      </c>
      <c r="N3417" s="8"/>
    </row>
    <row r="3418" spans="1:14" x14ac:dyDescent="0.25">
      <c r="A3418" s="8">
        <v>41103</v>
      </c>
      <c r="B3418">
        <v>1405475.78</v>
      </c>
      <c r="C3418">
        <v>0</v>
      </c>
      <c r="D3418">
        <v>75.36</v>
      </c>
      <c r="E3418">
        <v>3.6890000000000001</v>
      </c>
      <c r="F3418">
        <v>138.26300000000001</v>
      </c>
      <c r="G3418">
        <v>8.9529999999999994</v>
      </c>
      <c r="N3418" s="8"/>
    </row>
    <row r="3419" spans="1:14" x14ac:dyDescent="0.25">
      <c r="A3419" s="8">
        <v>41110</v>
      </c>
      <c r="B3419">
        <v>1394299</v>
      </c>
      <c r="C3419">
        <v>0</v>
      </c>
      <c r="D3419">
        <v>76.42</v>
      </c>
      <c r="E3419">
        <v>3.7320000000000002</v>
      </c>
      <c r="F3419">
        <v>138.2331935</v>
      </c>
      <c r="G3419">
        <v>8.9529999999999994</v>
      </c>
      <c r="N3419" s="8"/>
    </row>
    <row r="3420" spans="1:14" x14ac:dyDescent="0.25">
      <c r="A3420" s="8">
        <v>41117</v>
      </c>
      <c r="B3420">
        <v>1307339.1399999999</v>
      </c>
      <c r="C3420">
        <v>0</v>
      </c>
      <c r="D3420">
        <v>73.62</v>
      </c>
      <c r="E3420">
        <v>3.82</v>
      </c>
      <c r="F3420">
        <v>138.20338709999999</v>
      </c>
      <c r="G3420">
        <v>8.9529999999999994</v>
      </c>
      <c r="N3420" s="8"/>
    </row>
    <row r="3421" spans="1:14" x14ac:dyDescent="0.25">
      <c r="A3421" s="8">
        <v>41124</v>
      </c>
      <c r="B3421">
        <v>1440374.13</v>
      </c>
      <c r="C3421">
        <v>0</v>
      </c>
      <c r="D3421">
        <v>73.260000000000005</v>
      </c>
      <c r="E3421">
        <v>3.819</v>
      </c>
      <c r="F3421">
        <v>138.17358060000001</v>
      </c>
      <c r="G3421">
        <v>8.9529999999999994</v>
      </c>
      <c r="N3421" s="8"/>
    </row>
    <row r="3422" spans="1:14" x14ac:dyDescent="0.25">
      <c r="A3422" s="8">
        <v>41131</v>
      </c>
      <c r="B3422">
        <v>1497054.81</v>
      </c>
      <c r="C3422">
        <v>0</v>
      </c>
      <c r="D3422">
        <v>75.53</v>
      </c>
      <c r="E3422">
        <v>3.863</v>
      </c>
      <c r="F3422">
        <v>138.1437742</v>
      </c>
      <c r="G3422">
        <v>8.9529999999999994</v>
      </c>
      <c r="N3422" s="8"/>
    </row>
    <row r="3423" spans="1:14" x14ac:dyDescent="0.25">
      <c r="A3423" s="8">
        <v>41138</v>
      </c>
      <c r="B3423">
        <v>1397970.54</v>
      </c>
      <c r="C3423">
        <v>0</v>
      </c>
      <c r="D3423">
        <v>72.87</v>
      </c>
      <c r="E3423">
        <v>3.9630000000000001</v>
      </c>
      <c r="F3423">
        <v>138.18570969999999</v>
      </c>
      <c r="G3423">
        <v>8.9529999999999994</v>
      </c>
      <c r="N3423" s="8"/>
    </row>
    <row r="3424" spans="1:14" x14ac:dyDescent="0.25">
      <c r="A3424" s="8">
        <v>41145</v>
      </c>
      <c r="B3424">
        <v>1303726.54</v>
      </c>
      <c r="C3424">
        <v>0</v>
      </c>
      <c r="D3424">
        <v>68.13</v>
      </c>
      <c r="E3424">
        <v>3.9969999999999999</v>
      </c>
      <c r="F3424">
        <v>138.2814516</v>
      </c>
      <c r="G3424">
        <v>8.9529999999999994</v>
      </c>
      <c r="N3424" s="8"/>
    </row>
    <row r="3425" spans="1:14" x14ac:dyDescent="0.25">
      <c r="A3425" s="8">
        <v>41152</v>
      </c>
      <c r="B3425">
        <v>1344558.92</v>
      </c>
      <c r="C3425">
        <v>0</v>
      </c>
      <c r="D3425">
        <v>71.180000000000007</v>
      </c>
      <c r="E3425">
        <v>4.0259999999999998</v>
      </c>
      <c r="F3425">
        <v>138.3771935</v>
      </c>
      <c r="G3425">
        <v>8.9529999999999994</v>
      </c>
      <c r="N3425" s="8"/>
    </row>
    <row r="3426" spans="1:14" x14ac:dyDescent="0.25">
      <c r="A3426" s="8">
        <v>41159</v>
      </c>
      <c r="B3426">
        <v>1477134.75</v>
      </c>
      <c r="C3426">
        <v>1</v>
      </c>
      <c r="D3426">
        <v>72.81</v>
      </c>
      <c r="E3426">
        <v>4.0759999999999996</v>
      </c>
      <c r="F3426">
        <v>138.47293550000001</v>
      </c>
      <c r="G3426">
        <v>8.9529999999999994</v>
      </c>
      <c r="N3426" s="8"/>
    </row>
    <row r="3427" spans="1:14" x14ac:dyDescent="0.25">
      <c r="A3427" s="8">
        <v>41166</v>
      </c>
      <c r="B3427">
        <v>1242909.53</v>
      </c>
      <c r="C3427">
        <v>0</v>
      </c>
      <c r="D3427">
        <v>64.28</v>
      </c>
      <c r="E3427">
        <v>4.0880000000000001</v>
      </c>
      <c r="F3427">
        <v>138.56729999999999</v>
      </c>
      <c r="G3427">
        <v>8.9529999999999994</v>
      </c>
      <c r="N3427" s="8"/>
    </row>
    <row r="3428" spans="1:14" x14ac:dyDescent="0.25">
      <c r="A3428" s="8">
        <v>41173</v>
      </c>
      <c r="B3428">
        <v>1261158.47</v>
      </c>
      <c r="C3428">
        <v>0</v>
      </c>
      <c r="D3428">
        <v>61.25</v>
      </c>
      <c r="E3428">
        <v>4.2030000000000003</v>
      </c>
      <c r="F3428">
        <v>138.6534</v>
      </c>
      <c r="G3428">
        <v>8.9529999999999994</v>
      </c>
      <c r="N3428" s="8"/>
    </row>
    <row r="3429" spans="1:14" x14ac:dyDescent="0.25">
      <c r="A3429" s="8">
        <v>41180</v>
      </c>
      <c r="B3429">
        <v>1259278.3600000001</v>
      </c>
      <c r="C3429">
        <v>0</v>
      </c>
      <c r="D3429">
        <v>58.86</v>
      </c>
      <c r="E3429">
        <v>4.1580000000000004</v>
      </c>
      <c r="F3429">
        <v>138.73949999999999</v>
      </c>
      <c r="G3429">
        <v>8.9529999999999994</v>
      </c>
      <c r="N3429" s="8"/>
    </row>
    <row r="3430" spans="1:14" x14ac:dyDescent="0.25">
      <c r="A3430" s="8">
        <v>41187</v>
      </c>
      <c r="B3430">
        <v>1416720.54</v>
      </c>
      <c r="C3430">
        <v>0</v>
      </c>
      <c r="D3430">
        <v>60.35</v>
      </c>
      <c r="E3430">
        <v>4.1509999999999998</v>
      </c>
      <c r="F3430">
        <v>138.82560000000001</v>
      </c>
      <c r="G3430">
        <v>8.6929999999999996</v>
      </c>
      <c r="N3430" s="8"/>
    </row>
    <row r="3431" spans="1:14" x14ac:dyDescent="0.25">
      <c r="A3431" s="8">
        <v>41194</v>
      </c>
      <c r="B3431">
        <v>1416301.17</v>
      </c>
      <c r="C3431">
        <v>0</v>
      </c>
      <c r="D3431">
        <v>51.64</v>
      </c>
      <c r="E3431">
        <v>4.1859999999999999</v>
      </c>
      <c r="F3431">
        <v>138.9117</v>
      </c>
      <c r="G3431">
        <v>8.6929999999999996</v>
      </c>
      <c r="N3431" s="8"/>
    </row>
    <row r="3432" spans="1:14" x14ac:dyDescent="0.25">
      <c r="A3432" s="8">
        <v>41201</v>
      </c>
      <c r="B3432">
        <v>1255414.8400000001</v>
      </c>
      <c r="C3432">
        <v>0</v>
      </c>
      <c r="D3432">
        <v>52.59</v>
      </c>
      <c r="E3432">
        <v>4.1529999999999996</v>
      </c>
      <c r="F3432">
        <v>138.83361289999999</v>
      </c>
      <c r="G3432">
        <v>8.6929999999999996</v>
      </c>
      <c r="N3432" s="8"/>
    </row>
    <row r="3433" spans="1:14" x14ac:dyDescent="0.25">
      <c r="A3433" s="8">
        <v>41208</v>
      </c>
      <c r="B3433">
        <v>1307182.29</v>
      </c>
      <c r="C3433">
        <v>0</v>
      </c>
      <c r="D3433">
        <v>55.16</v>
      </c>
      <c r="E3433">
        <v>4.0709999999999997</v>
      </c>
      <c r="F3433">
        <v>138.72816130000001</v>
      </c>
      <c r="G3433">
        <v>8.6929999999999996</v>
      </c>
      <c r="N3433" s="8"/>
    </row>
    <row r="3434" spans="1:14" x14ac:dyDescent="0.25">
      <c r="A3434" s="8">
        <v>40214</v>
      </c>
      <c r="B3434">
        <v>677231.63</v>
      </c>
      <c r="C3434">
        <v>0</v>
      </c>
      <c r="D3434">
        <v>21.1</v>
      </c>
      <c r="E3434">
        <v>2.7839999999999998</v>
      </c>
      <c r="F3434">
        <v>204.24719350000001</v>
      </c>
      <c r="G3434">
        <v>8.1869999999999994</v>
      </c>
      <c r="N3434" s="8"/>
    </row>
    <row r="3435" spans="1:14" x14ac:dyDescent="0.25">
      <c r="A3435" s="8">
        <v>40221</v>
      </c>
      <c r="B3435">
        <v>583364.02</v>
      </c>
      <c r="C3435">
        <v>1</v>
      </c>
      <c r="D3435">
        <v>19.64</v>
      </c>
      <c r="E3435">
        <v>2.7730000000000001</v>
      </c>
      <c r="F3435">
        <v>204.3857472</v>
      </c>
      <c r="G3435">
        <v>8.1869999999999994</v>
      </c>
      <c r="N3435" s="8"/>
    </row>
    <row r="3436" spans="1:14" x14ac:dyDescent="0.25">
      <c r="A3436" s="8">
        <v>40228</v>
      </c>
      <c r="B3436">
        <v>676260.67</v>
      </c>
      <c r="C3436">
        <v>0</v>
      </c>
      <c r="D3436">
        <v>24.16</v>
      </c>
      <c r="E3436">
        <v>2.7450000000000001</v>
      </c>
      <c r="F3436">
        <v>204.4321004</v>
      </c>
      <c r="G3436">
        <v>8.1869999999999994</v>
      </c>
      <c r="N3436" s="8"/>
    </row>
    <row r="3437" spans="1:14" x14ac:dyDescent="0.25">
      <c r="A3437" s="8">
        <v>40235</v>
      </c>
      <c r="B3437">
        <v>628516.56999999995</v>
      </c>
      <c r="C3437">
        <v>0</v>
      </c>
      <c r="D3437">
        <v>29.16</v>
      </c>
      <c r="E3437">
        <v>2.754</v>
      </c>
      <c r="F3437">
        <v>204.46308690000001</v>
      </c>
      <c r="G3437">
        <v>8.1869999999999994</v>
      </c>
      <c r="N3437" s="8"/>
    </row>
    <row r="3438" spans="1:14" x14ac:dyDescent="0.25">
      <c r="A3438" s="8">
        <v>40242</v>
      </c>
      <c r="B3438">
        <v>665750.06000000006</v>
      </c>
      <c r="C3438">
        <v>0</v>
      </c>
      <c r="D3438">
        <v>29.45</v>
      </c>
      <c r="E3438">
        <v>2.7770000000000001</v>
      </c>
      <c r="F3438">
        <v>204.49407339999999</v>
      </c>
      <c r="G3438">
        <v>8.1869999999999994</v>
      </c>
      <c r="N3438" s="8"/>
    </row>
    <row r="3439" spans="1:14" x14ac:dyDescent="0.25">
      <c r="A3439" s="8">
        <v>40249</v>
      </c>
      <c r="B3439">
        <v>660619.99</v>
      </c>
      <c r="C3439">
        <v>0</v>
      </c>
      <c r="D3439">
        <v>40.049999999999997</v>
      </c>
      <c r="E3439">
        <v>2.8180000000000001</v>
      </c>
      <c r="F3439">
        <v>204.52505980000001</v>
      </c>
      <c r="G3439">
        <v>8.1869999999999994</v>
      </c>
      <c r="N3439" s="8"/>
    </row>
    <row r="3440" spans="1:14" x14ac:dyDescent="0.25">
      <c r="A3440" s="8">
        <v>40256</v>
      </c>
      <c r="B3440">
        <v>659795.84</v>
      </c>
      <c r="C3440">
        <v>0</v>
      </c>
      <c r="D3440">
        <v>45</v>
      </c>
      <c r="E3440">
        <v>2.8439999999999999</v>
      </c>
      <c r="F3440">
        <v>204.3782258</v>
      </c>
      <c r="G3440">
        <v>8.1869999999999994</v>
      </c>
      <c r="N3440" s="8"/>
    </row>
    <row r="3441" spans="1:14" x14ac:dyDescent="0.25">
      <c r="A3441" s="8">
        <v>40263</v>
      </c>
      <c r="B3441">
        <v>696687.6</v>
      </c>
      <c r="C3441">
        <v>0</v>
      </c>
      <c r="D3441">
        <v>45.84</v>
      </c>
      <c r="E3441">
        <v>2.8540000000000001</v>
      </c>
      <c r="F3441">
        <v>204.20175499999999</v>
      </c>
      <c r="G3441">
        <v>8.1869999999999994</v>
      </c>
      <c r="N3441" s="8"/>
    </row>
    <row r="3442" spans="1:14" x14ac:dyDescent="0.25">
      <c r="A3442" s="8">
        <v>40270</v>
      </c>
      <c r="B3442">
        <v>822486.37</v>
      </c>
      <c r="C3442">
        <v>0</v>
      </c>
      <c r="D3442">
        <v>47.2</v>
      </c>
      <c r="E3442">
        <v>2.85</v>
      </c>
      <c r="F3442">
        <v>204.02528419999999</v>
      </c>
      <c r="G3442">
        <v>7.8559999999999999</v>
      </c>
      <c r="N3442" s="8"/>
    </row>
    <row r="3443" spans="1:14" x14ac:dyDescent="0.25">
      <c r="A3443" s="8">
        <v>40277</v>
      </c>
      <c r="B3443">
        <v>712647.97</v>
      </c>
      <c r="C3443">
        <v>0</v>
      </c>
      <c r="D3443">
        <v>61.36</v>
      </c>
      <c r="E3443">
        <v>2.8690000000000002</v>
      </c>
      <c r="F3443">
        <v>203.84881340000001</v>
      </c>
      <c r="G3443">
        <v>7.8559999999999999</v>
      </c>
      <c r="N3443" s="8"/>
    </row>
    <row r="3444" spans="1:14" x14ac:dyDescent="0.25">
      <c r="A3444" s="8">
        <v>40284</v>
      </c>
      <c r="B3444">
        <v>715311.6</v>
      </c>
      <c r="C3444">
        <v>0</v>
      </c>
      <c r="D3444">
        <v>52.16</v>
      </c>
      <c r="E3444">
        <v>2.899</v>
      </c>
      <c r="F3444">
        <v>203.7307486</v>
      </c>
      <c r="G3444">
        <v>7.8559999999999999</v>
      </c>
      <c r="N3444" s="8"/>
    </row>
    <row r="3445" spans="1:14" x14ac:dyDescent="0.25">
      <c r="A3445" s="8">
        <v>40291</v>
      </c>
      <c r="B3445">
        <v>694531.72</v>
      </c>
      <c r="C3445">
        <v>0</v>
      </c>
      <c r="D3445">
        <v>46.12</v>
      </c>
      <c r="E3445">
        <v>2.9020000000000001</v>
      </c>
      <c r="F3445">
        <v>203.6905586</v>
      </c>
      <c r="G3445">
        <v>7.8559999999999999</v>
      </c>
      <c r="N3445" s="8"/>
    </row>
    <row r="3446" spans="1:14" x14ac:dyDescent="0.25">
      <c r="A3446" s="8">
        <v>40298</v>
      </c>
      <c r="B3446">
        <v>706924.02</v>
      </c>
      <c r="C3446">
        <v>0</v>
      </c>
      <c r="D3446">
        <v>50.97</v>
      </c>
      <c r="E3446">
        <v>2.9209999999999998</v>
      </c>
      <c r="F3446">
        <v>203.65036850000001</v>
      </c>
      <c r="G3446">
        <v>7.8559999999999999</v>
      </c>
      <c r="N3446" s="8"/>
    </row>
    <row r="3447" spans="1:14" x14ac:dyDescent="0.25">
      <c r="A3447" s="8">
        <v>40305</v>
      </c>
      <c r="B3447">
        <v>724468.97</v>
      </c>
      <c r="C3447">
        <v>0</v>
      </c>
      <c r="D3447">
        <v>63.67</v>
      </c>
      <c r="E3447">
        <v>2.9660000000000002</v>
      </c>
      <c r="F3447">
        <v>203.6101784</v>
      </c>
      <c r="G3447">
        <v>7.8559999999999999</v>
      </c>
      <c r="N3447" s="8"/>
    </row>
    <row r="3448" spans="1:14" x14ac:dyDescent="0.25">
      <c r="A3448" s="8">
        <v>40312</v>
      </c>
      <c r="B3448">
        <v>698073.95</v>
      </c>
      <c r="C3448">
        <v>0</v>
      </c>
      <c r="D3448">
        <v>50.27</v>
      </c>
      <c r="E3448">
        <v>2.9820000000000002</v>
      </c>
      <c r="F3448">
        <v>203.61339150000001</v>
      </c>
      <c r="G3448">
        <v>7.8559999999999999</v>
      </c>
      <c r="N3448" s="8"/>
    </row>
    <row r="3449" spans="1:14" x14ac:dyDescent="0.25">
      <c r="A3449" s="8">
        <v>40319</v>
      </c>
      <c r="B3449">
        <v>704113.22</v>
      </c>
      <c r="C3449">
        <v>0</v>
      </c>
      <c r="D3449">
        <v>57.17</v>
      </c>
      <c r="E3449">
        <v>2.9580000000000002</v>
      </c>
      <c r="F3449">
        <v>203.87702350000001</v>
      </c>
      <c r="G3449">
        <v>7.8559999999999999</v>
      </c>
      <c r="N3449" s="8"/>
    </row>
    <row r="3450" spans="1:14" x14ac:dyDescent="0.25">
      <c r="A3450" s="8">
        <v>40326</v>
      </c>
      <c r="B3450">
        <v>792442.54</v>
      </c>
      <c r="C3450">
        <v>0</v>
      </c>
      <c r="D3450">
        <v>69.31</v>
      </c>
      <c r="E3450">
        <v>2.899</v>
      </c>
      <c r="F3450">
        <v>204.1406556</v>
      </c>
      <c r="G3450">
        <v>7.8559999999999999</v>
      </c>
      <c r="N3450" s="8"/>
    </row>
    <row r="3451" spans="1:14" x14ac:dyDescent="0.25">
      <c r="A3451" s="8">
        <v>40333</v>
      </c>
      <c r="B3451">
        <v>764155.44</v>
      </c>
      <c r="C3451">
        <v>0</v>
      </c>
      <c r="D3451">
        <v>69.22</v>
      </c>
      <c r="E3451">
        <v>2.847</v>
      </c>
      <c r="F3451">
        <v>204.4042877</v>
      </c>
      <c r="G3451">
        <v>7.8559999999999999</v>
      </c>
      <c r="N3451" s="8"/>
    </row>
    <row r="3452" spans="1:14" x14ac:dyDescent="0.25">
      <c r="A3452" s="8">
        <v>40340</v>
      </c>
      <c r="B3452">
        <v>737163.2</v>
      </c>
      <c r="C3452">
        <v>0</v>
      </c>
      <c r="D3452">
        <v>63.68</v>
      </c>
      <c r="E3452">
        <v>2.8090000000000002</v>
      </c>
      <c r="F3452">
        <v>204.66791979999999</v>
      </c>
      <c r="G3452">
        <v>7.8559999999999999</v>
      </c>
      <c r="N3452" s="8"/>
    </row>
    <row r="3453" spans="1:14" x14ac:dyDescent="0.25">
      <c r="A3453" s="8">
        <v>40347</v>
      </c>
      <c r="B3453">
        <v>780444.94</v>
      </c>
      <c r="C3453">
        <v>0</v>
      </c>
      <c r="D3453">
        <v>69.56</v>
      </c>
      <c r="E3453">
        <v>2.78</v>
      </c>
      <c r="F3453">
        <v>204.67003600000001</v>
      </c>
      <c r="G3453">
        <v>7.8559999999999999</v>
      </c>
      <c r="N3453" s="8"/>
    </row>
    <row r="3454" spans="1:14" x14ac:dyDescent="0.25">
      <c r="A3454" s="8">
        <v>40354</v>
      </c>
      <c r="B3454">
        <v>737569.14</v>
      </c>
      <c r="C3454">
        <v>0</v>
      </c>
      <c r="D3454">
        <v>72.17</v>
      </c>
      <c r="E3454">
        <v>2.8079999999999998</v>
      </c>
      <c r="F3454">
        <v>204.5675459</v>
      </c>
      <c r="G3454">
        <v>7.8559999999999999</v>
      </c>
      <c r="N3454" s="8"/>
    </row>
    <row r="3455" spans="1:14" x14ac:dyDescent="0.25">
      <c r="A3455" s="8">
        <v>40361</v>
      </c>
      <c r="B3455">
        <v>759407.87</v>
      </c>
      <c r="C3455">
        <v>0</v>
      </c>
      <c r="D3455">
        <v>66.42</v>
      </c>
      <c r="E3455">
        <v>2.8149999999999999</v>
      </c>
      <c r="F3455">
        <v>204.46505590000001</v>
      </c>
      <c r="G3455">
        <v>7.5270000000000001</v>
      </c>
      <c r="N3455" s="8"/>
    </row>
    <row r="3456" spans="1:14" x14ac:dyDescent="0.25">
      <c r="A3456" s="8">
        <v>40368</v>
      </c>
      <c r="B3456">
        <v>719591.13</v>
      </c>
      <c r="C3456">
        <v>0</v>
      </c>
      <c r="D3456">
        <v>75.239999999999995</v>
      </c>
      <c r="E3456">
        <v>2.7930000000000001</v>
      </c>
      <c r="F3456">
        <v>204.3625658</v>
      </c>
      <c r="G3456">
        <v>7.5270000000000001</v>
      </c>
      <c r="N3456" s="8"/>
    </row>
    <row r="3457" spans="1:14" x14ac:dyDescent="0.25">
      <c r="A3457" s="8">
        <v>40375</v>
      </c>
      <c r="B3457">
        <v>726997.84</v>
      </c>
      <c r="C3457">
        <v>0</v>
      </c>
      <c r="D3457">
        <v>73.430000000000007</v>
      </c>
      <c r="E3457">
        <v>2.7829999999999999</v>
      </c>
      <c r="F3457">
        <v>204.3571656</v>
      </c>
      <c r="G3457">
        <v>7.5270000000000001</v>
      </c>
      <c r="N3457" s="8"/>
    </row>
    <row r="3458" spans="1:14" x14ac:dyDescent="0.25">
      <c r="A3458" s="8">
        <v>40382</v>
      </c>
      <c r="B3458">
        <v>665290.93000000005</v>
      </c>
      <c r="C3458">
        <v>0</v>
      </c>
      <c r="D3458">
        <v>75.37</v>
      </c>
      <c r="E3458">
        <v>2.7709999999999999</v>
      </c>
      <c r="F3458">
        <v>204.48121879999999</v>
      </c>
      <c r="G3458">
        <v>7.5270000000000001</v>
      </c>
      <c r="N3458" s="8"/>
    </row>
    <row r="3459" spans="1:14" x14ac:dyDescent="0.25">
      <c r="A3459" s="8">
        <v>40389</v>
      </c>
      <c r="B3459">
        <v>682124.34</v>
      </c>
      <c r="C3459">
        <v>0</v>
      </c>
      <c r="D3459">
        <v>71.989999999999995</v>
      </c>
      <c r="E3459">
        <v>2.7810000000000001</v>
      </c>
      <c r="F3459">
        <v>204.60527200000001</v>
      </c>
      <c r="G3459">
        <v>7.5270000000000001</v>
      </c>
      <c r="N3459" s="8"/>
    </row>
    <row r="3460" spans="1:14" x14ac:dyDescent="0.25">
      <c r="A3460" s="8">
        <v>40396</v>
      </c>
      <c r="B3460">
        <v>699464.43</v>
      </c>
      <c r="C3460">
        <v>0</v>
      </c>
      <c r="D3460">
        <v>71.790000000000006</v>
      </c>
      <c r="E3460">
        <v>2.7839999999999998</v>
      </c>
      <c r="F3460">
        <v>204.72932520000001</v>
      </c>
      <c r="G3460">
        <v>7.5270000000000001</v>
      </c>
      <c r="N3460" s="8"/>
    </row>
    <row r="3461" spans="1:14" x14ac:dyDescent="0.25">
      <c r="A3461" s="8">
        <v>40403</v>
      </c>
      <c r="B3461">
        <v>686072.39</v>
      </c>
      <c r="C3461">
        <v>0</v>
      </c>
      <c r="D3461">
        <v>72.73</v>
      </c>
      <c r="E3461">
        <v>2.8050000000000002</v>
      </c>
      <c r="F3461">
        <v>204.8533784</v>
      </c>
      <c r="G3461">
        <v>7.5270000000000001</v>
      </c>
      <c r="N3461" s="8"/>
    </row>
    <row r="3462" spans="1:14" x14ac:dyDescent="0.25">
      <c r="A3462" s="8">
        <v>40410</v>
      </c>
      <c r="B3462">
        <v>724499.81</v>
      </c>
      <c r="C3462">
        <v>0</v>
      </c>
      <c r="D3462">
        <v>71.81</v>
      </c>
      <c r="E3462">
        <v>2.7789999999999999</v>
      </c>
      <c r="F3462">
        <v>204.82170439999999</v>
      </c>
      <c r="G3462">
        <v>7.5270000000000001</v>
      </c>
      <c r="N3462" s="8"/>
    </row>
    <row r="3463" spans="1:14" x14ac:dyDescent="0.25">
      <c r="A3463" s="8">
        <v>40417</v>
      </c>
      <c r="B3463">
        <v>711461.95</v>
      </c>
      <c r="C3463">
        <v>0</v>
      </c>
      <c r="D3463">
        <v>67.150000000000006</v>
      </c>
      <c r="E3463">
        <v>2.7549999999999999</v>
      </c>
      <c r="F3463">
        <v>204.7900305</v>
      </c>
      <c r="G3463">
        <v>7.5270000000000001</v>
      </c>
      <c r="N3463" s="8"/>
    </row>
    <row r="3464" spans="1:14" x14ac:dyDescent="0.25">
      <c r="A3464" s="8">
        <v>40424</v>
      </c>
      <c r="B3464">
        <v>685700.08</v>
      </c>
      <c r="C3464">
        <v>0</v>
      </c>
      <c r="D3464">
        <v>71.17</v>
      </c>
      <c r="E3464">
        <v>2.7149999999999999</v>
      </c>
      <c r="F3464">
        <v>204.75835660000001</v>
      </c>
      <c r="G3464">
        <v>7.5270000000000001</v>
      </c>
      <c r="N3464" s="8"/>
    </row>
    <row r="3465" spans="1:14" x14ac:dyDescent="0.25">
      <c r="A3465" s="8">
        <v>40431</v>
      </c>
      <c r="B3465">
        <v>655811.94999999995</v>
      </c>
      <c r="C3465">
        <v>1</v>
      </c>
      <c r="D3465">
        <v>61.14</v>
      </c>
      <c r="E3465">
        <v>2.6989999999999998</v>
      </c>
      <c r="F3465">
        <v>204.7266827</v>
      </c>
      <c r="G3465">
        <v>7.5270000000000001</v>
      </c>
      <c r="N3465" s="8"/>
    </row>
    <row r="3466" spans="1:14" x14ac:dyDescent="0.25">
      <c r="A3466" s="8">
        <v>40438</v>
      </c>
      <c r="B3466">
        <v>628989.88</v>
      </c>
      <c r="C3466">
        <v>0</v>
      </c>
      <c r="D3466">
        <v>60.13</v>
      </c>
      <c r="E3466">
        <v>2.706</v>
      </c>
      <c r="F3466">
        <v>204.75132790000001</v>
      </c>
      <c r="G3466">
        <v>7.5270000000000001</v>
      </c>
      <c r="N3466" s="8"/>
    </row>
    <row r="3467" spans="1:14" x14ac:dyDescent="0.25">
      <c r="A3467" s="8">
        <v>40445</v>
      </c>
      <c r="B3467">
        <v>607819.32999999996</v>
      </c>
      <c r="C3467">
        <v>0</v>
      </c>
      <c r="D3467">
        <v>65.06</v>
      </c>
      <c r="E3467">
        <v>2.7130000000000001</v>
      </c>
      <c r="F3467">
        <v>204.81821260000001</v>
      </c>
      <c r="G3467">
        <v>7.5270000000000001</v>
      </c>
      <c r="N3467" s="8"/>
    </row>
    <row r="3468" spans="1:14" x14ac:dyDescent="0.25">
      <c r="A3468" s="8">
        <v>40452</v>
      </c>
      <c r="B3468">
        <v>658640.14</v>
      </c>
      <c r="C3468">
        <v>0</v>
      </c>
      <c r="D3468">
        <v>57.56</v>
      </c>
      <c r="E3468">
        <v>2.7069999999999999</v>
      </c>
      <c r="F3468">
        <v>204.88509730000001</v>
      </c>
      <c r="G3468">
        <v>7.484</v>
      </c>
      <c r="N3468" s="8"/>
    </row>
    <row r="3469" spans="1:14" x14ac:dyDescent="0.25">
      <c r="A3469" s="8">
        <v>40459</v>
      </c>
      <c r="B3469">
        <v>674283.86</v>
      </c>
      <c r="C3469">
        <v>0</v>
      </c>
      <c r="D3469">
        <v>48.46</v>
      </c>
      <c r="E3469">
        <v>2.7639999999999998</v>
      </c>
      <c r="F3469">
        <v>204.95198199999999</v>
      </c>
      <c r="G3469">
        <v>7.484</v>
      </c>
      <c r="N3469" s="8"/>
    </row>
    <row r="3470" spans="1:14" x14ac:dyDescent="0.25">
      <c r="A3470" s="8">
        <v>40466</v>
      </c>
      <c r="B3470">
        <v>616094.71999999997</v>
      </c>
      <c r="C3470">
        <v>0</v>
      </c>
      <c r="D3470">
        <v>54.09</v>
      </c>
      <c r="E3470">
        <v>2.8679999999999999</v>
      </c>
      <c r="F3470">
        <v>205.0137637</v>
      </c>
      <c r="G3470">
        <v>7.484</v>
      </c>
      <c r="N3470" s="8"/>
    </row>
    <row r="3471" spans="1:14" x14ac:dyDescent="0.25">
      <c r="A3471" s="8">
        <v>40473</v>
      </c>
      <c r="B3471">
        <v>661644.18999999994</v>
      </c>
      <c r="C3471">
        <v>0</v>
      </c>
      <c r="D3471">
        <v>46.73</v>
      </c>
      <c r="E3471">
        <v>2.9169999999999998</v>
      </c>
      <c r="F3471">
        <v>205.06278810000001</v>
      </c>
      <c r="G3471">
        <v>7.484</v>
      </c>
      <c r="N3471" s="8"/>
    </row>
    <row r="3472" spans="1:14" x14ac:dyDescent="0.25">
      <c r="A3472" s="8">
        <v>40480</v>
      </c>
      <c r="B3472">
        <v>674458.03</v>
      </c>
      <c r="C3472">
        <v>0</v>
      </c>
      <c r="D3472">
        <v>55.72</v>
      </c>
      <c r="E3472">
        <v>2.9209999999999998</v>
      </c>
      <c r="F3472">
        <v>205.11181260000001</v>
      </c>
      <c r="G3472">
        <v>7.484</v>
      </c>
      <c r="N3472" s="8"/>
    </row>
    <row r="3473" spans="1:14" x14ac:dyDescent="0.25">
      <c r="A3473" s="8">
        <v>40487</v>
      </c>
      <c r="B3473">
        <v>696314.53</v>
      </c>
      <c r="C3473">
        <v>0</v>
      </c>
      <c r="D3473">
        <v>38.799999999999997</v>
      </c>
      <c r="E3473">
        <v>2.9169999999999998</v>
      </c>
      <c r="F3473">
        <v>205.16083699999999</v>
      </c>
      <c r="G3473">
        <v>7.484</v>
      </c>
      <c r="N3473" s="8"/>
    </row>
    <row r="3474" spans="1:14" x14ac:dyDescent="0.25">
      <c r="A3474" s="8">
        <v>40494</v>
      </c>
      <c r="B3474">
        <v>713250.08</v>
      </c>
      <c r="C3474">
        <v>0</v>
      </c>
      <c r="D3474">
        <v>40.68</v>
      </c>
      <c r="E3474">
        <v>2.931</v>
      </c>
      <c r="F3474">
        <v>205.20986139999999</v>
      </c>
      <c r="G3474">
        <v>7.484</v>
      </c>
      <c r="N3474" s="8"/>
    </row>
    <row r="3475" spans="1:14" x14ac:dyDescent="0.25">
      <c r="A3475" s="8">
        <v>40501</v>
      </c>
      <c r="B3475">
        <v>718056.73</v>
      </c>
      <c r="C3475">
        <v>0</v>
      </c>
      <c r="D3475">
        <v>42.72</v>
      </c>
      <c r="E3475">
        <v>3</v>
      </c>
      <c r="F3475">
        <v>205.09928110000001</v>
      </c>
      <c r="G3475">
        <v>7.484</v>
      </c>
      <c r="N3475" s="8"/>
    </row>
    <row r="3476" spans="1:14" x14ac:dyDescent="0.25">
      <c r="A3476" s="8">
        <v>40508</v>
      </c>
      <c r="B3476">
        <v>1115240.6100000001</v>
      </c>
      <c r="C3476">
        <v>1</v>
      </c>
      <c r="D3476">
        <v>43.43</v>
      </c>
      <c r="E3476">
        <v>3.0390000000000001</v>
      </c>
      <c r="F3476">
        <v>204.96209999999999</v>
      </c>
      <c r="G3476">
        <v>7.484</v>
      </c>
      <c r="N3476" s="8"/>
    </row>
    <row r="3477" spans="1:14" x14ac:dyDescent="0.25">
      <c r="A3477" s="8">
        <v>40515</v>
      </c>
      <c r="B3477">
        <v>885572.96</v>
      </c>
      <c r="C3477">
        <v>0</v>
      </c>
      <c r="D3477">
        <v>32.409999999999997</v>
      </c>
      <c r="E3477">
        <v>3.0459999999999998</v>
      </c>
      <c r="F3477">
        <v>204.8249189</v>
      </c>
      <c r="G3477">
        <v>7.484</v>
      </c>
      <c r="N3477" s="8"/>
    </row>
    <row r="3478" spans="1:14" x14ac:dyDescent="0.25">
      <c r="A3478" s="8">
        <v>40522</v>
      </c>
      <c r="B3478">
        <v>964729.18</v>
      </c>
      <c r="C3478">
        <v>0</v>
      </c>
      <c r="D3478">
        <v>22.65</v>
      </c>
      <c r="E3478">
        <v>3.109</v>
      </c>
      <c r="F3478">
        <v>204.68773780000001</v>
      </c>
      <c r="G3478">
        <v>7.484</v>
      </c>
      <c r="N3478" s="8"/>
    </row>
    <row r="3479" spans="1:14" x14ac:dyDescent="0.25">
      <c r="A3479" s="8">
        <v>40529</v>
      </c>
      <c r="B3479">
        <v>1047707.59</v>
      </c>
      <c r="C3479">
        <v>0</v>
      </c>
      <c r="D3479">
        <v>21.6</v>
      </c>
      <c r="E3479">
        <v>3.14</v>
      </c>
      <c r="F3479">
        <v>204.63211939999999</v>
      </c>
      <c r="G3479">
        <v>7.484</v>
      </c>
      <c r="N3479" s="8"/>
    </row>
    <row r="3480" spans="1:14" x14ac:dyDescent="0.25">
      <c r="A3480" s="8">
        <v>40536</v>
      </c>
      <c r="B3480">
        <v>1295391.19</v>
      </c>
      <c r="C3480">
        <v>0</v>
      </c>
      <c r="D3480">
        <v>22.94</v>
      </c>
      <c r="E3480">
        <v>3.141</v>
      </c>
      <c r="F3480">
        <v>204.6376731</v>
      </c>
      <c r="G3480">
        <v>7.484</v>
      </c>
      <c r="N3480" s="8"/>
    </row>
    <row r="3481" spans="1:14" x14ac:dyDescent="0.25">
      <c r="A3481" s="8">
        <v>40543</v>
      </c>
      <c r="B3481">
        <v>623092.54</v>
      </c>
      <c r="C3481">
        <v>1</v>
      </c>
      <c r="D3481">
        <v>25.89</v>
      </c>
      <c r="E3481">
        <v>3.1789999999999998</v>
      </c>
      <c r="F3481">
        <v>204.64322670000001</v>
      </c>
      <c r="G3481">
        <v>7.484</v>
      </c>
      <c r="N3481" s="8"/>
    </row>
    <row r="3482" spans="1:14" x14ac:dyDescent="0.25">
      <c r="A3482" s="8">
        <v>40550</v>
      </c>
      <c r="B3482">
        <v>558794.63</v>
      </c>
      <c r="C3482">
        <v>0</v>
      </c>
      <c r="D3482">
        <v>29</v>
      </c>
      <c r="E3482">
        <v>3.1930000000000001</v>
      </c>
      <c r="F3482">
        <v>204.6487803</v>
      </c>
      <c r="G3482">
        <v>7.343</v>
      </c>
      <c r="N3482" s="8"/>
    </row>
    <row r="3483" spans="1:14" x14ac:dyDescent="0.25">
      <c r="A3483" s="8">
        <v>40557</v>
      </c>
      <c r="B3483">
        <v>572360.82999999996</v>
      </c>
      <c r="C3483">
        <v>0</v>
      </c>
      <c r="D3483">
        <v>18.3</v>
      </c>
      <c r="E3483">
        <v>3.2050000000000001</v>
      </c>
      <c r="F3483">
        <v>204.7026042</v>
      </c>
      <c r="G3483">
        <v>7.343</v>
      </c>
      <c r="N3483" s="8"/>
    </row>
    <row r="3484" spans="1:14" x14ac:dyDescent="0.25">
      <c r="A3484" s="8">
        <v>40564</v>
      </c>
      <c r="B3484">
        <v>568093.56999999995</v>
      </c>
      <c r="C3484">
        <v>0</v>
      </c>
      <c r="D3484">
        <v>23.21</v>
      </c>
      <c r="E3484">
        <v>3.2290000000000001</v>
      </c>
      <c r="F3484">
        <v>205.0460497</v>
      </c>
      <c r="G3484">
        <v>7.343</v>
      </c>
      <c r="N3484" s="8"/>
    </row>
    <row r="3485" spans="1:14" x14ac:dyDescent="0.25">
      <c r="A3485" s="8">
        <v>40571</v>
      </c>
      <c r="B3485">
        <v>600448.68999999994</v>
      </c>
      <c r="C3485">
        <v>0</v>
      </c>
      <c r="D3485">
        <v>18.920000000000002</v>
      </c>
      <c r="E3485">
        <v>3.2370000000000001</v>
      </c>
      <c r="F3485">
        <v>205.3894952</v>
      </c>
      <c r="G3485">
        <v>7.343</v>
      </c>
      <c r="N3485" s="8"/>
    </row>
    <row r="3486" spans="1:14" x14ac:dyDescent="0.25">
      <c r="A3486" s="8">
        <v>40578</v>
      </c>
      <c r="B3486">
        <v>639830.44999999995</v>
      </c>
      <c r="C3486">
        <v>0</v>
      </c>
      <c r="D3486">
        <v>23.94</v>
      </c>
      <c r="E3486">
        <v>3.2309999999999999</v>
      </c>
      <c r="F3486">
        <v>205.7329407</v>
      </c>
      <c r="G3486">
        <v>7.343</v>
      </c>
      <c r="N3486" s="8"/>
    </row>
    <row r="3487" spans="1:14" x14ac:dyDescent="0.25">
      <c r="A3487" s="8">
        <v>40585</v>
      </c>
      <c r="B3487">
        <v>615666.78</v>
      </c>
      <c r="C3487">
        <v>1</v>
      </c>
      <c r="D3487">
        <v>21.18</v>
      </c>
      <c r="E3487">
        <v>3.2389999999999999</v>
      </c>
      <c r="F3487">
        <v>206.0763862</v>
      </c>
      <c r="G3487">
        <v>7.343</v>
      </c>
      <c r="N3487" s="8"/>
    </row>
    <row r="3488" spans="1:14" x14ac:dyDescent="0.25">
      <c r="A3488" s="8">
        <v>40592</v>
      </c>
      <c r="B3488">
        <v>634637.03</v>
      </c>
      <c r="C3488">
        <v>0</v>
      </c>
      <c r="D3488">
        <v>38.42</v>
      </c>
      <c r="E3488">
        <v>3.2450000000000001</v>
      </c>
      <c r="F3488">
        <v>206.3694701</v>
      </c>
      <c r="G3488">
        <v>7.343</v>
      </c>
      <c r="N3488" s="8"/>
    </row>
    <row r="3489" spans="1:14" x14ac:dyDescent="0.25">
      <c r="A3489" s="8">
        <v>40599</v>
      </c>
      <c r="B3489">
        <v>570816.34</v>
      </c>
      <c r="C3489">
        <v>0</v>
      </c>
      <c r="D3489">
        <v>28.36</v>
      </c>
      <c r="E3489">
        <v>3.274</v>
      </c>
      <c r="F3489">
        <v>206.6424093</v>
      </c>
      <c r="G3489">
        <v>7.343</v>
      </c>
      <c r="N3489" s="8"/>
    </row>
    <row r="3490" spans="1:14" x14ac:dyDescent="0.25">
      <c r="A3490" s="8">
        <v>40606</v>
      </c>
      <c r="B3490">
        <v>640912.18000000005</v>
      </c>
      <c r="C3490">
        <v>0</v>
      </c>
      <c r="D3490">
        <v>31.59</v>
      </c>
      <c r="E3490">
        <v>3.4329999999999998</v>
      </c>
      <c r="F3490">
        <v>206.91534849999999</v>
      </c>
      <c r="G3490">
        <v>7.343</v>
      </c>
      <c r="N3490" s="8"/>
    </row>
    <row r="3491" spans="1:14" x14ac:dyDescent="0.25">
      <c r="A3491" s="8">
        <v>40613</v>
      </c>
      <c r="B3491">
        <v>599828.39</v>
      </c>
      <c r="C3491">
        <v>0</v>
      </c>
      <c r="D3491">
        <v>36.729999999999997</v>
      </c>
      <c r="E3491">
        <v>3.5819999999999999</v>
      </c>
      <c r="F3491">
        <v>207.1882876</v>
      </c>
      <c r="G3491">
        <v>7.343</v>
      </c>
      <c r="N3491" s="8"/>
    </row>
    <row r="3492" spans="1:14" x14ac:dyDescent="0.25">
      <c r="A3492" s="8">
        <v>40620</v>
      </c>
      <c r="B3492">
        <v>603393.64</v>
      </c>
      <c r="C3492">
        <v>0</v>
      </c>
      <c r="D3492">
        <v>40.94</v>
      </c>
      <c r="E3492">
        <v>3.6309999999999998</v>
      </c>
      <c r="F3492">
        <v>207.42838449999999</v>
      </c>
      <c r="G3492">
        <v>7.343</v>
      </c>
      <c r="N3492" s="8"/>
    </row>
    <row r="3493" spans="1:14" x14ac:dyDescent="0.25">
      <c r="A3493" s="8">
        <v>40627</v>
      </c>
      <c r="B3493">
        <v>616324.24</v>
      </c>
      <c r="C3493">
        <v>0</v>
      </c>
      <c r="D3493">
        <v>38.51</v>
      </c>
      <c r="E3493">
        <v>3.625</v>
      </c>
      <c r="F3493">
        <v>207.65534439999999</v>
      </c>
      <c r="G3493">
        <v>7.343</v>
      </c>
      <c r="N3493" s="8"/>
    </row>
    <row r="3494" spans="1:14" x14ac:dyDescent="0.25">
      <c r="A3494" s="8">
        <v>40634</v>
      </c>
      <c r="B3494">
        <v>618377.79</v>
      </c>
      <c r="C3494">
        <v>0</v>
      </c>
      <c r="D3494">
        <v>28.5</v>
      </c>
      <c r="E3494">
        <v>3.6379999999999999</v>
      </c>
      <c r="F3494">
        <v>207.88230429999999</v>
      </c>
      <c r="G3494">
        <v>7.2869999999999999</v>
      </c>
      <c r="N3494" s="8"/>
    </row>
    <row r="3495" spans="1:14" x14ac:dyDescent="0.25">
      <c r="A3495" s="8">
        <v>40641</v>
      </c>
      <c r="B3495">
        <v>648606.13</v>
      </c>
      <c r="C3495">
        <v>0</v>
      </c>
      <c r="D3495">
        <v>42.11</v>
      </c>
      <c r="E3495">
        <v>3.72</v>
      </c>
      <c r="F3495">
        <v>208.10926420000001</v>
      </c>
      <c r="G3495">
        <v>7.2869999999999999</v>
      </c>
      <c r="N3495" s="8"/>
    </row>
    <row r="3496" spans="1:14" x14ac:dyDescent="0.25">
      <c r="A3496" s="8">
        <v>40648</v>
      </c>
      <c r="B3496">
        <v>674562.45</v>
      </c>
      <c r="C3496">
        <v>0</v>
      </c>
      <c r="D3496">
        <v>51.43</v>
      </c>
      <c r="E3496">
        <v>3.8210000000000002</v>
      </c>
      <c r="F3496">
        <v>208.3172811</v>
      </c>
      <c r="G3496">
        <v>7.2869999999999999</v>
      </c>
      <c r="N3496" s="8"/>
    </row>
    <row r="3497" spans="1:14" x14ac:dyDescent="0.25">
      <c r="A3497" s="8">
        <v>40655</v>
      </c>
      <c r="B3497">
        <v>756588.42</v>
      </c>
      <c r="C3497">
        <v>0</v>
      </c>
      <c r="D3497">
        <v>45.87</v>
      </c>
      <c r="E3497">
        <v>3.8919999999999999</v>
      </c>
      <c r="F3497">
        <v>208.47794049999999</v>
      </c>
      <c r="G3497">
        <v>7.2869999999999999</v>
      </c>
      <c r="N3497" s="8"/>
    </row>
    <row r="3498" spans="1:14" x14ac:dyDescent="0.25">
      <c r="A3498" s="8">
        <v>40662</v>
      </c>
      <c r="B3498">
        <v>649245</v>
      </c>
      <c r="C3498">
        <v>0</v>
      </c>
      <c r="D3498">
        <v>58.43</v>
      </c>
      <c r="E3498">
        <v>3.9620000000000002</v>
      </c>
      <c r="F3498">
        <v>208.6386</v>
      </c>
      <c r="G3498">
        <v>7.2869999999999999</v>
      </c>
      <c r="N3498" s="8"/>
    </row>
    <row r="3499" spans="1:14" x14ac:dyDescent="0.25">
      <c r="A3499" s="8">
        <v>40669</v>
      </c>
      <c r="B3499">
        <v>659446.55000000005</v>
      </c>
      <c r="C3499">
        <v>0</v>
      </c>
      <c r="D3499">
        <v>49.5</v>
      </c>
      <c r="E3499">
        <v>4.0460000000000003</v>
      </c>
      <c r="F3499">
        <v>208.79925950000001</v>
      </c>
      <c r="G3499">
        <v>7.2869999999999999</v>
      </c>
      <c r="N3499" s="8"/>
    </row>
    <row r="3500" spans="1:14" x14ac:dyDescent="0.25">
      <c r="A3500" s="8">
        <v>40676</v>
      </c>
      <c r="B3500">
        <v>684783.15</v>
      </c>
      <c r="C3500">
        <v>0</v>
      </c>
      <c r="D3500">
        <v>60.1</v>
      </c>
      <c r="E3500">
        <v>4.0659999999999998</v>
      </c>
      <c r="F3500">
        <v>208.95991889999999</v>
      </c>
      <c r="G3500">
        <v>7.2869999999999999</v>
      </c>
      <c r="N3500" s="8"/>
    </row>
    <row r="3501" spans="1:14" x14ac:dyDescent="0.25">
      <c r="A3501" s="8">
        <v>40683</v>
      </c>
      <c r="B3501">
        <v>677971.33</v>
      </c>
      <c r="C3501">
        <v>0</v>
      </c>
      <c r="D3501">
        <v>56.56</v>
      </c>
      <c r="E3501">
        <v>4.0620000000000003</v>
      </c>
      <c r="F3501">
        <v>208.75831650000001</v>
      </c>
      <c r="G3501">
        <v>7.2869999999999999</v>
      </c>
      <c r="N3501" s="8"/>
    </row>
    <row r="3502" spans="1:14" x14ac:dyDescent="0.25">
      <c r="A3502" s="8">
        <v>40690</v>
      </c>
      <c r="B3502">
        <v>718373.94</v>
      </c>
      <c r="C3502">
        <v>0</v>
      </c>
      <c r="D3502">
        <v>67.180000000000007</v>
      </c>
      <c r="E3502">
        <v>3.9849999999999999</v>
      </c>
      <c r="F3502">
        <v>208.556714</v>
      </c>
      <c r="G3502">
        <v>7.2869999999999999</v>
      </c>
      <c r="N3502" s="8"/>
    </row>
    <row r="3503" spans="1:14" x14ac:dyDescent="0.25">
      <c r="A3503" s="8">
        <v>40697</v>
      </c>
      <c r="B3503">
        <v>737551.74</v>
      </c>
      <c r="C3503">
        <v>0</v>
      </c>
      <c r="D3503">
        <v>70.69</v>
      </c>
      <c r="E3503">
        <v>3.9220000000000002</v>
      </c>
      <c r="F3503">
        <v>208.35511159999999</v>
      </c>
      <c r="G3503">
        <v>7.2869999999999999</v>
      </c>
      <c r="N3503" s="8"/>
    </row>
    <row r="3504" spans="1:14" x14ac:dyDescent="0.25">
      <c r="A3504" s="8">
        <v>40704</v>
      </c>
      <c r="B3504">
        <v>740259.63</v>
      </c>
      <c r="C3504">
        <v>0</v>
      </c>
      <c r="D3504">
        <v>71.45</v>
      </c>
      <c r="E3504">
        <v>3.8809999999999998</v>
      </c>
      <c r="F3504">
        <v>208.1535092</v>
      </c>
      <c r="G3504">
        <v>7.2869999999999999</v>
      </c>
      <c r="N3504" s="8"/>
    </row>
    <row r="3505" spans="1:14" x14ac:dyDescent="0.25">
      <c r="A3505" s="8">
        <v>40711</v>
      </c>
      <c r="B3505">
        <v>717373.43</v>
      </c>
      <c r="C3505">
        <v>0</v>
      </c>
      <c r="D3505">
        <v>63.58</v>
      </c>
      <c r="E3505">
        <v>3.8420000000000001</v>
      </c>
      <c r="F3505">
        <v>208.12656039999999</v>
      </c>
      <c r="G3505">
        <v>7.2869999999999999</v>
      </c>
      <c r="N3505" s="8"/>
    </row>
    <row r="3506" spans="1:14" x14ac:dyDescent="0.25">
      <c r="A3506" s="8">
        <v>40718</v>
      </c>
      <c r="B3506">
        <v>699270.1</v>
      </c>
      <c r="C3506">
        <v>0</v>
      </c>
      <c r="D3506">
        <v>70.709999999999994</v>
      </c>
      <c r="E3506">
        <v>3.8039999999999998</v>
      </c>
      <c r="F3506">
        <v>208.23060179999999</v>
      </c>
      <c r="G3506">
        <v>7.2869999999999999</v>
      </c>
      <c r="N3506" s="8"/>
    </row>
    <row r="3507" spans="1:14" x14ac:dyDescent="0.25">
      <c r="A3507" s="8">
        <v>40725</v>
      </c>
      <c r="B3507">
        <v>706206.86</v>
      </c>
      <c r="C3507">
        <v>0</v>
      </c>
      <c r="D3507">
        <v>66.61</v>
      </c>
      <c r="E3507">
        <v>3.7480000000000002</v>
      </c>
      <c r="F3507">
        <v>208.33464319999999</v>
      </c>
      <c r="G3507">
        <v>7.274</v>
      </c>
      <c r="N3507" s="8"/>
    </row>
    <row r="3508" spans="1:14" x14ac:dyDescent="0.25">
      <c r="A3508" s="8">
        <v>40732</v>
      </c>
      <c r="B3508">
        <v>698529.64</v>
      </c>
      <c r="C3508">
        <v>0</v>
      </c>
      <c r="D3508">
        <v>71.64</v>
      </c>
      <c r="E3508">
        <v>3.7109999999999999</v>
      </c>
      <c r="F3508">
        <v>208.43868470000001</v>
      </c>
      <c r="G3508">
        <v>7.274</v>
      </c>
      <c r="N3508" s="8"/>
    </row>
    <row r="3509" spans="1:14" x14ac:dyDescent="0.25">
      <c r="A3509" s="8">
        <v>40739</v>
      </c>
      <c r="B3509">
        <v>680510.23</v>
      </c>
      <c r="C3509">
        <v>0</v>
      </c>
      <c r="D3509">
        <v>72.67</v>
      </c>
      <c r="E3509">
        <v>3.76</v>
      </c>
      <c r="F3509">
        <v>208.53093369999999</v>
      </c>
      <c r="G3509">
        <v>7.274</v>
      </c>
      <c r="N3509" s="8"/>
    </row>
    <row r="3510" spans="1:14" x14ac:dyDescent="0.25">
      <c r="A3510" s="8">
        <v>40746</v>
      </c>
      <c r="B3510">
        <v>670854.96</v>
      </c>
      <c r="C3510">
        <v>0</v>
      </c>
      <c r="D3510">
        <v>78.099999999999994</v>
      </c>
      <c r="E3510">
        <v>3.8109999999999999</v>
      </c>
      <c r="F3510">
        <v>208.59370179999999</v>
      </c>
      <c r="G3510">
        <v>7.274</v>
      </c>
      <c r="N3510" s="8"/>
    </row>
    <row r="3511" spans="1:14" x14ac:dyDescent="0.25">
      <c r="A3511" s="8">
        <v>40753</v>
      </c>
      <c r="B3511">
        <v>668390.81999999995</v>
      </c>
      <c r="C3511">
        <v>0</v>
      </c>
      <c r="D3511">
        <v>74.72</v>
      </c>
      <c r="E3511">
        <v>3.8290000000000002</v>
      </c>
      <c r="F3511">
        <v>208.65646989999999</v>
      </c>
      <c r="G3511">
        <v>7.274</v>
      </c>
      <c r="N3511" s="8"/>
    </row>
    <row r="3512" spans="1:14" x14ac:dyDescent="0.25">
      <c r="A3512" s="8">
        <v>40760</v>
      </c>
      <c r="B3512">
        <v>679706.01</v>
      </c>
      <c r="C3512">
        <v>0</v>
      </c>
      <c r="D3512">
        <v>74</v>
      </c>
      <c r="E3512">
        <v>3.8420000000000001</v>
      </c>
      <c r="F3512">
        <v>208.71923799999999</v>
      </c>
      <c r="G3512">
        <v>7.274</v>
      </c>
      <c r="N3512" s="8"/>
    </row>
    <row r="3513" spans="1:14" x14ac:dyDescent="0.25">
      <c r="A3513" s="8">
        <v>40767</v>
      </c>
      <c r="B3513">
        <v>667130.48</v>
      </c>
      <c r="C3513">
        <v>0</v>
      </c>
      <c r="D3513">
        <v>70.930000000000007</v>
      </c>
      <c r="E3513">
        <v>3.8119999999999998</v>
      </c>
      <c r="F3513">
        <v>208.78200609999999</v>
      </c>
      <c r="G3513">
        <v>7.274</v>
      </c>
      <c r="N3513" s="8"/>
    </row>
    <row r="3514" spans="1:14" x14ac:dyDescent="0.25">
      <c r="A3514" s="8">
        <v>40774</v>
      </c>
      <c r="B3514">
        <v>688958.75</v>
      </c>
      <c r="C3514">
        <v>0</v>
      </c>
      <c r="D3514">
        <v>68.09</v>
      </c>
      <c r="E3514">
        <v>3.7469999999999999</v>
      </c>
      <c r="F3514">
        <v>208.8424359</v>
      </c>
      <c r="G3514">
        <v>7.274</v>
      </c>
      <c r="N3514" s="8"/>
    </row>
    <row r="3515" spans="1:14" x14ac:dyDescent="0.25">
      <c r="A3515" s="8">
        <v>40781</v>
      </c>
      <c r="B3515">
        <v>726422.55</v>
      </c>
      <c r="C3515">
        <v>0</v>
      </c>
      <c r="D3515">
        <v>66.8</v>
      </c>
      <c r="E3515">
        <v>3.7040000000000002</v>
      </c>
      <c r="F3515">
        <v>208.90247600000001</v>
      </c>
      <c r="G3515">
        <v>7.274</v>
      </c>
      <c r="N3515" s="8"/>
    </row>
    <row r="3516" spans="1:14" x14ac:dyDescent="0.25">
      <c r="A3516" s="8">
        <v>40788</v>
      </c>
      <c r="B3516">
        <v>699779</v>
      </c>
      <c r="C3516">
        <v>0</v>
      </c>
      <c r="D3516">
        <v>67.2</v>
      </c>
      <c r="E3516">
        <v>3.7029999999999998</v>
      </c>
      <c r="F3516">
        <v>208.96251609999999</v>
      </c>
      <c r="G3516">
        <v>7.274</v>
      </c>
      <c r="N3516" s="8"/>
    </row>
    <row r="3517" spans="1:14" x14ac:dyDescent="0.25">
      <c r="A3517" s="8">
        <v>40795</v>
      </c>
      <c r="B3517">
        <v>673248.48</v>
      </c>
      <c r="C3517">
        <v>1</v>
      </c>
      <c r="D3517">
        <v>67.510000000000005</v>
      </c>
      <c r="E3517">
        <v>3.738</v>
      </c>
      <c r="F3517">
        <v>209.0225562</v>
      </c>
      <c r="G3517">
        <v>7.274</v>
      </c>
      <c r="N3517" s="8"/>
    </row>
    <row r="3518" spans="1:14" x14ac:dyDescent="0.25">
      <c r="A3518" s="8">
        <v>40802</v>
      </c>
      <c r="B3518">
        <v>628720.46</v>
      </c>
      <c r="C3518">
        <v>0</v>
      </c>
      <c r="D3518">
        <v>62.05</v>
      </c>
      <c r="E3518">
        <v>3.742</v>
      </c>
      <c r="F3518">
        <v>209.18938919999999</v>
      </c>
      <c r="G3518">
        <v>7.274</v>
      </c>
      <c r="N3518" s="8"/>
    </row>
    <row r="3519" spans="1:14" x14ac:dyDescent="0.25">
      <c r="A3519" s="8">
        <v>40809</v>
      </c>
      <c r="B3519">
        <v>620885.93000000005</v>
      </c>
      <c r="C3519">
        <v>0</v>
      </c>
      <c r="D3519">
        <v>60.28</v>
      </c>
      <c r="E3519">
        <v>3.7109999999999999</v>
      </c>
      <c r="F3519">
        <v>209.4986126</v>
      </c>
      <c r="G3519">
        <v>7.274</v>
      </c>
      <c r="N3519" s="8"/>
    </row>
    <row r="3520" spans="1:14" x14ac:dyDescent="0.25">
      <c r="A3520" s="8">
        <v>40816</v>
      </c>
      <c r="B3520">
        <v>639160.24</v>
      </c>
      <c r="C3520">
        <v>0</v>
      </c>
      <c r="D3520">
        <v>60.7</v>
      </c>
      <c r="E3520">
        <v>3.645</v>
      </c>
      <c r="F3520">
        <v>209.80783600000001</v>
      </c>
      <c r="G3520">
        <v>7.274</v>
      </c>
      <c r="N3520" s="8"/>
    </row>
    <row r="3521" spans="1:14" x14ac:dyDescent="0.25">
      <c r="A3521" s="8">
        <v>40823</v>
      </c>
      <c r="B3521">
        <v>671522.87</v>
      </c>
      <c r="C3521">
        <v>0</v>
      </c>
      <c r="D3521">
        <v>50.82</v>
      </c>
      <c r="E3521">
        <v>3.5830000000000002</v>
      </c>
      <c r="F3521">
        <v>210.11705950000001</v>
      </c>
      <c r="G3521">
        <v>7.0819999999999999</v>
      </c>
      <c r="N3521" s="8"/>
    </row>
    <row r="3522" spans="1:14" x14ac:dyDescent="0.25">
      <c r="A3522" s="8">
        <v>40830</v>
      </c>
      <c r="B3522">
        <v>646915.47</v>
      </c>
      <c r="C3522">
        <v>0</v>
      </c>
      <c r="D3522">
        <v>58.95</v>
      </c>
      <c r="E3522">
        <v>3.5409999999999999</v>
      </c>
      <c r="F3522">
        <v>210.40276019999999</v>
      </c>
      <c r="G3522">
        <v>7.0819999999999999</v>
      </c>
      <c r="N3522" s="8"/>
    </row>
    <row r="3523" spans="1:14" x14ac:dyDescent="0.25">
      <c r="A3523" s="8">
        <v>40837</v>
      </c>
      <c r="B3523">
        <v>690675.5</v>
      </c>
      <c r="C3523">
        <v>0</v>
      </c>
      <c r="D3523">
        <v>50.22</v>
      </c>
      <c r="E3523">
        <v>3.57</v>
      </c>
      <c r="F3523">
        <v>210.54732519999999</v>
      </c>
      <c r="G3523">
        <v>7.0819999999999999</v>
      </c>
      <c r="N3523" s="8"/>
    </row>
    <row r="3524" spans="1:14" x14ac:dyDescent="0.25">
      <c r="A3524" s="8">
        <v>40844</v>
      </c>
      <c r="B3524">
        <v>724443.97</v>
      </c>
      <c r="C3524">
        <v>0</v>
      </c>
      <c r="D3524">
        <v>46.28</v>
      </c>
      <c r="E3524">
        <v>3.569</v>
      </c>
      <c r="F3524">
        <v>210.69189009999999</v>
      </c>
      <c r="G3524">
        <v>7.0819999999999999</v>
      </c>
      <c r="N3524" s="8"/>
    </row>
    <row r="3525" spans="1:14" x14ac:dyDescent="0.25">
      <c r="A3525" s="8">
        <v>40851</v>
      </c>
      <c r="B3525">
        <v>718393.61</v>
      </c>
      <c r="C3525">
        <v>0</v>
      </c>
      <c r="D3525">
        <v>40.880000000000003</v>
      </c>
      <c r="E3525">
        <v>3.5510000000000002</v>
      </c>
      <c r="F3525">
        <v>210.83645509999999</v>
      </c>
      <c r="G3525">
        <v>7.0819999999999999</v>
      </c>
      <c r="N3525" s="8"/>
    </row>
    <row r="3526" spans="1:14" x14ac:dyDescent="0.25">
      <c r="A3526" s="8">
        <v>40858</v>
      </c>
      <c r="B3526">
        <v>719235.07</v>
      </c>
      <c r="C3526">
        <v>0</v>
      </c>
      <c r="D3526">
        <v>44.81</v>
      </c>
      <c r="E3526">
        <v>3.53</v>
      </c>
      <c r="F3526">
        <v>210.98102009999999</v>
      </c>
      <c r="G3526">
        <v>7.0819999999999999</v>
      </c>
      <c r="N3526" s="8"/>
    </row>
    <row r="3527" spans="1:14" x14ac:dyDescent="0.25">
      <c r="A3527" s="8">
        <v>40865</v>
      </c>
      <c r="B3527">
        <v>728525.6</v>
      </c>
      <c r="C3527">
        <v>0</v>
      </c>
      <c r="D3527">
        <v>46.41</v>
      </c>
      <c r="E3527">
        <v>3.53</v>
      </c>
      <c r="F3527">
        <v>211.18472070000001</v>
      </c>
      <c r="G3527">
        <v>7.0819999999999999</v>
      </c>
      <c r="N3527" s="8"/>
    </row>
    <row r="3528" spans="1:14" x14ac:dyDescent="0.25">
      <c r="A3528" s="8">
        <v>40872</v>
      </c>
      <c r="B3528">
        <v>1116211.3899999999</v>
      </c>
      <c r="C3528">
        <v>1</v>
      </c>
      <c r="D3528">
        <v>43.49</v>
      </c>
      <c r="E3528">
        <v>3.492</v>
      </c>
      <c r="F3528">
        <v>211.4120757</v>
      </c>
      <c r="G3528">
        <v>7.0819999999999999</v>
      </c>
      <c r="N3528" s="8"/>
    </row>
    <row r="3529" spans="1:14" x14ac:dyDescent="0.25">
      <c r="A3529" s="8">
        <v>40879</v>
      </c>
      <c r="B3529">
        <v>878314.57</v>
      </c>
      <c r="C3529">
        <v>0</v>
      </c>
      <c r="D3529">
        <v>42.85</v>
      </c>
      <c r="E3529">
        <v>3.452</v>
      </c>
      <c r="F3529">
        <v>211.6394306</v>
      </c>
      <c r="G3529">
        <v>7.0819999999999999</v>
      </c>
      <c r="N3529" s="8"/>
    </row>
    <row r="3530" spans="1:14" x14ac:dyDescent="0.25">
      <c r="A3530" s="8">
        <v>40886</v>
      </c>
      <c r="B3530">
        <v>916446.02</v>
      </c>
      <c r="C3530">
        <v>0</v>
      </c>
      <c r="D3530">
        <v>38.69</v>
      </c>
      <c r="E3530">
        <v>3.415</v>
      </c>
      <c r="F3530">
        <v>211.86678559999999</v>
      </c>
      <c r="G3530">
        <v>7.0819999999999999</v>
      </c>
      <c r="N3530" s="8"/>
    </row>
    <row r="3531" spans="1:14" x14ac:dyDescent="0.25">
      <c r="A3531" s="8">
        <v>40893</v>
      </c>
      <c r="B3531">
        <v>997502.47</v>
      </c>
      <c r="C3531">
        <v>0</v>
      </c>
      <c r="D3531">
        <v>33.090000000000003</v>
      </c>
      <c r="E3531">
        <v>3.4129999999999998</v>
      </c>
      <c r="F3531">
        <v>212.0685039</v>
      </c>
      <c r="G3531">
        <v>7.0819999999999999</v>
      </c>
      <c r="N3531" s="8"/>
    </row>
    <row r="3532" spans="1:14" x14ac:dyDescent="0.25">
      <c r="A3532" s="8">
        <v>40900</v>
      </c>
      <c r="B3532">
        <v>1290532.97</v>
      </c>
      <c r="C3532">
        <v>0</v>
      </c>
      <c r="D3532">
        <v>36.56</v>
      </c>
      <c r="E3532">
        <v>3.3889999999999998</v>
      </c>
      <c r="F3532">
        <v>212.2360401</v>
      </c>
      <c r="G3532">
        <v>7.0819999999999999</v>
      </c>
      <c r="N3532" s="8"/>
    </row>
    <row r="3533" spans="1:14" x14ac:dyDescent="0.25">
      <c r="A3533" s="8">
        <v>40907</v>
      </c>
      <c r="B3533">
        <v>683665.37</v>
      </c>
      <c r="C3533">
        <v>1</v>
      </c>
      <c r="D3533">
        <v>32.42</v>
      </c>
      <c r="E3533">
        <v>3.3889999999999998</v>
      </c>
      <c r="F3533">
        <v>212.4035763</v>
      </c>
      <c r="G3533">
        <v>7.0819999999999999</v>
      </c>
      <c r="N3533" s="8"/>
    </row>
    <row r="3534" spans="1:14" x14ac:dyDescent="0.25">
      <c r="A3534" s="8">
        <v>40914</v>
      </c>
      <c r="B3534">
        <v>636419.12</v>
      </c>
      <c r="C3534">
        <v>0</v>
      </c>
      <c r="D3534">
        <v>30.23</v>
      </c>
      <c r="E3534">
        <v>3.4220000000000002</v>
      </c>
      <c r="F3534">
        <v>212.5711125</v>
      </c>
      <c r="G3534">
        <v>6.9610000000000003</v>
      </c>
      <c r="N3534" s="8"/>
    </row>
    <row r="3535" spans="1:14" x14ac:dyDescent="0.25">
      <c r="A3535" s="8">
        <v>40921</v>
      </c>
      <c r="B3535">
        <v>614764.31000000006</v>
      </c>
      <c r="C3535">
        <v>0</v>
      </c>
      <c r="D3535">
        <v>34.6</v>
      </c>
      <c r="E3535">
        <v>3.5129999999999999</v>
      </c>
      <c r="F3535">
        <v>212.7386486</v>
      </c>
      <c r="G3535">
        <v>6.9610000000000003</v>
      </c>
      <c r="N3535" s="8"/>
    </row>
    <row r="3536" spans="1:14" x14ac:dyDescent="0.25">
      <c r="A3536" s="8">
        <v>40928</v>
      </c>
      <c r="B3536">
        <v>594744.89</v>
      </c>
      <c r="C3536">
        <v>0</v>
      </c>
      <c r="D3536">
        <v>23.87</v>
      </c>
      <c r="E3536">
        <v>3.5329999999999999</v>
      </c>
      <c r="F3536">
        <v>212.83363990000001</v>
      </c>
      <c r="G3536">
        <v>6.9610000000000003</v>
      </c>
      <c r="N3536" s="8"/>
    </row>
    <row r="3537" spans="1:14" x14ac:dyDescent="0.25">
      <c r="A3537" s="8">
        <v>40935</v>
      </c>
      <c r="B3537">
        <v>589554.29</v>
      </c>
      <c r="C3537">
        <v>0</v>
      </c>
      <c r="D3537">
        <v>32.24</v>
      </c>
      <c r="E3537">
        <v>3.5670000000000002</v>
      </c>
      <c r="F3537">
        <v>212.92863120000001</v>
      </c>
      <c r="G3537">
        <v>6.9610000000000003</v>
      </c>
      <c r="N3537" s="8"/>
    </row>
    <row r="3538" spans="1:14" x14ac:dyDescent="0.25">
      <c r="A3538" s="8">
        <v>40942</v>
      </c>
      <c r="B3538">
        <v>642776.4</v>
      </c>
      <c r="C3538">
        <v>0</v>
      </c>
      <c r="D3538">
        <v>34.979999999999997</v>
      </c>
      <c r="E3538">
        <v>3.617</v>
      </c>
      <c r="F3538">
        <v>213.02362249999999</v>
      </c>
      <c r="G3538">
        <v>6.9610000000000003</v>
      </c>
      <c r="N3538" s="8"/>
    </row>
    <row r="3539" spans="1:14" x14ac:dyDescent="0.25">
      <c r="A3539" s="8">
        <v>40949</v>
      </c>
      <c r="B3539">
        <v>658984.38</v>
      </c>
      <c r="C3539">
        <v>1</v>
      </c>
      <c r="D3539">
        <v>32.47</v>
      </c>
      <c r="E3539">
        <v>3.64</v>
      </c>
      <c r="F3539">
        <v>213.11861379999999</v>
      </c>
      <c r="G3539">
        <v>6.9610000000000003</v>
      </c>
      <c r="N3539" s="8"/>
    </row>
    <row r="3540" spans="1:14" x14ac:dyDescent="0.25">
      <c r="A3540" s="8">
        <v>40956</v>
      </c>
      <c r="B3540">
        <v>654088.02</v>
      </c>
      <c r="C3540">
        <v>0</v>
      </c>
      <c r="D3540">
        <v>32.229999999999997</v>
      </c>
      <c r="E3540">
        <v>3.6949999999999998</v>
      </c>
      <c r="F3540">
        <v>213.2732106</v>
      </c>
      <c r="G3540">
        <v>6.9610000000000003</v>
      </c>
      <c r="N3540" s="8"/>
    </row>
    <row r="3541" spans="1:14" x14ac:dyDescent="0.25">
      <c r="A3541" s="8">
        <v>40963</v>
      </c>
      <c r="B3541">
        <v>613501.05000000005</v>
      </c>
      <c r="C3541">
        <v>0</v>
      </c>
      <c r="D3541">
        <v>35.51</v>
      </c>
      <c r="E3541">
        <v>3.7389999999999999</v>
      </c>
      <c r="F3541">
        <v>213.47251159999999</v>
      </c>
      <c r="G3541">
        <v>6.9610000000000003</v>
      </c>
      <c r="N3541" s="8"/>
    </row>
    <row r="3542" spans="1:14" x14ac:dyDescent="0.25">
      <c r="A3542" s="8">
        <v>40970</v>
      </c>
      <c r="B3542">
        <v>643155.89</v>
      </c>
      <c r="C3542">
        <v>0</v>
      </c>
      <c r="D3542">
        <v>36.01</v>
      </c>
      <c r="E3542">
        <v>3.8159999999999998</v>
      </c>
      <c r="F3542">
        <v>213.6718127</v>
      </c>
      <c r="G3542">
        <v>6.9610000000000003</v>
      </c>
      <c r="N3542" s="8"/>
    </row>
    <row r="3543" spans="1:14" x14ac:dyDescent="0.25">
      <c r="A3543" s="8">
        <v>40977</v>
      </c>
      <c r="B3543">
        <v>643711.53</v>
      </c>
      <c r="C3543">
        <v>0</v>
      </c>
      <c r="D3543">
        <v>37.44</v>
      </c>
      <c r="E3543">
        <v>3.8479999999999999</v>
      </c>
      <c r="F3543">
        <v>213.8711137</v>
      </c>
      <c r="G3543">
        <v>6.9610000000000003</v>
      </c>
      <c r="N3543" s="8"/>
    </row>
    <row r="3544" spans="1:14" x14ac:dyDescent="0.25">
      <c r="A3544" s="8">
        <v>40984</v>
      </c>
      <c r="B3544">
        <v>638204.27</v>
      </c>
      <c r="C3544">
        <v>0</v>
      </c>
      <c r="D3544">
        <v>50.64</v>
      </c>
      <c r="E3544">
        <v>3.8620000000000001</v>
      </c>
      <c r="F3544">
        <v>214.0167132</v>
      </c>
      <c r="G3544">
        <v>6.9610000000000003</v>
      </c>
      <c r="N3544" s="8"/>
    </row>
    <row r="3545" spans="1:14" x14ac:dyDescent="0.25">
      <c r="A3545" s="8">
        <v>40991</v>
      </c>
      <c r="B3545">
        <v>672831.78</v>
      </c>
      <c r="C3545">
        <v>0</v>
      </c>
      <c r="D3545">
        <v>62.7</v>
      </c>
      <c r="E3545">
        <v>3.9</v>
      </c>
      <c r="F3545">
        <v>214.0907105</v>
      </c>
      <c r="G3545">
        <v>6.9610000000000003</v>
      </c>
      <c r="N3545" s="8"/>
    </row>
    <row r="3546" spans="1:14" x14ac:dyDescent="0.25">
      <c r="A3546" s="8">
        <v>40998</v>
      </c>
      <c r="B3546">
        <v>684348.92</v>
      </c>
      <c r="C3546">
        <v>0</v>
      </c>
      <c r="D3546">
        <v>47.92</v>
      </c>
      <c r="E3546">
        <v>3.9529999999999998</v>
      </c>
      <c r="F3546">
        <v>214.1647079</v>
      </c>
      <c r="G3546">
        <v>6.9610000000000003</v>
      </c>
      <c r="N3546" s="8"/>
    </row>
    <row r="3547" spans="1:14" x14ac:dyDescent="0.25">
      <c r="A3547" s="8">
        <v>41005</v>
      </c>
      <c r="B3547">
        <v>791356.9</v>
      </c>
      <c r="C3547">
        <v>0</v>
      </c>
      <c r="D3547">
        <v>44.73</v>
      </c>
      <c r="E3547">
        <v>3.996</v>
      </c>
      <c r="F3547">
        <v>214.23870529999999</v>
      </c>
      <c r="G3547">
        <v>7.1390000000000002</v>
      </c>
      <c r="N3547" s="8"/>
    </row>
    <row r="3548" spans="1:14" x14ac:dyDescent="0.25">
      <c r="A3548" s="8">
        <v>41012</v>
      </c>
      <c r="B3548">
        <v>658691.56000000006</v>
      </c>
      <c r="C3548">
        <v>0</v>
      </c>
      <c r="D3548">
        <v>42.46</v>
      </c>
      <c r="E3548">
        <v>4.0439999999999996</v>
      </c>
      <c r="F3548">
        <v>214.31270269999999</v>
      </c>
      <c r="G3548">
        <v>7.1390000000000002</v>
      </c>
      <c r="N3548" s="8"/>
    </row>
    <row r="3549" spans="1:14" x14ac:dyDescent="0.25">
      <c r="A3549" s="8">
        <v>41019</v>
      </c>
      <c r="B3549">
        <v>661566.48</v>
      </c>
      <c r="C3549">
        <v>0</v>
      </c>
      <c r="D3549">
        <v>57.1</v>
      </c>
      <c r="E3549">
        <v>4.0270000000000001</v>
      </c>
      <c r="F3549">
        <v>214.3675045</v>
      </c>
      <c r="G3549">
        <v>7.1390000000000002</v>
      </c>
      <c r="N3549" s="8"/>
    </row>
    <row r="3550" spans="1:14" x14ac:dyDescent="0.25">
      <c r="A3550" s="8">
        <v>41026</v>
      </c>
      <c r="B3550">
        <v>655157.31999999995</v>
      </c>
      <c r="C3550">
        <v>0</v>
      </c>
      <c r="D3550">
        <v>44.2</v>
      </c>
      <c r="E3550">
        <v>4.0039999999999996</v>
      </c>
      <c r="F3550">
        <v>214.4223063</v>
      </c>
      <c r="G3550">
        <v>7.1390000000000002</v>
      </c>
      <c r="N3550" s="8"/>
    </row>
    <row r="3551" spans="1:14" x14ac:dyDescent="0.25">
      <c r="A3551" s="8">
        <v>41033</v>
      </c>
      <c r="B3551">
        <v>696421.72</v>
      </c>
      <c r="C3551">
        <v>0</v>
      </c>
      <c r="D3551">
        <v>58.76</v>
      </c>
      <c r="E3551">
        <v>3.9510000000000001</v>
      </c>
      <c r="F3551">
        <v>214.47710810000001</v>
      </c>
      <c r="G3551">
        <v>7.1390000000000002</v>
      </c>
      <c r="N3551" s="8"/>
    </row>
    <row r="3552" spans="1:14" x14ac:dyDescent="0.25">
      <c r="A3552" s="8">
        <v>41040</v>
      </c>
      <c r="B3552">
        <v>739866.16</v>
      </c>
      <c r="C3552">
        <v>0</v>
      </c>
      <c r="D3552">
        <v>59.21</v>
      </c>
      <c r="E3552">
        <v>3.8889999999999998</v>
      </c>
      <c r="F3552">
        <v>214.53190989999999</v>
      </c>
      <c r="G3552">
        <v>7.1390000000000002</v>
      </c>
      <c r="N3552" s="8"/>
    </row>
    <row r="3553" spans="1:14" x14ac:dyDescent="0.25">
      <c r="A3553" s="8">
        <v>41047</v>
      </c>
      <c r="B3553">
        <v>717207.19</v>
      </c>
      <c r="C3553">
        <v>0</v>
      </c>
      <c r="D3553">
        <v>58.21</v>
      </c>
      <c r="E3553">
        <v>3.8479999999999999</v>
      </c>
      <c r="F3553">
        <v>214.54855710000001</v>
      </c>
      <c r="G3553">
        <v>7.1390000000000002</v>
      </c>
      <c r="N3553" s="8"/>
    </row>
    <row r="3554" spans="1:14" x14ac:dyDescent="0.25">
      <c r="A3554" s="8">
        <v>41054</v>
      </c>
      <c r="B3554">
        <v>783371.02</v>
      </c>
      <c r="C3554">
        <v>0</v>
      </c>
      <c r="D3554">
        <v>67.69</v>
      </c>
      <c r="E3554">
        <v>3.798</v>
      </c>
      <c r="F3554">
        <v>214.54994249999999</v>
      </c>
      <c r="G3554">
        <v>7.1390000000000002</v>
      </c>
      <c r="N3554" s="8"/>
    </row>
    <row r="3555" spans="1:14" x14ac:dyDescent="0.25">
      <c r="A3555" s="8">
        <v>41061</v>
      </c>
      <c r="B3555">
        <v>694765.95</v>
      </c>
      <c r="C3555">
        <v>0</v>
      </c>
      <c r="D3555">
        <v>69.540000000000006</v>
      </c>
      <c r="E3555">
        <v>3.742</v>
      </c>
      <c r="F3555">
        <v>214.5513278</v>
      </c>
      <c r="G3555">
        <v>7.1390000000000002</v>
      </c>
      <c r="N3555" s="8"/>
    </row>
    <row r="3556" spans="1:14" x14ac:dyDescent="0.25">
      <c r="A3556" s="8">
        <v>41068</v>
      </c>
      <c r="B3556">
        <v>730254.19</v>
      </c>
      <c r="C3556">
        <v>0</v>
      </c>
      <c r="D3556">
        <v>58.48</v>
      </c>
      <c r="E3556">
        <v>3.6890000000000001</v>
      </c>
      <c r="F3556">
        <v>214.5527132</v>
      </c>
      <c r="G3556">
        <v>7.1390000000000002</v>
      </c>
      <c r="N3556" s="8"/>
    </row>
    <row r="3557" spans="1:14" x14ac:dyDescent="0.25">
      <c r="A3557" s="8">
        <v>41075</v>
      </c>
      <c r="B3557">
        <v>753860.89</v>
      </c>
      <c r="C3557">
        <v>0</v>
      </c>
      <c r="D3557">
        <v>68.34</v>
      </c>
      <c r="E3557">
        <v>3.62</v>
      </c>
      <c r="F3557">
        <v>214.56532429999999</v>
      </c>
      <c r="G3557">
        <v>7.1390000000000002</v>
      </c>
      <c r="N3557" s="8"/>
    </row>
    <row r="3558" spans="1:14" x14ac:dyDescent="0.25">
      <c r="A3558" s="8">
        <v>41082</v>
      </c>
      <c r="B3558">
        <v>721601.9</v>
      </c>
      <c r="C3558">
        <v>0</v>
      </c>
      <c r="D3558">
        <v>73.52</v>
      </c>
      <c r="E3558">
        <v>3.5640000000000001</v>
      </c>
      <c r="F3558">
        <v>214.60599999999999</v>
      </c>
      <c r="G3558">
        <v>7.1390000000000002</v>
      </c>
      <c r="N3558" s="8"/>
    </row>
    <row r="3559" spans="1:14" x14ac:dyDescent="0.25">
      <c r="A3559" s="8">
        <v>41089</v>
      </c>
      <c r="B3559">
        <v>718890.81</v>
      </c>
      <c r="C3559">
        <v>0</v>
      </c>
      <c r="D3559">
        <v>69.84</v>
      </c>
      <c r="E3559">
        <v>3.5059999999999998</v>
      </c>
      <c r="F3559">
        <v>214.6466757</v>
      </c>
      <c r="G3559">
        <v>7.1390000000000002</v>
      </c>
      <c r="N3559" s="8"/>
    </row>
    <row r="3560" spans="1:14" x14ac:dyDescent="0.25">
      <c r="A3560" s="8">
        <v>41096</v>
      </c>
      <c r="B3560">
        <v>753385.55</v>
      </c>
      <c r="C3560">
        <v>0</v>
      </c>
      <c r="D3560">
        <v>75.52</v>
      </c>
      <c r="E3560">
        <v>3.4750000000000001</v>
      </c>
      <c r="F3560">
        <v>214.68735140000001</v>
      </c>
      <c r="G3560">
        <v>7.28</v>
      </c>
      <c r="N3560" s="8"/>
    </row>
    <row r="3561" spans="1:14" x14ac:dyDescent="0.25">
      <c r="A3561" s="8">
        <v>41103</v>
      </c>
      <c r="B3561">
        <v>714093.95</v>
      </c>
      <c r="C3561">
        <v>0</v>
      </c>
      <c r="D3561">
        <v>73.87</v>
      </c>
      <c r="E3561">
        <v>3.5230000000000001</v>
      </c>
      <c r="F3561">
        <v>214.728027</v>
      </c>
      <c r="G3561">
        <v>7.28</v>
      </c>
      <c r="N3561" s="8"/>
    </row>
    <row r="3562" spans="1:14" x14ac:dyDescent="0.25">
      <c r="A3562" s="8">
        <v>41110</v>
      </c>
      <c r="B3562">
        <v>685676.58</v>
      </c>
      <c r="C3562">
        <v>0</v>
      </c>
      <c r="D3562">
        <v>74.319999999999993</v>
      </c>
      <c r="E3562">
        <v>3.5670000000000002</v>
      </c>
      <c r="F3562">
        <v>214.7331351</v>
      </c>
      <c r="G3562">
        <v>7.28</v>
      </c>
      <c r="N3562" s="8"/>
    </row>
    <row r="3563" spans="1:14" x14ac:dyDescent="0.25">
      <c r="A3563" s="8">
        <v>41117</v>
      </c>
      <c r="B3563">
        <v>659109.53</v>
      </c>
      <c r="C3563">
        <v>0</v>
      </c>
      <c r="D3563">
        <v>72.98</v>
      </c>
      <c r="E3563">
        <v>3.6469999999999998</v>
      </c>
      <c r="F3563">
        <v>214.7382432</v>
      </c>
      <c r="G3563">
        <v>7.28</v>
      </c>
      <c r="N3563" s="8"/>
    </row>
    <row r="3564" spans="1:14" x14ac:dyDescent="0.25">
      <c r="A3564" s="8">
        <v>41124</v>
      </c>
      <c r="B3564">
        <v>709724.6</v>
      </c>
      <c r="C3564">
        <v>0</v>
      </c>
      <c r="D3564">
        <v>72.08</v>
      </c>
      <c r="E3564">
        <v>3.6539999999999999</v>
      </c>
      <c r="F3564">
        <v>214.74335139999999</v>
      </c>
      <c r="G3564">
        <v>7.28</v>
      </c>
      <c r="N3564" s="8"/>
    </row>
    <row r="3565" spans="1:14" x14ac:dyDescent="0.25">
      <c r="A3565" s="8">
        <v>41131</v>
      </c>
      <c r="B3565">
        <v>710496.97</v>
      </c>
      <c r="C3565">
        <v>0</v>
      </c>
      <c r="D3565">
        <v>71.930000000000007</v>
      </c>
      <c r="E3565">
        <v>3.722</v>
      </c>
      <c r="F3565">
        <v>214.7484595</v>
      </c>
      <c r="G3565">
        <v>7.28</v>
      </c>
      <c r="N3565" s="8"/>
    </row>
    <row r="3566" spans="1:14" x14ac:dyDescent="0.25">
      <c r="A3566" s="8">
        <v>41138</v>
      </c>
      <c r="B3566">
        <v>728467.72</v>
      </c>
      <c r="C3566">
        <v>0</v>
      </c>
      <c r="D3566">
        <v>66.989999999999995</v>
      </c>
      <c r="E3566">
        <v>3.8069999999999999</v>
      </c>
      <c r="F3566">
        <v>214.82557800000001</v>
      </c>
      <c r="G3566">
        <v>7.28</v>
      </c>
      <c r="N3566" s="8"/>
    </row>
    <row r="3567" spans="1:14" x14ac:dyDescent="0.25">
      <c r="A3567" s="8">
        <v>41145</v>
      </c>
      <c r="B3567">
        <v>756527.64</v>
      </c>
      <c r="C3567">
        <v>0</v>
      </c>
      <c r="D3567">
        <v>64.53</v>
      </c>
      <c r="E3567">
        <v>3.8340000000000001</v>
      </c>
      <c r="F3567">
        <v>214.95670440000001</v>
      </c>
      <c r="G3567">
        <v>7.28</v>
      </c>
      <c r="N3567" s="8"/>
    </row>
    <row r="3568" spans="1:14" x14ac:dyDescent="0.25">
      <c r="A3568" s="8">
        <v>41152</v>
      </c>
      <c r="B3568">
        <v>714828.73</v>
      </c>
      <c r="C3568">
        <v>0</v>
      </c>
      <c r="D3568">
        <v>68.55</v>
      </c>
      <c r="E3568">
        <v>3.867</v>
      </c>
      <c r="F3568">
        <v>215.0878309</v>
      </c>
      <c r="G3568">
        <v>7.28</v>
      </c>
      <c r="N3568" s="8"/>
    </row>
    <row r="3569" spans="1:14" x14ac:dyDescent="0.25">
      <c r="A3569" s="8">
        <v>41159</v>
      </c>
      <c r="B3569">
        <v>671482.9</v>
      </c>
      <c r="C3569">
        <v>1</v>
      </c>
      <c r="D3569">
        <v>72.790000000000006</v>
      </c>
      <c r="E3569">
        <v>3.911</v>
      </c>
      <c r="F3569">
        <v>215.2189573</v>
      </c>
      <c r="G3569">
        <v>7.28</v>
      </c>
      <c r="N3569" s="8"/>
    </row>
    <row r="3570" spans="1:14" x14ac:dyDescent="0.25">
      <c r="A3570" s="8">
        <v>41166</v>
      </c>
      <c r="B3570">
        <v>657241.63</v>
      </c>
      <c r="C3570">
        <v>0</v>
      </c>
      <c r="D3570">
        <v>60.9</v>
      </c>
      <c r="E3570">
        <v>3.948</v>
      </c>
      <c r="F3570">
        <v>215.35837570000001</v>
      </c>
      <c r="G3570">
        <v>7.28</v>
      </c>
      <c r="N3570" s="8"/>
    </row>
    <row r="3571" spans="1:14" x14ac:dyDescent="0.25">
      <c r="A3571" s="8">
        <v>41173</v>
      </c>
      <c r="B3571">
        <v>664745.19999999995</v>
      </c>
      <c r="C3571">
        <v>0</v>
      </c>
      <c r="D3571">
        <v>57.6</v>
      </c>
      <c r="E3571">
        <v>4.0380000000000003</v>
      </c>
      <c r="F3571">
        <v>215.54754589999999</v>
      </c>
      <c r="G3571">
        <v>7.28</v>
      </c>
      <c r="N3571" s="8"/>
    </row>
    <row r="3572" spans="1:14" x14ac:dyDescent="0.25">
      <c r="A3572" s="8">
        <v>41180</v>
      </c>
      <c r="B3572">
        <v>683300.84</v>
      </c>
      <c r="C3572">
        <v>0</v>
      </c>
      <c r="D3572">
        <v>54.52</v>
      </c>
      <c r="E3572">
        <v>3.9969999999999999</v>
      </c>
      <c r="F3572">
        <v>215.73671619999999</v>
      </c>
      <c r="G3572">
        <v>7.28</v>
      </c>
      <c r="N3572" s="8"/>
    </row>
    <row r="3573" spans="1:14" x14ac:dyDescent="0.25">
      <c r="A3573" s="8">
        <v>41187</v>
      </c>
      <c r="B3573">
        <v>699536.73</v>
      </c>
      <c r="C3573">
        <v>0</v>
      </c>
      <c r="D3573">
        <v>57.58</v>
      </c>
      <c r="E3573">
        <v>3.9849999999999999</v>
      </c>
      <c r="F3573">
        <v>215.92588649999999</v>
      </c>
      <c r="G3573">
        <v>7.2930000000000001</v>
      </c>
      <c r="N3573" s="8"/>
    </row>
    <row r="3574" spans="1:14" x14ac:dyDescent="0.25">
      <c r="A3574" s="8">
        <v>41194</v>
      </c>
      <c r="B3574">
        <v>697317.41</v>
      </c>
      <c r="C3574">
        <v>0</v>
      </c>
      <c r="D3574">
        <v>43.74</v>
      </c>
      <c r="E3574">
        <v>4</v>
      </c>
      <c r="F3574">
        <v>216.11505679999999</v>
      </c>
      <c r="G3574">
        <v>7.2930000000000001</v>
      </c>
      <c r="N3574" s="8"/>
    </row>
    <row r="3575" spans="1:14" x14ac:dyDescent="0.25">
      <c r="A3575" s="8">
        <v>41201</v>
      </c>
      <c r="B3575">
        <v>685531.85</v>
      </c>
      <c r="C3575">
        <v>0</v>
      </c>
      <c r="D3575">
        <v>51.93</v>
      </c>
      <c r="E3575">
        <v>3.9689999999999999</v>
      </c>
      <c r="F3575">
        <v>216.1464699</v>
      </c>
      <c r="G3575">
        <v>7.2930000000000001</v>
      </c>
      <c r="N3575" s="8"/>
    </row>
    <row r="3576" spans="1:14" x14ac:dyDescent="0.25">
      <c r="A3576" s="8">
        <v>41208</v>
      </c>
      <c r="B3576">
        <v>688940.94</v>
      </c>
      <c r="C3576">
        <v>0</v>
      </c>
      <c r="D3576">
        <v>56.69</v>
      </c>
      <c r="E3576">
        <v>3.8820000000000001</v>
      </c>
      <c r="F3576">
        <v>216.15159019999999</v>
      </c>
      <c r="G3576">
        <v>7.2930000000000001</v>
      </c>
      <c r="N3576" s="8"/>
    </row>
    <row r="3577" spans="1:14" x14ac:dyDescent="0.25">
      <c r="A3577" s="8">
        <v>40214</v>
      </c>
      <c r="B3577">
        <v>1034119.21</v>
      </c>
      <c r="C3577">
        <v>0</v>
      </c>
      <c r="D3577">
        <v>9.5500000000000007</v>
      </c>
      <c r="E3577">
        <v>2.7879999999999998</v>
      </c>
      <c r="F3577">
        <v>131.5279032</v>
      </c>
      <c r="G3577">
        <v>8.4879999999999995</v>
      </c>
      <c r="N3577" s="8"/>
    </row>
    <row r="3578" spans="1:14" x14ac:dyDescent="0.25">
      <c r="A3578" s="8">
        <v>40221</v>
      </c>
      <c r="B3578">
        <v>1015684.09</v>
      </c>
      <c r="C3578">
        <v>1</v>
      </c>
      <c r="D3578">
        <v>18.14</v>
      </c>
      <c r="E3578">
        <v>2.7709999999999999</v>
      </c>
      <c r="F3578">
        <v>131.58661290000001</v>
      </c>
      <c r="G3578">
        <v>8.4879999999999995</v>
      </c>
      <c r="N3578" s="8"/>
    </row>
    <row r="3579" spans="1:14" x14ac:dyDescent="0.25">
      <c r="A3579" s="8">
        <v>40228</v>
      </c>
      <c r="B3579">
        <v>999348.55</v>
      </c>
      <c r="C3579">
        <v>0</v>
      </c>
      <c r="D3579">
        <v>22.62</v>
      </c>
      <c r="E3579">
        <v>2.7469999999999999</v>
      </c>
      <c r="F3579">
        <v>131.637</v>
      </c>
      <c r="G3579">
        <v>8.4879999999999995</v>
      </c>
      <c r="N3579" s="8"/>
    </row>
    <row r="3580" spans="1:14" x14ac:dyDescent="0.25">
      <c r="A3580" s="8">
        <v>40235</v>
      </c>
      <c r="B3580">
        <v>855385.01</v>
      </c>
      <c r="C3580">
        <v>0</v>
      </c>
      <c r="D3580">
        <v>27.32</v>
      </c>
      <c r="E3580">
        <v>2.7530000000000001</v>
      </c>
      <c r="F3580">
        <v>131.68600000000001</v>
      </c>
      <c r="G3580">
        <v>8.4879999999999995</v>
      </c>
      <c r="N3580" s="8"/>
    </row>
    <row r="3581" spans="1:14" x14ac:dyDescent="0.25">
      <c r="A3581" s="8">
        <v>40242</v>
      </c>
      <c r="B3581">
        <v>1005669.58</v>
      </c>
      <c r="C3581">
        <v>0</v>
      </c>
      <c r="D3581">
        <v>28.6</v>
      </c>
      <c r="E3581">
        <v>2.766</v>
      </c>
      <c r="F3581">
        <v>131.73500000000001</v>
      </c>
      <c r="G3581">
        <v>8.4879999999999995</v>
      </c>
      <c r="N3581" s="8"/>
    </row>
    <row r="3582" spans="1:14" x14ac:dyDescent="0.25">
      <c r="A3582" s="8">
        <v>40249</v>
      </c>
      <c r="B3582">
        <v>963382.09</v>
      </c>
      <c r="C3582">
        <v>0</v>
      </c>
      <c r="D3582">
        <v>31.1</v>
      </c>
      <c r="E3582">
        <v>2.8050000000000002</v>
      </c>
      <c r="F3582">
        <v>131.78399999999999</v>
      </c>
      <c r="G3582">
        <v>8.4879999999999995</v>
      </c>
      <c r="N3582" s="8"/>
    </row>
    <row r="3583" spans="1:14" x14ac:dyDescent="0.25">
      <c r="A3583" s="8">
        <v>40256</v>
      </c>
      <c r="B3583">
        <v>903366.55</v>
      </c>
      <c r="C3583">
        <v>0</v>
      </c>
      <c r="D3583">
        <v>35.340000000000003</v>
      </c>
      <c r="E3583">
        <v>2.8340000000000001</v>
      </c>
      <c r="F3583">
        <v>131.8242903</v>
      </c>
      <c r="G3583">
        <v>8.4879999999999995</v>
      </c>
      <c r="N3583" s="8"/>
    </row>
    <row r="3584" spans="1:14" x14ac:dyDescent="0.25">
      <c r="A3584" s="8">
        <v>40263</v>
      </c>
      <c r="B3584">
        <v>893613</v>
      </c>
      <c r="C3584">
        <v>0</v>
      </c>
      <c r="D3584">
        <v>35.26</v>
      </c>
      <c r="E3584">
        <v>2.831</v>
      </c>
      <c r="F3584">
        <v>131.86312899999999</v>
      </c>
      <c r="G3584">
        <v>8.4879999999999995</v>
      </c>
      <c r="N3584" s="8"/>
    </row>
    <row r="3585" spans="1:14" x14ac:dyDescent="0.25">
      <c r="A3585" s="8">
        <v>40270</v>
      </c>
      <c r="B3585">
        <v>1029849.2</v>
      </c>
      <c r="C3585">
        <v>0</v>
      </c>
      <c r="D3585">
        <v>36.53</v>
      </c>
      <c r="E3585">
        <v>2.8260000000000001</v>
      </c>
      <c r="F3585">
        <v>131.9019677</v>
      </c>
      <c r="G3585">
        <v>8.5120000000000005</v>
      </c>
      <c r="N3585" s="8"/>
    </row>
    <row r="3586" spans="1:14" x14ac:dyDescent="0.25">
      <c r="A3586" s="8">
        <v>40277</v>
      </c>
      <c r="B3586">
        <v>1022293.81</v>
      </c>
      <c r="C3586">
        <v>0</v>
      </c>
      <c r="D3586">
        <v>50.13</v>
      </c>
      <c r="E3586">
        <v>2.8490000000000002</v>
      </c>
      <c r="F3586">
        <v>131.94080650000001</v>
      </c>
      <c r="G3586">
        <v>8.5120000000000005</v>
      </c>
      <c r="N3586" s="8"/>
    </row>
    <row r="3587" spans="1:14" x14ac:dyDescent="0.25">
      <c r="A3587" s="8">
        <v>40284</v>
      </c>
      <c r="B3587">
        <v>905548.38</v>
      </c>
      <c r="C3587">
        <v>0</v>
      </c>
      <c r="D3587">
        <v>36.6</v>
      </c>
      <c r="E3587">
        <v>2.8849999999999998</v>
      </c>
      <c r="F3587">
        <v>131.98089999999999</v>
      </c>
      <c r="G3587">
        <v>8.5120000000000005</v>
      </c>
      <c r="N3587" s="8"/>
    </row>
    <row r="3588" spans="1:14" x14ac:dyDescent="0.25">
      <c r="A3588" s="8">
        <v>40291</v>
      </c>
      <c r="B3588">
        <v>881930.87</v>
      </c>
      <c r="C3588">
        <v>0</v>
      </c>
      <c r="D3588">
        <v>39.68</v>
      </c>
      <c r="E3588">
        <v>2.895</v>
      </c>
      <c r="F3588">
        <v>132.0226667</v>
      </c>
      <c r="G3588">
        <v>8.5120000000000005</v>
      </c>
      <c r="N3588" s="8"/>
    </row>
    <row r="3589" spans="1:14" x14ac:dyDescent="0.25">
      <c r="A3589" s="8">
        <v>40298</v>
      </c>
      <c r="B3589">
        <v>904503.85</v>
      </c>
      <c r="C3589">
        <v>0</v>
      </c>
      <c r="D3589">
        <v>40.56</v>
      </c>
      <c r="E3589">
        <v>2.9350000000000001</v>
      </c>
      <c r="F3589">
        <v>132.06443329999999</v>
      </c>
      <c r="G3589">
        <v>8.5120000000000005</v>
      </c>
      <c r="N3589" s="8"/>
    </row>
    <row r="3590" spans="1:14" x14ac:dyDescent="0.25">
      <c r="A3590" s="8">
        <v>40305</v>
      </c>
      <c r="B3590">
        <v>1074479.73</v>
      </c>
      <c r="C3590">
        <v>0</v>
      </c>
      <c r="D3590">
        <v>54.72</v>
      </c>
      <c r="E3590">
        <v>2.9809999999999999</v>
      </c>
      <c r="F3590">
        <v>132.1062</v>
      </c>
      <c r="G3590">
        <v>8.5120000000000005</v>
      </c>
      <c r="N3590" s="8"/>
    </row>
    <row r="3591" spans="1:14" x14ac:dyDescent="0.25">
      <c r="A3591" s="8">
        <v>40312</v>
      </c>
      <c r="B3591">
        <v>972663.59</v>
      </c>
      <c r="C3591">
        <v>0</v>
      </c>
      <c r="D3591">
        <v>39.08</v>
      </c>
      <c r="E3591">
        <v>2.9830000000000001</v>
      </c>
      <c r="F3591">
        <v>132.152129</v>
      </c>
      <c r="G3591">
        <v>8.5120000000000005</v>
      </c>
      <c r="N3591" s="8"/>
    </row>
    <row r="3592" spans="1:14" x14ac:dyDescent="0.25">
      <c r="A3592" s="8">
        <v>40319</v>
      </c>
      <c r="B3592">
        <v>986765.01</v>
      </c>
      <c r="C3592">
        <v>0</v>
      </c>
      <c r="D3592">
        <v>50.81</v>
      </c>
      <c r="E3592">
        <v>2.9609999999999999</v>
      </c>
      <c r="F3592">
        <v>132.2230323</v>
      </c>
      <c r="G3592">
        <v>8.5120000000000005</v>
      </c>
      <c r="N3592" s="8"/>
    </row>
    <row r="3593" spans="1:14" x14ac:dyDescent="0.25">
      <c r="A3593" s="8">
        <v>40326</v>
      </c>
      <c r="B3593">
        <v>1069851.5900000001</v>
      </c>
      <c r="C3593">
        <v>0</v>
      </c>
      <c r="D3593">
        <v>61.65</v>
      </c>
      <c r="E3593">
        <v>2.9060000000000001</v>
      </c>
      <c r="F3593">
        <v>132.2939355</v>
      </c>
      <c r="G3593">
        <v>8.5120000000000005</v>
      </c>
      <c r="N3593" s="8"/>
    </row>
    <row r="3594" spans="1:14" x14ac:dyDescent="0.25">
      <c r="A3594" s="8">
        <v>40333</v>
      </c>
      <c r="B3594">
        <v>1003202.66</v>
      </c>
      <c r="C3594">
        <v>0</v>
      </c>
      <c r="D3594">
        <v>58.46</v>
      </c>
      <c r="E3594">
        <v>2.8570000000000002</v>
      </c>
      <c r="F3594">
        <v>132.36483870000001</v>
      </c>
      <c r="G3594">
        <v>8.5120000000000005</v>
      </c>
      <c r="N3594" s="8"/>
    </row>
    <row r="3595" spans="1:14" x14ac:dyDescent="0.25">
      <c r="A3595" s="8">
        <v>40340</v>
      </c>
      <c r="B3595">
        <v>1073862.5900000001</v>
      </c>
      <c r="C3595">
        <v>0</v>
      </c>
      <c r="D3595">
        <v>51.62</v>
      </c>
      <c r="E3595">
        <v>2.83</v>
      </c>
      <c r="F3595">
        <v>132.43574190000001</v>
      </c>
      <c r="G3595">
        <v>8.5120000000000005</v>
      </c>
      <c r="N3595" s="8"/>
    </row>
    <row r="3596" spans="1:14" x14ac:dyDescent="0.25">
      <c r="A3596" s="8">
        <v>40347</v>
      </c>
      <c r="B3596">
        <v>1001286.67</v>
      </c>
      <c r="C3596">
        <v>0</v>
      </c>
      <c r="D3596">
        <v>53.62</v>
      </c>
      <c r="E3596">
        <v>2.8050000000000002</v>
      </c>
      <c r="F3596">
        <v>132.47333330000001</v>
      </c>
      <c r="G3596">
        <v>8.5120000000000005</v>
      </c>
      <c r="N3596" s="8"/>
    </row>
    <row r="3597" spans="1:14" x14ac:dyDescent="0.25">
      <c r="A3597" s="8">
        <v>40354</v>
      </c>
      <c r="B3597">
        <v>976242.09</v>
      </c>
      <c r="C3597">
        <v>0</v>
      </c>
      <c r="D3597">
        <v>63.78</v>
      </c>
      <c r="E3597">
        <v>2.81</v>
      </c>
      <c r="F3597">
        <v>132.49760000000001</v>
      </c>
      <c r="G3597">
        <v>8.5120000000000005</v>
      </c>
      <c r="N3597" s="8"/>
    </row>
    <row r="3598" spans="1:14" x14ac:dyDescent="0.25">
      <c r="A3598" s="8">
        <v>40361</v>
      </c>
      <c r="B3598">
        <v>1078455.48</v>
      </c>
      <c r="C3598">
        <v>0</v>
      </c>
      <c r="D3598">
        <v>58.9</v>
      </c>
      <c r="E3598">
        <v>2.8149999999999999</v>
      </c>
      <c r="F3598">
        <v>132.5218667</v>
      </c>
      <c r="G3598">
        <v>8.4450000000000003</v>
      </c>
      <c r="N3598" s="8"/>
    </row>
    <row r="3599" spans="1:14" x14ac:dyDescent="0.25">
      <c r="A3599" s="8">
        <v>40368</v>
      </c>
      <c r="B3599">
        <v>1122356.53</v>
      </c>
      <c r="C3599">
        <v>0</v>
      </c>
      <c r="D3599">
        <v>71.08</v>
      </c>
      <c r="E3599">
        <v>2.806</v>
      </c>
      <c r="F3599">
        <v>132.54613330000001</v>
      </c>
      <c r="G3599">
        <v>8.4450000000000003</v>
      </c>
      <c r="N3599" s="8"/>
    </row>
    <row r="3600" spans="1:14" x14ac:dyDescent="0.25">
      <c r="A3600" s="8">
        <v>40375</v>
      </c>
      <c r="B3600">
        <v>1028151.72</v>
      </c>
      <c r="C3600">
        <v>0</v>
      </c>
      <c r="D3600">
        <v>67.66</v>
      </c>
      <c r="E3600">
        <v>2.7959999999999998</v>
      </c>
      <c r="F3600">
        <v>132.5667742</v>
      </c>
      <c r="G3600">
        <v>8.4450000000000003</v>
      </c>
      <c r="N3600" s="8"/>
    </row>
    <row r="3601" spans="1:14" x14ac:dyDescent="0.25">
      <c r="A3601" s="8">
        <v>40382</v>
      </c>
      <c r="B3601">
        <v>971615.62</v>
      </c>
      <c r="C3601">
        <v>0</v>
      </c>
      <c r="D3601">
        <v>65.400000000000006</v>
      </c>
      <c r="E3601">
        <v>2.7839999999999998</v>
      </c>
      <c r="F3601">
        <v>132.5825806</v>
      </c>
      <c r="G3601">
        <v>8.4450000000000003</v>
      </c>
      <c r="N3601" s="8"/>
    </row>
    <row r="3602" spans="1:14" x14ac:dyDescent="0.25">
      <c r="A3602" s="8">
        <v>40389</v>
      </c>
      <c r="B3602">
        <v>1005324.28</v>
      </c>
      <c r="C3602">
        <v>0</v>
      </c>
      <c r="D3602">
        <v>63.79</v>
      </c>
      <c r="E3602">
        <v>2.7919999999999998</v>
      </c>
      <c r="F3602">
        <v>132.5983871</v>
      </c>
      <c r="G3602">
        <v>8.4450000000000003</v>
      </c>
      <c r="N3602" s="8"/>
    </row>
    <row r="3603" spans="1:14" x14ac:dyDescent="0.25">
      <c r="A3603" s="8">
        <v>40396</v>
      </c>
      <c r="B3603">
        <v>1125329.77</v>
      </c>
      <c r="C3603">
        <v>0</v>
      </c>
      <c r="D3603">
        <v>62.93</v>
      </c>
      <c r="E3603">
        <v>2.7919999999999998</v>
      </c>
      <c r="F3603">
        <v>132.6141935</v>
      </c>
      <c r="G3603">
        <v>8.4450000000000003</v>
      </c>
      <c r="N3603" s="8"/>
    </row>
    <row r="3604" spans="1:14" x14ac:dyDescent="0.25">
      <c r="A3604" s="8">
        <v>40403</v>
      </c>
      <c r="B3604">
        <v>1011938.29</v>
      </c>
      <c r="C3604">
        <v>0</v>
      </c>
      <c r="D3604">
        <v>61.58</v>
      </c>
      <c r="E3604">
        <v>2.81</v>
      </c>
      <c r="F3604">
        <v>132.63</v>
      </c>
      <c r="G3604">
        <v>8.4450000000000003</v>
      </c>
      <c r="N3604" s="8"/>
    </row>
    <row r="3605" spans="1:14" x14ac:dyDescent="0.25">
      <c r="A3605" s="8">
        <v>40410</v>
      </c>
      <c r="B3605">
        <v>1007385.36</v>
      </c>
      <c r="C3605">
        <v>0</v>
      </c>
      <c r="D3605">
        <v>62.68</v>
      </c>
      <c r="E3605">
        <v>2.7959999999999998</v>
      </c>
      <c r="F3605">
        <v>132.66161289999999</v>
      </c>
      <c r="G3605">
        <v>8.4450000000000003</v>
      </c>
      <c r="N3605" s="8"/>
    </row>
    <row r="3606" spans="1:14" x14ac:dyDescent="0.25">
      <c r="A3606" s="8">
        <v>40417</v>
      </c>
      <c r="B3606">
        <v>977322.52</v>
      </c>
      <c r="C3606">
        <v>0</v>
      </c>
      <c r="D3606">
        <v>57.23</v>
      </c>
      <c r="E3606">
        <v>2.77</v>
      </c>
      <c r="F3606">
        <v>132.69322579999999</v>
      </c>
      <c r="G3606">
        <v>8.4450000000000003</v>
      </c>
      <c r="N3606" s="8"/>
    </row>
    <row r="3607" spans="1:14" x14ac:dyDescent="0.25">
      <c r="A3607" s="8">
        <v>40424</v>
      </c>
      <c r="B3607">
        <v>1037549.71</v>
      </c>
      <c r="C3607">
        <v>0</v>
      </c>
      <c r="D3607">
        <v>66.930000000000007</v>
      </c>
      <c r="E3607">
        <v>2.7349999999999999</v>
      </c>
      <c r="F3607">
        <v>132.72483869999999</v>
      </c>
      <c r="G3607">
        <v>8.4450000000000003</v>
      </c>
      <c r="N3607" s="8"/>
    </row>
    <row r="3608" spans="1:14" x14ac:dyDescent="0.25">
      <c r="A3608" s="8">
        <v>40431</v>
      </c>
      <c r="B3608">
        <v>1042226.3</v>
      </c>
      <c r="C3608">
        <v>1</v>
      </c>
      <c r="D3608">
        <v>54.82</v>
      </c>
      <c r="E3608">
        <v>2.7170000000000001</v>
      </c>
      <c r="F3608">
        <v>132.75645159999999</v>
      </c>
      <c r="G3608">
        <v>8.4450000000000003</v>
      </c>
      <c r="N3608" s="8"/>
    </row>
    <row r="3609" spans="1:14" x14ac:dyDescent="0.25">
      <c r="A3609" s="8">
        <v>40438</v>
      </c>
      <c r="B3609">
        <v>923473.7</v>
      </c>
      <c r="C3609">
        <v>0</v>
      </c>
      <c r="D3609">
        <v>50.08</v>
      </c>
      <c r="E3609">
        <v>2.7160000000000002</v>
      </c>
      <c r="F3609">
        <v>132.76706669999999</v>
      </c>
      <c r="G3609">
        <v>8.4450000000000003</v>
      </c>
      <c r="N3609" s="8"/>
    </row>
    <row r="3610" spans="1:14" x14ac:dyDescent="0.25">
      <c r="A3610" s="8">
        <v>40445</v>
      </c>
      <c r="B3610">
        <v>868636.3</v>
      </c>
      <c r="C3610">
        <v>0</v>
      </c>
      <c r="D3610">
        <v>52.47</v>
      </c>
      <c r="E3610">
        <v>2.718</v>
      </c>
      <c r="F3610">
        <v>132.76193330000001</v>
      </c>
      <c r="G3610">
        <v>8.4450000000000003</v>
      </c>
      <c r="N3610" s="8"/>
    </row>
    <row r="3611" spans="1:14" x14ac:dyDescent="0.25">
      <c r="A3611" s="8">
        <v>40452</v>
      </c>
      <c r="B3611">
        <v>923221.52</v>
      </c>
      <c r="C3611">
        <v>0</v>
      </c>
      <c r="D3611">
        <v>57.8</v>
      </c>
      <c r="E3611">
        <v>2.7170000000000001</v>
      </c>
      <c r="F3611">
        <v>132.7568</v>
      </c>
      <c r="G3611">
        <v>8.1489999999999991</v>
      </c>
      <c r="N3611" s="8"/>
    </row>
    <row r="3612" spans="1:14" x14ac:dyDescent="0.25">
      <c r="A3612" s="8">
        <v>40459</v>
      </c>
      <c r="B3612">
        <v>1001069.52</v>
      </c>
      <c r="C3612">
        <v>0</v>
      </c>
      <c r="D3612">
        <v>46.81</v>
      </c>
      <c r="E3612">
        <v>2.7759999999999998</v>
      </c>
      <c r="F3612">
        <v>132.75166669999999</v>
      </c>
      <c r="G3612">
        <v>8.1489999999999991</v>
      </c>
      <c r="N3612" s="8"/>
    </row>
    <row r="3613" spans="1:14" x14ac:dyDescent="0.25">
      <c r="A3613" s="8">
        <v>40466</v>
      </c>
      <c r="B3613">
        <v>937956.89</v>
      </c>
      <c r="C3613">
        <v>0</v>
      </c>
      <c r="D3613">
        <v>39.93</v>
      </c>
      <c r="E3613">
        <v>2.8780000000000001</v>
      </c>
      <c r="F3613">
        <v>132.7633548</v>
      </c>
      <c r="G3613">
        <v>8.1489999999999991</v>
      </c>
      <c r="N3613" s="8"/>
    </row>
    <row r="3614" spans="1:14" x14ac:dyDescent="0.25">
      <c r="A3614" s="8">
        <v>40473</v>
      </c>
      <c r="B3614">
        <v>916522.66</v>
      </c>
      <c r="C3614">
        <v>0</v>
      </c>
      <c r="D3614">
        <v>36.130000000000003</v>
      </c>
      <c r="E3614">
        <v>2.919</v>
      </c>
      <c r="F3614">
        <v>132.8170968</v>
      </c>
      <c r="G3614">
        <v>8.1489999999999991</v>
      </c>
      <c r="N3614" s="8"/>
    </row>
    <row r="3615" spans="1:14" x14ac:dyDescent="0.25">
      <c r="A3615" s="8">
        <v>40480</v>
      </c>
      <c r="B3615">
        <v>895069.88</v>
      </c>
      <c r="C3615">
        <v>0</v>
      </c>
      <c r="D3615">
        <v>40.299999999999997</v>
      </c>
      <c r="E3615">
        <v>2.9380000000000002</v>
      </c>
      <c r="F3615">
        <v>132.87083870000001</v>
      </c>
      <c r="G3615">
        <v>8.1489999999999991</v>
      </c>
      <c r="N3615" s="8"/>
    </row>
    <row r="3616" spans="1:14" x14ac:dyDescent="0.25">
      <c r="A3616" s="8">
        <v>40487</v>
      </c>
      <c r="B3616">
        <v>970224.51</v>
      </c>
      <c r="C3616">
        <v>0</v>
      </c>
      <c r="D3616">
        <v>30.51</v>
      </c>
      <c r="E3616">
        <v>2.9380000000000002</v>
      </c>
      <c r="F3616">
        <v>132.92458060000001</v>
      </c>
      <c r="G3616">
        <v>8.1489999999999991</v>
      </c>
      <c r="N3616" s="8"/>
    </row>
    <row r="3617" spans="1:14" x14ac:dyDescent="0.25">
      <c r="A3617" s="8">
        <v>40494</v>
      </c>
      <c r="B3617">
        <v>971193.01</v>
      </c>
      <c r="C3617">
        <v>0</v>
      </c>
      <c r="D3617">
        <v>37.51</v>
      </c>
      <c r="E3617">
        <v>2.9609999999999999</v>
      </c>
      <c r="F3617">
        <v>132.97832260000001</v>
      </c>
      <c r="G3617">
        <v>8.1489999999999991</v>
      </c>
      <c r="N3617" s="8"/>
    </row>
    <row r="3618" spans="1:14" x14ac:dyDescent="0.25">
      <c r="A3618" s="8">
        <v>40501</v>
      </c>
      <c r="B3618">
        <v>901972.7</v>
      </c>
      <c r="C3618">
        <v>0</v>
      </c>
      <c r="D3618">
        <v>36.729999999999997</v>
      </c>
      <c r="E3618">
        <v>3.03</v>
      </c>
      <c r="F3618">
        <v>132.91720000000001</v>
      </c>
      <c r="G3618">
        <v>8.1489999999999991</v>
      </c>
      <c r="N3618" s="8"/>
    </row>
    <row r="3619" spans="1:14" x14ac:dyDescent="0.25">
      <c r="A3619" s="8">
        <v>40508</v>
      </c>
      <c r="B3619">
        <v>1286833.6200000001</v>
      </c>
      <c r="C3619">
        <v>1</v>
      </c>
      <c r="D3619">
        <v>28.11</v>
      </c>
      <c r="E3619">
        <v>3.07</v>
      </c>
      <c r="F3619">
        <v>132.8369333</v>
      </c>
      <c r="G3619">
        <v>8.1489999999999991</v>
      </c>
      <c r="N3619" s="8"/>
    </row>
    <row r="3620" spans="1:14" x14ac:dyDescent="0.25">
      <c r="A3620" s="8">
        <v>40515</v>
      </c>
      <c r="B3620">
        <v>1016143.64</v>
      </c>
      <c r="C3620">
        <v>0</v>
      </c>
      <c r="D3620">
        <v>27.73</v>
      </c>
      <c r="E3620">
        <v>3.0649999999999999</v>
      </c>
      <c r="F3620">
        <v>132.75666670000001</v>
      </c>
      <c r="G3620">
        <v>8.1489999999999991</v>
      </c>
      <c r="N3620" s="8"/>
    </row>
    <row r="3621" spans="1:14" x14ac:dyDescent="0.25">
      <c r="A3621" s="8">
        <v>40522</v>
      </c>
      <c r="B3621">
        <v>1149612.04</v>
      </c>
      <c r="C3621">
        <v>0</v>
      </c>
      <c r="D3621">
        <v>16.600000000000001</v>
      </c>
      <c r="E3621">
        <v>3.1320000000000001</v>
      </c>
      <c r="F3621">
        <v>132.6764</v>
      </c>
      <c r="G3621">
        <v>8.1489999999999991</v>
      </c>
      <c r="N3621" s="8"/>
    </row>
    <row r="3622" spans="1:14" x14ac:dyDescent="0.25">
      <c r="A3622" s="8">
        <v>40529</v>
      </c>
      <c r="B3622">
        <v>1196813.33</v>
      </c>
      <c r="C3622">
        <v>0</v>
      </c>
      <c r="D3622">
        <v>20.61</v>
      </c>
      <c r="E3622">
        <v>3.1389999999999998</v>
      </c>
      <c r="F3622">
        <v>132.6804516</v>
      </c>
      <c r="G3622">
        <v>8.1489999999999991</v>
      </c>
      <c r="N3622" s="8"/>
    </row>
    <row r="3623" spans="1:14" x14ac:dyDescent="0.25">
      <c r="A3623" s="8">
        <v>40536</v>
      </c>
      <c r="B3623">
        <v>1573982.47</v>
      </c>
      <c r="C3623">
        <v>0</v>
      </c>
      <c r="D3623">
        <v>21.81</v>
      </c>
      <c r="E3623">
        <v>3.15</v>
      </c>
      <c r="F3623">
        <v>132.74774189999999</v>
      </c>
      <c r="G3623">
        <v>8.1489999999999991</v>
      </c>
      <c r="N3623" s="8"/>
    </row>
    <row r="3624" spans="1:14" x14ac:dyDescent="0.25">
      <c r="A3624" s="8">
        <v>40543</v>
      </c>
      <c r="B3624">
        <v>877268.29</v>
      </c>
      <c r="C3624">
        <v>1</v>
      </c>
      <c r="D3624">
        <v>18.73</v>
      </c>
      <c r="E3624">
        <v>3.177</v>
      </c>
      <c r="F3624">
        <v>132.81503230000001</v>
      </c>
      <c r="G3624">
        <v>8.1489999999999991</v>
      </c>
      <c r="N3624" s="8"/>
    </row>
    <row r="3625" spans="1:14" x14ac:dyDescent="0.25">
      <c r="A3625" s="8">
        <v>40550</v>
      </c>
      <c r="B3625">
        <v>938149.21</v>
      </c>
      <c r="C3625">
        <v>0</v>
      </c>
      <c r="D3625">
        <v>21.13</v>
      </c>
      <c r="E3625">
        <v>3.1930000000000001</v>
      </c>
      <c r="F3625">
        <v>132.88232260000001</v>
      </c>
      <c r="G3625">
        <v>7.907</v>
      </c>
      <c r="N3625" s="8"/>
    </row>
    <row r="3626" spans="1:14" x14ac:dyDescent="0.25">
      <c r="A3626" s="8">
        <v>40557</v>
      </c>
      <c r="B3626">
        <v>812323.29</v>
      </c>
      <c r="C3626">
        <v>0</v>
      </c>
      <c r="D3626">
        <v>16.7</v>
      </c>
      <c r="E3626">
        <v>3.2149999999999999</v>
      </c>
      <c r="F3626">
        <v>132.9510645</v>
      </c>
      <c r="G3626">
        <v>7.907</v>
      </c>
      <c r="N3626" s="8"/>
    </row>
    <row r="3627" spans="1:14" x14ac:dyDescent="0.25">
      <c r="A3627" s="8">
        <v>40564</v>
      </c>
      <c r="B3627">
        <v>809833.21</v>
      </c>
      <c r="C3627">
        <v>0</v>
      </c>
      <c r="D3627">
        <v>12.98</v>
      </c>
      <c r="E3627">
        <v>3.2320000000000002</v>
      </c>
      <c r="F3627">
        <v>133.02851609999999</v>
      </c>
      <c r="G3627">
        <v>7.907</v>
      </c>
      <c r="N3627" s="8"/>
    </row>
    <row r="3628" spans="1:14" x14ac:dyDescent="0.25">
      <c r="A3628" s="8">
        <v>40571</v>
      </c>
      <c r="B3628">
        <v>817485.14</v>
      </c>
      <c r="C3628">
        <v>0</v>
      </c>
      <c r="D3628">
        <v>5.54</v>
      </c>
      <c r="E3628">
        <v>3.2429999999999999</v>
      </c>
      <c r="F3628">
        <v>133.10596770000001</v>
      </c>
      <c r="G3628">
        <v>7.907</v>
      </c>
      <c r="N3628" s="8"/>
    </row>
    <row r="3629" spans="1:14" x14ac:dyDescent="0.25">
      <c r="A3629" s="8">
        <v>40578</v>
      </c>
      <c r="B3629">
        <v>911807.02</v>
      </c>
      <c r="C3629">
        <v>0</v>
      </c>
      <c r="D3629">
        <v>11.17</v>
      </c>
      <c r="E3629">
        <v>3.24</v>
      </c>
      <c r="F3629">
        <v>133.18341939999999</v>
      </c>
      <c r="G3629">
        <v>7.907</v>
      </c>
      <c r="N3629" s="8"/>
    </row>
    <row r="3630" spans="1:14" x14ac:dyDescent="0.25">
      <c r="A3630" s="8">
        <v>40585</v>
      </c>
      <c r="B3630">
        <v>1010711.08</v>
      </c>
      <c r="C3630">
        <v>1</v>
      </c>
      <c r="D3630">
        <v>15.12</v>
      </c>
      <c r="E3630">
        <v>3.2549999999999999</v>
      </c>
      <c r="F3630">
        <v>133.26087100000001</v>
      </c>
      <c r="G3630">
        <v>7.907</v>
      </c>
      <c r="N3630" s="8"/>
    </row>
    <row r="3631" spans="1:14" x14ac:dyDescent="0.25">
      <c r="A3631" s="8">
        <v>40592</v>
      </c>
      <c r="B3631">
        <v>981978.02</v>
      </c>
      <c r="C3631">
        <v>0</v>
      </c>
      <c r="D3631">
        <v>19.63</v>
      </c>
      <c r="E3631">
        <v>3.2629999999999999</v>
      </c>
      <c r="F3631">
        <v>133.37014289999999</v>
      </c>
      <c r="G3631">
        <v>7.907</v>
      </c>
      <c r="N3631" s="8"/>
    </row>
    <row r="3632" spans="1:14" x14ac:dyDescent="0.25">
      <c r="A3632" s="8">
        <v>40599</v>
      </c>
      <c r="B3632">
        <v>910298.44</v>
      </c>
      <c r="C3632">
        <v>0</v>
      </c>
      <c r="D3632">
        <v>16.3</v>
      </c>
      <c r="E3632">
        <v>3.2810000000000001</v>
      </c>
      <c r="F3632">
        <v>133.4921429</v>
      </c>
      <c r="G3632">
        <v>7.907</v>
      </c>
      <c r="N3632" s="8"/>
    </row>
    <row r="3633" spans="1:14" x14ac:dyDescent="0.25">
      <c r="A3633" s="8">
        <v>40606</v>
      </c>
      <c r="B3633">
        <v>945643.17</v>
      </c>
      <c r="C3633">
        <v>0</v>
      </c>
      <c r="D3633">
        <v>14.31</v>
      </c>
      <c r="E3633">
        <v>3.4369999999999998</v>
      </c>
      <c r="F3633">
        <v>133.61414289999999</v>
      </c>
      <c r="G3633">
        <v>7.907</v>
      </c>
      <c r="N3633" s="8"/>
    </row>
    <row r="3634" spans="1:14" x14ac:dyDescent="0.25">
      <c r="A3634" s="8">
        <v>40613</v>
      </c>
      <c r="B3634">
        <v>946614.55</v>
      </c>
      <c r="C3634">
        <v>0</v>
      </c>
      <c r="D3634">
        <v>28.13</v>
      </c>
      <c r="E3634">
        <v>3.6</v>
      </c>
      <c r="F3634">
        <v>133.7361429</v>
      </c>
      <c r="G3634">
        <v>7.907</v>
      </c>
      <c r="N3634" s="8"/>
    </row>
    <row r="3635" spans="1:14" x14ac:dyDescent="0.25">
      <c r="A3635" s="8">
        <v>40620</v>
      </c>
      <c r="B3635">
        <v>887426.12</v>
      </c>
      <c r="C3635">
        <v>0</v>
      </c>
      <c r="D3635">
        <v>31.76</v>
      </c>
      <c r="E3635">
        <v>3.6339999999999999</v>
      </c>
      <c r="F3635">
        <v>133.8492258</v>
      </c>
      <c r="G3635">
        <v>7.907</v>
      </c>
      <c r="N3635" s="8"/>
    </row>
    <row r="3636" spans="1:14" x14ac:dyDescent="0.25">
      <c r="A3636" s="8">
        <v>40627</v>
      </c>
      <c r="B3636">
        <v>866566.54</v>
      </c>
      <c r="C3636">
        <v>0</v>
      </c>
      <c r="D3636">
        <v>22.99</v>
      </c>
      <c r="E3636">
        <v>3.6240000000000001</v>
      </c>
      <c r="F3636">
        <v>133.95874190000001</v>
      </c>
      <c r="G3636">
        <v>7.907</v>
      </c>
      <c r="N3636" s="8"/>
    </row>
    <row r="3637" spans="1:14" x14ac:dyDescent="0.25">
      <c r="A3637" s="8">
        <v>40634</v>
      </c>
      <c r="B3637">
        <v>849231.61</v>
      </c>
      <c r="C3637">
        <v>0</v>
      </c>
      <c r="D3637">
        <v>22.99</v>
      </c>
      <c r="E3637">
        <v>3.6379999999999999</v>
      </c>
      <c r="F3637">
        <v>134.06825810000001</v>
      </c>
      <c r="G3637">
        <v>7.8179999999999996</v>
      </c>
      <c r="N3637" s="8"/>
    </row>
    <row r="3638" spans="1:14" x14ac:dyDescent="0.25">
      <c r="A3638" s="8">
        <v>40641</v>
      </c>
      <c r="B3638">
        <v>985229.81</v>
      </c>
      <c r="C3638">
        <v>0</v>
      </c>
      <c r="D3638">
        <v>29.09</v>
      </c>
      <c r="E3638">
        <v>3.72</v>
      </c>
      <c r="F3638">
        <v>134.17777419999999</v>
      </c>
      <c r="G3638">
        <v>7.8179999999999996</v>
      </c>
      <c r="N3638" s="8"/>
    </row>
    <row r="3639" spans="1:14" x14ac:dyDescent="0.25">
      <c r="A3639" s="8">
        <v>40648</v>
      </c>
      <c r="B3639">
        <v>863266.12</v>
      </c>
      <c r="C3639">
        <v>0</v>
      </c>
      <c r="D3639">
        <v>39.46</v>
      </c>
      <c r="E3639">
        <v>3.823</v>
      </c>
      <c r="F3639">
        <v>134.2784667</v>
      </c>
      <c r="G3639">
        <v>7.8179999999999996</v>
      </c>
      <c r="N3639" s="8"/>
    </row>
    <row r="3640" spans="1:14" x14ac:dyDescent="0.25">
      <c r="A3640" s="8">
        <v>40655</v>
      </c>
      <c r="B3640">
        <v>921700.61</v>
      </c>
      <c r="C3640">
        <v>0</v>
      </c>
      <c r="D3640">
        <v>33.81</v>
      </c>
      <c r="E3640">
        <v>3.919</v>
      </c>
      <c r="F3640">
        <v>134.3571</v>
      </c>
      <c r="G3640">
        <v>7.8179999999999996</v>
      </c>
      <c r="N3640" s="8"/>
    </row>
    <row r="3641" spans="1:14" x14ac:dyDescent="0.25">
      <c r="A3641" s="8">
        <v>40662</v>
      </c>
      <c r="B3641">
        <v>873450.29</v>
      </c>
      <c r="C3641">
        <v>0</v>
      </c>
      <c r="D3641">
        <v>47.17</v>
      </c>
      <c r="E3641">
        <v>3.988</v>
      </c>
      <c r="F3641">
        <v>134.43573330000001</v>
      </c>
      <c r="G3641">
        <v>7.8179999999999996</v>
      </c>
      <c r="N3641" s="8"/>
    </row>
    <row r="3642" spans="1:14" x14ac:dyDescent="0.25">
      <c r="A3642" s="8">
        <v>40669</v>
      </c>
      <c r="B3642">
        <v>1024778.23</v>
      </c>
      <c r="C3642">
        <v>0</v>
      </c>
      <c r="D3642">
        <v>45</v>
      </c>
      <c r="E3642">
        <v>4.0780000000000003</v>
      </c>
      <c r="F3642">
        <v>134.51436670000001</v>
      </c>
      <c r="G3642">
        <v>7.8179999999999996</v>
      </c>
      <c r="N3642" s="8"/>
    </row>
    <row r="3643" spans="1:14" x14ac:dyDescent="0.25">
      <c r="A3643" s="8">
        <v>40676</v>
      </c>
      <c r="B3643">
        <v>941008.85</v>
      </c>
      <c r="C3643">
        <v>0</v>
      </c>
      <c r="D3643">
        <v>48.2</v>
      </c>
      <c r="E3643">
        <v>4.0949999999999998</v>
      </c>
      <c r="F3643">
        <v>134.59299999999999</v>
      </c>
      <c r="G3643">
        <v>7.8179999999999996</v>
      </c>
      <c r="N3643" s="8"/>
    </row>
    <row r="3644" spans="1:14" x14ac:dyDescent="0.25">
      <c r="A3644" s="8">
        <v>40683</v>
      </c>
      <c r="B3644">
        <v>938334.62</v>
      </c>
      <c r="C3644">
        <v>0</v>
      </c>
      <c r="D3644">
        <v>48.86</v>
      </c>
      <c r="E3644">
        <v>4.101</v>
      </c>
      <c r="F3644">
        <v>134.68038709999999</v>
      </c>
      <c r="G3644">
        <v>7.8179999999999996</v>
      </c>
      <c r="N3644" s="8"/>
    </row>
    <row r="3645" spans="1:14" x14ac:dyDescent="0.25">
      <c r="A3645" s="8">
        <v>40690</v>
      </c>
      <c r="B3645">
        <v>996723.58</v>
      </c>
      <c r="C3645">
        <v>0</v>
      </c>
      <c r="D3645">
        <v>56.74</v>
      </c>
      <c r="E3645">
        <v>4.0339999999999998</v>
      </c>
      <c r="F3645">
        <v>134.76777419999999</v>
      </c>
      <c r="G3645">
        <v>7.8179999999999996</v>
      </c>
      <c r="N3645" s="8"/>
    </row>
    <row r="3646" spans="1:14" x14ac:dyDescent="0.25">
      <c r="A3646" s="8">
        <v>40697</v>
      </c>
      <c r="B3646">
        <v>1054454.3999999999</v>
      </c>
      <c r="C3646">
        <v>0</v>
      </c>
      <c r="D3646">
        <v>60.49</v>
      </c>
      <c r="E3646">
        <v>3.9729999999999999</v>
      </c>
      <c r="F3646">
        <v>134.85516129999999</v>
      </c>
      <c r="G3646">
        <v>7.8179999999999996</v>
      </c>
      <c r="N3646" s="8"/>
    </row>
    <row r="3647" spans="1:14" x14ac:dyDescent="0.25">
      <c r="A3647" s="8">
        <v>40704</v>
      </c>
      <c r="B3647">
        <v>1094058.68</v>
      </c>
      <c r="C3647">
        <v>0</v>
      </c>
      <c r="D3647">
        <v>59.85</v>
      </c>
      <c r="E3647">
        <v>3.9239999999999999</v>
      </c>
      <c r="F3647">
        <v>134.94254839999999</v>
      </c>
      <c r="G3647">
        <v>7.8179999999999996</v>
      </c>
      <c r="N3647" s="8"/>
    </row>
    <row r="3648" spans="1:14" x14ac:dyDescent="0.25">
      <c r="A3648" s="8">
        <v>40711</v>
      </c>
      <c r="B3648">
        <v>981646.46</v>
      </c>
      <c r="C3648">
        <v>0</v>
      </c>
      <c r="D3648">
        <v>54.5</v>
      </c>
      <c r="E3648">
        <v>3.8730000000000002</v>
      </c>
      <c r="F3648">
        <v>135.08373330000001</v>
      </c>
      <c r="G3648">
        <v>7.8179999999999996</v>
      </c>
      <c r="N3648" s="8"/>
    </row>
    <row r="3649" spans="1:14" x14ac:dyDescent="0.25">
      <c r="A3649" s="8">
        <v>40718</v>
      </c>
      <c r="B3649">
        <v>997474.93</v>
      </c>
      <c r="C3649">
        <v>0</v>
      </c>
      <c r="D3649">
        <v>56.94</v>
      </c>
      <c r="E3649">
        <v>3.851</v>
      </c>
      <c r="F3649">
        <v>135.26526670000001</v>
      </c>
      <c r="G3649">
        <v>7.8179999999999996</v>
      </c>
      <c r="N3649" s="8"/>
    </row>
    <row r="3650" spans="1:14" x14ac:dyDescent="0.25">
      <c r="A3650" s="8">
        <v>40725</v>
      </c>
      <c r="B3650">
        <v>1070119.0900000001</v>
      </c>
      <c r="C3650">
        <v>0</v>
      </c>
      <c r="D3650">
        <v>59.89</v>
      </c>
      <c r="E3650">
        <v>3.8149999999999999</v>
      </c>
      <c r="F3650">
        <v>135.4468</v>
      </c>
      <c r="G3650">
        <v>7.7670000000000003</v>
      </c>
      <c r="N3650" s="8"/>
    </row>
    <row r="3651" spans="1:14" x14ac:dyDescent="0.25">
      <c r="A3651" s="8">
        <v>40732</v>
      </c>
      <c r="B3651">
        <v>1133807.03</v>
      </c>
      <c r="C3651">
        <v>0</v>
      </c>
      <c r="D3651">
        <v>63.34</v>
      </c>
      <c r="E3651">
        <v>3.7839999999999998</v>
      </c>
      <c r="F3651">
        <v>135.62833330000001</v>
      </c>
      <c r="G3651">
        <v>7.7670000000000003</v>
      </c>
      <c r="N3651" s="8"/>
    </row>
    <row r="3652" spans="1:14" x14ac:dyDescent="0.25">
      <c r="A3652" s="8">
        <v>40739</v>
      </c>
      <c r="B3652">
        <v>1021534.7</v>
      </c>
      <c r="C3652">
        <v>0</v>
      </c>
      <c r="D3652">
        <v>64.430000000000007</v>
      </c>
      <c r="E3652">
        <v>3.827</v>
      </c>
      <c r="F3652">
        <v>135.7837419</v>
      </c>
      <c r="G3652">
        <v>7.7670000000000003</v>
      </c>
      <c r="N3652" s="8"/>
    </row>
    <row r="3653" spans="1:14" x14ac:dyDescent="0.25">
      <c r="A3653" s="8">
        <v>40746</v>
      </c>
      <c r="B3653">
        <v>1017867.8</v>
      </c>
      <c r="C3653">
        <v>0</v>
      </c>
      <c r="D3653">
        <v>69.52</v>
      </c>
      <c r="E3653">
        <v>3.8820000000000001</v>
      </c>
      <c r="F3653">
        <v>135.87383869999999</v>
      </c>
      <c r="G3653">
        <v>7.7670000000000003</v>
      </c>
      <c r="N3653" s="8"/>
    </row>
    <row r="3654" spans="1:14" x14ac:dyDescent="0.25">
      <c r="A3654" s="8">
        <v>40753</v>
      </c>
      <c r="B3654">
        <v>1005360.5</v>
      </c>
      <c r="C3654">
        <v>0</v>
      </c>
      <c r="D3654">
        <v>63.32</v>
      </c>
      <c r="E3654">
        <v>3.8980000000000001</v>
      </c>
      <c r="F3654">
        <v>135.96393549999999</v>
      </c>
      <c r="G3654">
        <v>7.7670000000000003</v>
      </c>
      <c r="N3654" s="8"/>
    </row>
    <row r="3655" spans="1:14" x14ac:dyDescent="0.25">
      <c r="A3655" s="8">
        <v>40760</v>
      </c>
      <c r="B3655">
        <v>1107552.43</v>
      </c>
      <c r="C3655">
        <v>0</v>
      </c>
      <c r="D3655">
        <v>63.16</v>
      </c>
      <c r="E3655">
        <v>3.903</v>
      </c>
      <c r="F3655">
        <v>136.05403229999999</v>
      </c>
      <c r="G3655">
        <v>7.7670000000000003</v>
      </c>
      <c r="N3655" s="8"/>
    </row>
    <row r="3656" spans="1:14" x14ac:dyDescent="0.25">
      <c r="A3656" s="8">
        <v>40767</v>
      </c>
      <c r="B3656">
        <v>1087644.5</v>
      </c>
      <c r="C3656">
        <v>0</v>
      </c>
      <c r="D3656">
        <v>62.99</v>
      </c>
      <c r="E3656">
        <v>3.88</v>
      </c>
      <c r="F3656">
        <v>136.14412899999999</v>
      </c>
      <c r="G3656">
        <v>7.7670000000000003</v>
      </c>
      <c r="N3656" s="8"/>
    </row>
    <row r="3657" spans="1:14" x14ac:dyDescent="0.25">
      <c r="A3657" s="8">
        <v>40774</v>
      </c>
      <c r="B3657">
        <v>1021766.75</v>
      </c>
      <c r="C3657">
        <v>0</v>
      </c>
      <c r="D3657">
        <v>60.58</v>
      </c>
      <c r="E3657">
        <v>3.82</v>
      </c>
      <c r="F3657">
        <v>136.18312900000001</v>
      </c>
      <c r="G3657">
        <v>7.7670000000000003</v>
      </c>
      <c r="N3657" s="8"/>
    </row>
    <row r="3658" spans="1:14" x14ac:dyDescent="0.25">
      <c r="A3658" s="8">
        <v>40781</v>
      </c>
      <c r="B3658">
        <v>1064617.6200000001</v>
      </c>
      <c r="C3658">
        <v>0</v>
      </c>
      <c r="D3658">
        <v>61.1</v>
      </c>
      <c r="E3658">
        <v>3.7959999999999998</v>
      </c>
      <c r="F3658">
        <v>136.21361289999999</v>
      </c>
      <c r="G3658">
        <v>7.7670000000000003</v>
      </c>
      <c r="N3658" s="8"/>
    </row>
    <row r="3659" spans="1:14" x14ac:dyDescent="0.25">
      <c r="A3659" s="8">
        <v>40788</v>
      </c>
      <c r="B3659">
        <v>1040143.14</v>
      </c>
      <c r="C3659">
        <v>0</v>
      </c>
      <c r="D3659">
        <v>59.67</v>
      </c>
      <c r="E3659">
        <v>3.7839999999999998</v>
      </c>
      <c r="F3659">
        <v>136.24409679999999</v>
      </c>
      <c r="G3659">
        <v>7.7670000000000003</v>
      </c>
      <c r="N3659" s="8"/>
    </row>
    <row r="3660" spans="1:14" x14ac:dyDescent="0.25">
      <c r="A3660" s="8">
        <v>40795</v>
      </c>
      <c r="B3660">
        <v>1069710.97</v>
      </c>
      <c r="C3660">
        <v>1</v>
      </c>
      <c r="D3660">
        <v>60.98</v>
      </c>
      <c r="E3660">
        <v>3.8090000000000002</v>
      </c>
      <c r="F3660">
        <v>136.27458060000001</v>
      </c>
      <c r="G3660">
        <v>7.7670000000000003</v>
      </c>
      <c r="N3660" s="8"/>
    </row>
    <row r="3661" spans="1:14" x14ac:dyDescent="0.25">
      <c r="A3661" s="8">
        <v>40802</v>
      </c>
      <c r="B3661">
        <v>951569.84</v>
      </c>
      <c r="C3661">
        <v>0</v>
      </c>
      <c r="D3661">
        <v>55.19</v>
      </c>
      <c r="E3661">
        <v>3.8090000000000002</v>
      </c>
      <c r="F3661">
        <v>136.31450000000001</v>
      </c>
      <c r="G3661">
        <v>7.7670000000000003</v>
      </c>
      <c r="N3661" s="8"/>
    </row>
    <row r="3662" spans="1:14" x14ac:dyDescent="0.25">
      <c r="A3662" s="8">
        <v>40809</v>
      </c>
      <c r="B3662">
        <v>923644.6</v>
      </c>
      <c r="C3662">
        <v>0</v>
      </c>
      <c r="D3662">
        <v>50.72</v>
      </c>
      <c r="E3662">
        <v>3.758</v>
      </c>
      <c r="F3662">
        <v>136.36699999999999</v>
      </c>
      <c r="G3662">
        <v>7.7670000000000003</v>
      </c>
      <c r="N3662" s="8"/>
    </row>
    <row r="3663" spans="1:14" x14ac:dyDescent="0.25">
      <c r="A3663" s="8">
        <v>40816</v>
      </c>
      <c r="B3663">
        <v>959339.51</v>
      </c>
      <c r="C3663">
        <v>0</v>
      </c>
      <c r="D3663">
        <v>59.42</v>
      </c>
      <c r="E3663">
        <v>3.6840000000000002</v>
      </c>
      <c r="F3663">
        <v>136.4195</v>
      </c>
      <c r="G3663">
        <v>7.7670000000000003</v>
      </c>
      <c r="N3663" s="8"/>
    </row>
    <row r="3664" spans="1:14" x14ac:dyDescent="0.25">
      <c r="A3664" s="8">
        <v>40823</v>
      </c>
      <c r="B3664">
        <v>1130022.99</v>
      </c>
      <c r="C3664">
        <v>0</v>
      </c>
      <c r="D3664">
        <v>46.84</v>
      </c>
      <c r="E3664">
        <v>3.633</v>
      </c>
      <c r="F3664">
        <v>136.47200000000001</v>
      </c>
      <c r="G3664">
        <v>7.5979999999999999</v>
      </c>
      <c r="N3664" s="8"/>
    </row>
    <row r="3665" spans="1:14" x14ac:dyDescent="0.25">
      <c r="A3665" s="8">
        <v>40830</v>
      </c>
      <c r="B3665">
        <v>987886.07999999996</v>
      </c>
      <c r="C3665">
        <v>0</v>
      </c>
      <c r="D3665">
        <v>53.91</v>
      </c>
      <c r="E3665">
        <v>3.5830000000000002</v>
      </c>
      <c r="F3665">
        <v>136.51509680000001</v>
      </c>
      <c r="G3665">
        <v>7.5979999999999999</v>
      </c>
      <c r="N3665" s="8"/>
    </row>
    <row r="3666" spans="1:14" x14ac:dyDescent="0.25">
      <c r="A3666" s="8">
        <v>40837</v>
      </c>
      <c r="B3666">
        <v>974907.28</v>
      </c>
      <c r="C3666">
        <v>0</v>
      </c>
      <c r="D3666">
        <v>45.23</v>
      </c>
      <c r="E3666">
        <v>3.6179999999999999</v>
      </c>
      <c r="F3666">
        <v>136.5017742</v>
      </c>
      <c r="G3666">
        <v>7.5979999999999999</v>
      </c>
      <c r="N3666" s="8"/>
    </row>
    <row r="3667" spans="1:14" x14ac:dyDescent="0.25">
      <c r="A3667" s="8">
        <v>40844</v>
      </c>
      <c r="B3667">
        <v>972256.98</v>
      </c>
      <c r="C3667">
        <v>0</v>
      </c>
      <c r="D3667">
        <v>35.06</v>
      </c>
      <c r="E3667">
        <v>3.6040000000000001</v>
      </c>
      <c r="F3667">
        <v>136.48845159999999</v>
      </c>
      <c r="G3667">
        <v>7.5979999999999999</v>
      </c>
      <c r="N3667" s="8"/>
    </row>
    <row r="3668" spans="1:14" x14ac:dyDescent="0.25">
      <c r="A3668" s="8">
        <v>40851</v>
      </c>
      <c r="B3668">
        <v>988950.75</v>
      </c>
      <c r="C3668">
        <v>0</v>
      </c>
      <c r="D3668">
        <v>31.7</v>
      </c>
      <c r="E3668">
        <v>3.5859999999999999</v>
      </c>
      <c r="F3668">
        <v>136.47512900000001</v>
      </c>
      <c r="G3668">
        <v>7.5979999999999999</v>
      </c>
      <c r="N3668" s="8"/>
    </row>
    <row r="3669" spans="1:14" x14ac:dyDescent="0.25">
      <c r="A3669" s="8">
        <v>40858</v>
      </c>
      <c r="B3669">
        <v>1077640.1299999999</v>
      </c>
      <c r="C3669">
        <v>0</v>
      </c>
      <c r="D3669">
        <v>40.08</v>
      </c>
      <c r="E3669">
        <v>3.57</v>
      </c>
      <c r="F3669">
        <v>136.46180649999999</v>
      </c>
      <c r="G3669">
        <v>7.5979999999999999</v>
      </c>
      <c r="N3669" s="8"/>
    </row>
    <row r="3670" spans="1:14" x14ac:dyDescent="0.25">
      <c r="A3670" s="8">
        <v>40865</v>
      </c>
      <c r="B3670">
        <v>946091.79</v>
      </c>
      <c r="C3670">
        <v>0</v>
      </c>
      <c r="D3670">
        <v>37.78</v>
      </c>
      <c r="E3670">
        <v>3.5710000000000002</v>
      </c>
      <c r="F3670">
        <v>136.46666669999999</v>
      </c>
      <c r="G3670">
        <v>7.5979999999999999</v>
      </c>
      <c r="N3670" s="8"/>
    </row>
    <row r="3671" spans="1:14" x14ac:dyDescent="0.25">
      <c r="A3671" s="8">
        <v>40872</v>
      </c>
      <c r="B3671">
        <v>1282320.05</v>
      </c>
      <c r="C3671">
        <v>1</v>
      </c>
      <c r="D3671">
        <v>31.07</v>
      </c>
      <c r="E3671">
        <v>3.536</v>
      </c>
      <c r="F3671">
        <v>136.47880000000001</v>
      </c>
      <c r="G3671">
        <v>7.5979999999999999</v>
      </c>
      <c r="N3671" s="8"/>
    </row>
    <row r="3672" spans="1:14" x14ac:dyDescent="0.25">
      <c r="A3672" s="8">
        <v>40879</v>
      </c>
      <c r="B3672">
        <v>1012498.49</v>
      </c>
      <c r="C3672">
        <v>0</v>
      </c>
      <c r="D3672">
        <v>36.74</v>
      </c>
      <c r="E3672">
        <v>3.5009999999999999</v>
      </c>
      <c r="F3672">
        <v>136.49093329999999</v>
      </c>
      <c r="G3672">
        <v>7.5979999999999999</v>
      </c>
      <c r="N3672" s="8"/>
    </row>
    <row r="3673" spans="1:14" x14ac:dyDescent="0.25">
      <c r="A3673" s="8">
        <v>40886</v>
      </c>
      <c r="B3673">
        <v>1148987.46</v>
      </c>
      <c r="C3673">
        <v>0</v>
      </c>
      <c r="D3673">
        <v>34.24</v>
      </c>
      <c r="E3673">
        <v>3.47</v>
      </c>
      <c r="F3673">
        <v>136.50306670000001</v>
      </c>
      <c r="G3673">
        <v>7.5979999999999999</v>
      </c>
      <c r="N3673" s="8"/>
    </row>
    <row r="3674" spans="1:14" x14ac:dyDescent="0.25">
      <c r="A3674" s="8">
        <v>40893</v>
      </c>
      <c r="B3674">
        <v>1204807.83</v>
      </c>
      <c r="C3674">
        <v>0</v>
      </c>
      <c r="D3674">
        <v>28.24</v>
      </c>
      <c r="E3674">
        <v>3.4449999999999998</v>
      </c>
      <c r="F3674">
        <v>136.53351610000001</v>
      </c>
      <c r="G3674">
        <v>7.5979999999999999</v>
      </c>
      <c r="N3674" s="8"/>
    </row>
    <row r="3675" spans="1:14" x14ac:dyDescent="0.25">
      <c r="A3675" s="8">
        <v>40900</v>
      </c>
      <c r="B3675">
        <v>1515175.01</v>
      </c>
      <c r="C3675">
        <v>0</v>
      </c>
      <c r="D3675">
        <v>22.53</v>
      </c>
      <c r="E3675">
        <v>3.4129999999999998</v>
      </c>
      <c r="F3675">
        <v>136.58838710000001</v>
      </c>
      <c r="G3675">
        <v>7.5979999999999999</v>
      </c>
      <c r="N3675" s="8"/>
    </row>
    <row r="3676" spans="1:14" x14ac:dyDescent="0.25">
      <c r="A3676" s="8">
        <v>40907</v>
      </c>
      <c r="B3676">
        <v>972834.42</v>
      </c>
      <c r="C3676">
        <v>1</v>
      </c>
      <c r="D3676">
        <v>18.8</v>
      </c>
      <c r="E3676">
        <v>3.4020000000000001</v>
      </c>
      <c r="F3676">
        <v>136.6432581</v>
      </c>
      <c r="G3676">
        <v>7.5979999999999999</v>
      </c>
      <c r="N3676" s="8"/>
    </row>
    <row r="3677" spans="1:14" x14ac:dyDescent="0.25">
      <c r="A3677" s="8">
        <v>40914</v>
      </c>
      <c r="B3677">
        <v>971557.62</v>
      </c>
      <c r="C3677">
        <v>0</v>
      </c>
      <c r="D3677">
        <v>22.94</v>
      </c>
      <c r="E3677">
        <v>3.4390000000000001</v>
      </c>
      <c r="F3677">
        <v>136.69812899999999</v>
      </c>
      <c r="G3677">
        <v>7.4669999999999996</v>
      </c>
      <c r="N3677" s="8"/>
    </row>
    <row r="3678" spans="1:14" x14ac:dyDescent="0.25">
      <c r="A3678" s="8">
        <v>40921</v>
      </c>
      <c r="B3678">
        <v>836305.65</v>
      </c>
      <c r="C3678">
        <v>0</v>
      </c>
      <c r="D3678">
        <v>25.55</v>
      </c>
      <c r="E3678">
        <v>3.5230000000000001</v>
      </c>
      <c r="F3678">
        <v>136.75299999999999</v>
      </c>
      <c r="G3678">
        <v>7.4669999999999996</v>
      </c>
      <c r="N3678" s="8"/>
    </row>
    <row r="3679" spans="1:14" x14ac:dyDescent="0.25">
      <c r="A3679" s="8">
        <v>40928</v>
      </c>
      <c r="B3679">
        <v>838751.5</v>
      </c>
      <c r="C3679">
        <v>0</v>
      </c>
      <c r="D3679">
        <v>15.22</v>
      </c>
      <c r="E3679">
        <v>3.5419999999999998</v>
      </c>
      <c r="F3679">
        <v>136.85641939999999</v>
      </c>
      <c r="G3679">
        <v>7.4669999999999996</v>
      </c>
      <c r="N3679" s="8"/>
    </row>
    <row r="3680" spans="1:14" x14ac:dyDescent="0.25">
      <c r="A3680" s="8">
        <v>40935</v>
      </c>
      <c r="B3680">
        <v>820059.89</v>
      </c>
      <c r="C3680">
        <v>0</v>
      </c>
      <c r="D3680">
        <v>24.16</v>
      </c>
      <c r="E3680">
        <v>3.5680000000000001</v>
      </c>
      <c r="F3680">
        <v>136.95983870000001</v>
      </c>
      <c r="G3680">
        <v>7.4669999999999996</v>
      </c>
      <c r="N3680" s="8"/>
    </row>
    <row r="3681" spans="1:14" x14ac:dyDescent="0.25">
      <c r="A3681" s="8">
        <v>40942</v>
      </c>
      <c r="B3681">
        <v>939158.25</v>
      </c>
      <c r="C3681">
        <v>0</v>
      </c>
      <c r="D3681">
        <v>25.24</v>
      </c>
      <c r="E3681">
        <v>3.633</v>
      </c>
      <c r="F3681">
        <v>137.06325810000001</v>
      </c>
      <c r="G3681">
        <v>7.4669999999999996</v>
      </c>
      <c r="N3681" s="8"/>
    </row>
    <row r="3682" spans="1:14" x14ac:dyDescent="0.25">
      <c r="A3682" s="8">
        <v>40949</v>
      </c>
      <c r="B3682">
        <v>1081005.6399999999</v>
      </c>
      <c r="C3682">
        <v>1</v>
      </c>
      <c r="D3682">
        <v>23.89</v>
      </c>
      <c r="E3682">
        <v>3.6549999999999998</v>
      </c>
      <c r="F3682">
        <v>137.1666774</v>
      </c>
      <c r="G3682">
        <v>7.4669999999999996</v>
      </c>
      <c r="N3682" s="8"/>
    </row>
    <row r="3683" spans="1:14" x14ac:dyDescent="0.25">
      <c r="A3683" s="8">
        <v>40956</v>
      </c>
      <c r="B3683">
        <v>965788.76</v>
      </c>
      <c r="C3683">
        <v>0</v>
      </c>
      <c r="D3683">
        <v>23.9</v>
      </c>
      <c r="E3683">
        <v>3.7029999999999998</v>
      </c>
      <c r="F3683">
        <v>137.25831030000001</v>
      </c>
      <c r="G3683">
        <v>7.4669999999999996</v>
      </c>
      <c r="N3683" s="8"/>
    </row>
    <row r="3684" spans="1:14" x14ac:dyDescent="0.25">
      <c r="A3684" s="8">
        <v>40963</v>
      </c>
      <c r="B3684">
        <v>917924.47</v>
      </c>
      <c r="C3684">
        <v>0</v>
      </c>
      <c r="D3684">
        <v>28.06</v>
      </c>
      <c r="E3684">
        <v>3.7509999999999999</v>
      </c>
      <c r="F3684">
        <v>137.34110340000001</v>
      </c>
      <c r="G3684">
        <v>7.4669999999999996</v>
      </c>
      <c r="N3684" s="8"/>
    </row>
    <row r="3685" spans="1:14" x14ac:dyDescent="0.25">
      <c r="A3685" s="8">
        <v>40970</v>
      </c>
      <c r="B3685">
        <v>955641.74</v>
      </c>
      <c r="C3685">
        <v>0</v>
      </c>
      <c r="D3685">
        <v>22.49</v>
      </c>
      <c r="E3685">
        <v>3.827</v>
      </c>
      <c r="F3685">
        <v>137.42389660000001</v>
      </c>
      <c r="G3685">
        <v>7.4669999999999996</v>
      </c>
      <c r="N3685" s="8"/>
    </row>
    <row r="3686" spans="1:14" x14ac:dyDescent="0.25">
      <c r="A3686" s="8">
        <v>40977</v>
      </c>
      <c r="B3686">
        <v>1028569.01</v>
      </c>
      <c r="C3686">
        <v>0</v>
      </c>
      <c r="D3686">
        <v>29.03</v>
      </c>
      <c r="E3686">
        <v>3.8759999999999999</v>
      </c>
      <c r="F3686">
        <v>137.50668970000001</v>
      </c>
      <c r="G3686">
        <v>7.4669999999999996</v>
      </c>
      <c r="N3686" s="8"/>
    </row>
    <row r="3687" spans="1:14" x14ac:dyDescent="0.25">
      <c r="A3687" s="8">
        <v>40984</v>
      </c>
      <c r="B3687">
        <v>919503.4</v>
      </c>
      <c r="C3687">
        <v>0</v>
      </c>
      <c r="D3687">
        <v>35.06</v>
      </c>
      <c r="E3687">
        <v>3.867</v>
      </c>
      <c r="F3687">
        <v>137.58438709999999</v>
      </c>
      <c r="G3687">
        <v>7.4669999999999996</v>
      </c>
      <c r="N3687" s="8"/>
    </row>
    <row r="3688" spans="1:14" x14ac:dyDescent="0.25">
      <c r="A3688" s="8">
        <v>40991</v>
      </c>
      <c r="B3688">
        <v>874790.68</v>
      </c>
      <c r="C3688">
        <v>0</v>
      </c>
      <c r="D3688">
        <v>49.97</v>
      </c>
      <c r="E3688">
        <v>3.8889999999999998</v>
      </c>
      <c r="F3688">
        <v>137.65529029999999</v>
      </c>
      <c r="G3688">
        <v>7.4669999999999996</v>
      </c>
      <c r="N3688" s="8"/>
    </row>
    <row r="3689" spans="1:14" x14ac:dyDescent="0.25">
      <c r="A3689" s="8">
        <v>40998</v>
      </c>
      <c r="B3689">
        <v>922018.43</v>
      </c>
      <c r="C3689">
        <v>0</v>
      </c>
      <c r="D3689">
        <v>33.33</v>
      </c>
      <c r="E3689">
        <v>3.9209999999999998</v>
      </c>
      <c r="F3689">
        <v>137.72619349999999</v>
      </c>
      <c r="G3689">
        <v>7.4669999999999996</v>
      </c>
      <c r="N3689" s="8"/>
    </row>
    <row r="3690" spans="1:14" x14ac:dyDescent="0.25">
      <c r="A3690" s="8">
        <v>41005</v>
      </c>
      <c r="B3690">
        <v>1116829.23</v>
      </c>
      <c r="C3690">
        <v>0</v>
      </c>
      <c r="D3690">
        <v>33.35</v>
      </c>
      <c r="E3690">
        <v>3.9569999999999999</v>
      </c>
      <c r="F3690">
        <v>137.79709679999999</v>
      </c>
      <c r="G3690">
        <v>7.4889999999999999</v>
      </c>
      <c r="N3690" s="8"/>
    </row>
    <row r="3691" spans="1:14" x14ac:dyDescent="0.25">
      <c r="A3691" s="8">
        <v>41012</v>
      </c>
      <c r="B3691">
        <v>889670.29</v>
      </c>
      <c r="C3691">
        <v>0</v>
      </c>
      <c r="D3691">
        <v>36.9</v>
      </c>
      <c r="E3691">
        <v>4.0250000000000004</v>
      </c>
      <c r="F3691">
        <v>137.86799999999999</v>
      </c>
      <c r="G3691">
        <v>7.4889999999999999</v>
      </c>
      <c r="N3691" s="8"/>
    </row>
    <row r="3692" spans="1:14" x14ac:dyDescent="0.25">
      <c r="A3692" s="8">
        <v>41019</v>
      </c>
      <c r="B3692">
        <v>923600.02</v>
      </c>
      <c r="C3692">
        <v>0</v>
      </c>
      <c r="D3692">
        <v>50.81</v>
      </c>
      <c r="E3692">
        <v>4.0460000000000003</v>
      </c>
      <c r="F3692">
        <v>137.92306669999999</v>
      </c>
      <c r="G3692">
        <v>7.4889999999999999</v>
      </c>
      <c r="N3692" s="8"/>
    </row>
    <row r="3693" spans="1:14" x14ac:dyDescent="0.25">
      <c r="A3693" s="8">
        <v>41026</v>
      </c>
      <c r="B3693">
        <v>911969</v>
      </c>
      <c r="C3693">
        <v>0</v>
      </c>
      <c r="D3693">
        <v>43.6</v>
      </c>
      <c r="E3693">
        <v>4.0229999999999997</v>
      </c>
      <c r="F3693">
        <v>137.9781333</v>
      </c>
      <c r="G3693">
        <v>7.4889999999999999</v>
      </c>
      <c r="N3693" s="8"/>
    </row>
    <row r="3694" spans="1:14" x14ac:dyDescent="0.25">
      <c r="A3694" s="8">
        <v>41033</v>
      </c>
      <c r="B3694">
        <v>946573.29</v>
      </c>
      <c r="C3694">
        <v>0</v>
      </c>
      <c r="D3694">
        <v>40.29</v>
      </c>
      <c r="E3694">
        <v>3.9910000000000001</v>
      </c>
      <c r="F3694">
        <v>138.03319999999999</v>
      </c>
      <c r="G3694">
        <v>7.4889999999999999</v>
      </c>
      <c r="N3694" s="8"/>
    </row>
    <row r="3695" spans="1:14" x14ac:dyDescent="0.25">
      <c r="A3695" s="8">
        <v>41040</v>
      </c>
      <c r="B3695">
        <v>1062548.73</v>
      </c>
      <c r="C3695">
        <v>0</v>
      </c>
      <c r="D3695">
        <v>47.11</v>
      </c>
      <c r="E3695">
        <v>3.9470000000000001</v>
      </c>
      <c r="F3695">
        <v>138.08826669999999</v>
      </c>
      <c r="G3695">
        <v>7.4889999999999999</v>
      </c>
      <c r="N3695" s="8"/>
    </row>
    <row r="3696" spans="1:14" x14ac:dyDescent="0.25">
      <c r="A3696" s="8">
        <v>41047</v>
      </c>
      <c r="B3696">
        <v>978082.84</v>
      </c>
      <c r="C3696">
        <v>0</v>
      </c>
      <c r="D3696">
        <v>52.55</v>
      </c>
      <c r="E3696">
        <v>3.899</v>
      </c>
      <c r="F3696">
        <v>138.1065806</v>
      </c>
      <c r="G3696">
        <v>7.4889999999999999</v>
      </c>
      <c r="N3696" s="8"/>
    </row>
    <row r="3697" spans="1:14" x14ac:dyDescent="0.25">
      <c r="A3697" s="8">
        <v>41054</v>
      </c>
      <c r="B3697">
        <v>1067310.74</v>
      </c>
      <c r="C3697">
        <v>0</v>
      </c>
      <c r="D3697">
        <v>58.2</v>
      </c>
      <c r="E3697">
        <v>3.85</v>
      </c>
      <c r="F3697">
        <v>138.11019350000001</v>
      </c>
      <c r="G3697">
        <v>7.4889999999999999</v>
      </c>
      <c r="N3697" s="8"/>
    </row>
    <row r="3698" spans="1:14" x14ac:dyDescent="0.25">
      <c r="A3698" s="8">
        <v>41061</v>
      </c>
      <c r="B3698">
        <v>1015853.03</v>
      </c>
      <c r="C3698">
        <v>0</v>
      </c>
      <c r="D3698">
        <v>58.51</v>
      </c>
      <c r="E3698">
        <v>3.798</v>
      </c>
      <c r="F3698">
        <v>138.11380650000001</v>
      </c>
      <c r="G3698">
        <v>7.4889999999999999</v>
      </c>
      <c r="N3698" s="8"/>
    </row>
    <row r="3699" spans="1:14" x14ac:dyDescent="0.25">
      <c r="A3699" s="8">
        <v>41068</v>
      </c>
      <c r="B3699">
        <v>1106176.83</v>
      </c>
      <c r="C3699">
        <v>0</v>
      </c>
      <c r="D3699">
        <v>49.43</v>
      </c>
      <c r="E3699">
        <v>3.746</v>
      </c>
      <c r="F3699">
        <v>138.11741939999999</v>
      </c>
      <c r="G3699">
        <v>7.4889999999999999</v>
      </c>
      <c r="N3699" s="8"/>
    </row>
    <row r="3700" spans="1:14" x14ac:dyDescent="0.25">
      <c r="A3700" s="8">
        <v>41075</v>
      </c>
      <c r="B3700">
        <v>1029248.22</v>
      </c>
      <c r="C3700">
        <v>0</v>
      </c>
      <c r="D3700">
        <v>57.84</v>
      </c>
      <c r="E3700">
        <v>3.6829999999999998</v>
      </c>
      <c r="F3700">
        <v>138.12953329999999</v>
      </c>
      <c r="G3700">
        <v>7.4889999999999999</v>
      </c>
      <c r="N3700" s="8"/>
    </row>
    <row r="3701" spans="1:14" x14ac:dyDescent="0.25">
      <c r="A3701" s="8">
        <v>41082</v>
      </c>
      <c r="B3701">
        <v>1056282.9099999999</v>
      </c>
      <c r="C3701">
        <v>0</v>
      </c>
      <c r="D3701">
        <v>63.04</v>
      </c>
      <c r="E3701">
        <v>3.629</v>
      </c>
      <c r="F3701">
        <v>138.16290000000001</v>
      </c>
      <c r="G3701">
        <v>7.4889999999999999</v>
      </c>
      <c r="N3701" s="8"/>
    </row>
    <row r="3702" spans="1:14" x14ac:dyDescent="0.25">
      <c r="A3702" s="8">
        <v>41089</v>
      </c>
      <c r="B3702">
        <v>1051190.44</v>
      </c>
      <c r="C3702">
        <v>0</v>
      </c>
      <c r="D3702">
        <v>60.71</v>
      </c>
      <c r="E3702">
        <v>3.577</v>
      </c>
      <c r="F3702">
        <v>138.1962667</v>
      </c>
      <c r="G3702">
        <v>7.4889999999999999</v>
      </c>
      <c r="N3702" s="8"/>
    </row>
    <row r="3703" spans="1:14" x14ac:dyDescent="0.25">
      <c r="A3703" s="8">
        <v>41096</v>
      </c>
      <c r="B3703">
        <v>1180470.8</v>
      </c>
      <c r="C3703">
        <v>0</v>
      </c>
      <c r="D3703">
        <v>64.94</v>
      </c>
      <c r="E3703">
        <v>3.5379999999999998</v>
      </c>
      <c r="F3703">
        <v>138.22963329999999</v>
      </c>
      <c r="G3703">
        <v>7.4050000000000002</v>
      </c>
      <c r="N3703" s="8"/>
    </row>
    <row r="3704" spans="1:14" x14ac:dyDescent="0.25">
      <c r="A3704" s="8">
        <v>41103</v>
      </c>
      <c r="B3704">
        <v>1063149.78</v>
      </c>
      <c r="C3704">
        <v>0</v>
      </c>
      <c r="D3704">
        <v>64.47</v>
      </c>
      <c r="E3704">
        <v>3.5609999999999999</v>
      </c>
      <c r="F3704">
        <v>138.26300000000001</v>
      </c>
      <c r="G3704">
        <v>7.4050000000000002</v>
      </c>
      <c r="N3704" s="8"/>
    </row>
    <row r="3705" spans="1:14" x14ac:dyDescent="0.25">
      <c r="A3705" s="8">
        <v>41110</v>
      </c>
      <c r="B3705">
        <v>1049625.8999999999</v>
      </c>
      <c r="C3705">
        <v>0</v>
      </c>
      <c r="D3705">
        <v>66.75</v>
      </c>
      <c r="E3705">
        <v>3.61</v>
      </c>
      <c r="F3705">
        <v>138.2331935</v>
      </c>
      <c r="G3705">
        <v>7.4050000000000002</v>
      </c>
      <c r="N3705" s="8"/>
    </row>
    <row r="3706" spans="1:14" x14ac:dyDescent="0.25">
      <c r="A3706" s="8">
        <v>41117</v>
      </c>
      <c r="B3706">
        <v>1031745.14</v>
      </c>
      <c r="C3706">
        <v>0</v>
      </c>
      <c r="D3706">
        <v>64.12</v>
      </c>
      <c r="E3706">
        <v>3.7010000000000001</v>
      </c>
      <c r="F3706">
        <v>138.20338709999999</v>
      </c>
      <c r="G3706">
        <v>7.4050000000000002</v>
      </c>
      <c r="N3706" s="8"/>
    </row>
    <row r="3707" spans="1:14" x14ac:dyDescent="0.25">
      <c r="A3707" s="8">
        <v>41124</v>
      </c>
      <c r="B3707">
        <v>1090915.0900000001</v>
      </c>
      <c r="C3707">
        <v>0</v>
      </c>
      <c r="D3707">
        <v>65.599999999999994</v>
      </c>
      <c r="E3707">
        <v>3.698</v>
      </c>
      <c r="F3707">
        <v>138.17358060000001</v>
      </c>
      <c r="G3707">
        <v>7.4050000000000002</v>
      </c>
      <c r="N3707" s="8"/>
    </row>
    <row r="3708" spans="1:14" x14ac:dyDescent="0.25">
      <c r="A3708" s="8">
        <v>41131</v>
      </c>
      <c r="B3708">
        <v>1121476.51</v>
      </c>
      <c r="C3708">
        <v>0</v>
      </c>
      <c r="D3708">
        <v>67.010000000000005</v>
      </c>
      <c r="E3708">
        <v>3.7719999999999998</v>
      </c>
      <c r="F3708">
        <v>138.1437742</v>
      </c>
      <c r="G3708">
        <v>7.4050000000000002</v>
      </c>
      <c r="N3708" s="8"/>
    </row>
    <row r="3709" spans="1:14" x14ac:dyDescent="0.25">
      <c r="A3709" s="8">
        <v>41138</v>
      </c>
      <c r="B3709">
        <v>1068292.56</v>
      </c>
      <c r="C3709">
        <v>0</v>
      </c>
      <c r="D3709">
        <v>65.540000000000006</v>
      </c>
      <c r="E3709">
        <v>3.84</v>
      </c>
      <c r="F3709">
        <v>138.18570969999999</v>
      </c>
      <c r="G3709">
        <v>7.4050000000000002</v>
      </c>
      <c r="N3709" s="8"/>
    </row>
    <row r="3710" spans="1:14" x14ac:dyDescent="0.25">
      <c r="A3710" s="8">
        <v>41145</v>
      </c>
      <c r="B3710">
        <v>1022704.2</v>
      </c>
      <c r="C3710">
        <v>0</v>
      </c>
      <c r="D3710">
        <v>62.08</v>
      </c>
      <c r="E3710">
        <v>3.8740000000000001</v>
      </c>
      <c r="F3710">
        <v>138.2814516</v>
      </c>
      <c r="G3710">
        <v>7.4050000000000002</v>
      </c>
      <c r="N3710" s="8"/>
    </row>
    <row r="3711" spans="1:14" x14ac:dyDescent="0.25">
      <c r="A3711" s="8">
        <v>41152</v>
      </c>
      <c r="B3711">
        <v>1053495.51</v>
      </c>
      <c r="C3711">
        <v>0</v>
      </c>
      <c r="D3711">
        <v>63.69</v>
      </c>
      <c r="E3711">
        <v>3.8839999999999999</v>
      </c>
      <c r="F3711">
        <v>138.3771935</v>
      </c>
      <c r="G3711">
        <v>7.4050000000000002</v>
      </c>
      <c r="N3711" s="8"/>
    </row>
    <row r="3712" spans="1:14" x14ac:dyDescent="0.25">
      <c r="A3712" s="8">
        <v>41159</v>
      </c>
      <c r="B3712">
        <v>1081874.03</v>
      </c>
      <c r="C3712">
        <v>1</v>
      </c>
      <c r="D3712">
        <v>61.58</v>
      </c>
      <c r="E3712">
        <v>3.9209999999999998</v>
      </c>
      <c r="F3712">
        <v>138.47293550000001</v>
      </c>
      <c r="G3712">
        <v>7.4050000000000002</v>
      </c>
      <c r="N3712" s="8"/>
    </row>
    <row r="3713" spans="1:14" x14ac:dyDescent="0.25">
      <c r="A3713" s="8">
        <v>41166</v>
      </c>
      <c r="B3713">
        <v>986131.94</v>
      </c>
      <c r="C3713">
        <v>0</v>
      </c>
      <c r="D3713">
        <v>57.69</v>
      </c>
      <c r="E3713">
        <v>3.988</v>
      </c>
      <c r="F3713">
        <v>138.56729999999999</v>
      </c>
      <c r="G3713">
        <v>7.4050000000000002</v>
      </c>
      <c r="N3713" s="8"/>
    </row>
    <row r="3714" spans="1:14" x14ac:dyDescent="0.25">
      <c r="A3714" s="8">
        <v>41173</v>
      </c>
      <c r="B3714">
        <v>961084.08</v>
      </c>
      <c r="C3714">
        <v>0</v>
      </c>
      <c r="D3714">
        <v>52.68</v>
      </c>
      <c r="E3714">
        <v>4.056</v>
      </c>
      <c r="F3714">
        <v>138.6534</v>
      </c>
      <c r="G3714">
        <v>7.4050000000000002</v>
      </c>
      <c r="N3714" s="8"/>
    </row>
    <row r="3715" spans="1:14" x14ac:dyDescent="0.25">
      <c r="A3715" s="8">
        <v>41180</v>
      </c>
      <c r="B3715">
        <v>964726.37</v>
      </c>
      <c r="C3715">
        <v>0</v>
      </c>
      <c r="D3715">
        <v>50.66</v>
      </c>
      <c r="E3715">
        <v>4.0179999999999998</v>
      </c>
      <c r="F3715">
        <v>138.73949999999999</v>
      </c>
      <c r="G3715">
        <v>7.4050000000000002</v>
      </c>
      <c r="N3715" s="8"/>
    </row>
    <row r="3716" spans="1:14" x14ac:dyDescent="0.25">
      <c r="A3716" s="8">
        <v>41187</v>
      </c>
      <c r="B3716">
        <v>1095504.26</v>
      </c>
      <c r="C3716">
        <v>0</v>
      </c>
      <c r="D3716">
        <v>54.07</v>
      </c>
      <c r="E3716">
        <v>4.0270000000000001</v>
      </c>
      <c r="F3716">
        <v>138.82560000000001</v>
      </c>
      <c r="G3716">
        <v>7.1379999999999999</v>
      </c>
      <c r="N3716" s="8"/>
    </row>
    <row r="3717" spans="1:14" x14ac:dyDescent="0.25">
      <c r="A3717" s="8">
        <v>41194</v>
      </c>
      <c r="B3717">
        <v>1044639.69</v>
      </c>
      <c r="C3717">
        <v>0</v>
      </c>
      <c r="D3717">
        <v>45.19</v>
      </c>
      <c r="E3717">
        <v>4.0289999999999999</v>
      </c>
      <c r="F3717">
        <v>138.9117</v>
      </c>
      <c r="G3717">
        <v>7.1379999999999999</v>
      </c>
      <c r="N3717" s="8"/>
    </row>
    <row r="3718" spans="1:14" x14ac:dyDescent="0.25">
      <c r="A3718" s="8">
        <v>41201</v>
      </c>
      <c r="B3718">
        <v>975578.02</v>
      </c>
      <c r="C3718">
        <v>0</v>
      </c>
      <c r="D3718">
        <v>43.51</v>
      </c>
      <c r="E3718">
        <v>4</v>
      </c>
      <c r="F3718">
        <v>138.83361289999999</v>
      </c>
      <c r="G3718">
        <v>7.1379999999999999</v>
      </c>
      <c r="N3718" s="8"/>
    </row>
    <row r="3719" spans="1:14" x14ac:dyDescent="0.25">
      <c r="A3719" s="8">
        <v>41208</v>
      </c>
      <c r="B3719">
        <v>958619.8</v>
      </c>
      <c r="C3719">
        <v>0</v>
      </c>
      <c r="D3719">
        <v>46.95</v>
      </c>
      <c r="E3719">
        <v>3.9169999999999998</v>
      </c>
      <c r="F3719">
        <v>138.72816130000001</v>
      </c>
      <c r="G3719">
        <v>7.1379999999999999</v>
      </c>
      <c r="N3719" s="8"/>
    </row>
    <row r="3720" spans="1:14" x14ac:dyDescent="0.25">
      <c r="A3720" s="8">
        <v>40214</v>
      </c>
      <c r="B3720">
        <v>1874289.79</v>
      </c>
      <c r="C3720">
        <v>0</v>
      </c>
      <c r="D3720">
        <v>27.19</v>
      </c>
      <c r="E3720">
        <v>2.9540000000000002</v>
      </c>
      <c r="F3720">
        <v>135.35246079999999</v>
      </c>
      <c r="G3720">
        <v>8.2370000000000001</v>
      </c>
      <c r="N3720" s="8"/>
    </row>
    <row r="3721" spans="1:14" x14ac:dyDescent="0.25">
      <c r="A3721" s="8">
        <v>40221</v>
      </c>
      <c r="B3721">
        <v>1745362.72</v>
      </c>
      <c r="C3721">
        <v>1</v>
      </c>
      <c r="D3721">
        <v>29.81</v>
      </c>
      <c r="E3721">
        <v>2.94</v>
      </c>
      <c r="F3721">
        <v>135.41130759999999</v>
      </c>
      <c r="G3721">
        <v>8.2370000000000001</v>
      </c>
      <c r="N3721" s="8"/>
    </row>
    <row r="3722" spans="1:14" x14ac:dyDescent="0.25">
      <c r="A3722" s="8">
        <v>40228</v>
      </c>
      <c r="B3722">
        <v>1945070.33</v>
      </c>
      <c r="C3722">
        <v>0</v>
      </c>
      <c r="D3722">
        <v>32.44</v>
      </c>
      <c r="E3722">
        <v>2.9089999999999998</v>
      </c>
      <c r="F3722">
        <v>135.46577809999999</v>
      </c>
      <c r="G3722">
        <v>8.2370000000000001</v>
      </c>
      <c r="N3722" s="8"/>
    </row>
    <row r="3723" spans="1:14" x14ac:dyDescent="0.25">
      <c r="A3723" s="8">
        <v>40235</v>
      </c>
      <c r="B3723">
        <v>1390934.27</v>
      </c>
      <c r="C3723">
        <v>0</v>
      </c>
      <c r="D3723">
        <v>36</v>
      </c>
      <c r="E3723">
        <v>2.91</v>
      </c>
      <c r="F3723">
        <v>135.5195191</v>
      </c>
      <c r="G3723">
        <v>8.2370000000000001</v>
      </c>
      <c r="N3723" s="8"/>
    </row>
    <row r="3724" spans="1:14" x14ac:dyDescent="0.25">
      <c r="A3724" s="8">
        <v>40242</v>
      </c>
      <c r="B3724">
        <v>1313729.72</v>
      </c>
      <c r="C3724">
        <v>0</v>
      </c>
      <c r="D3724">
        <v>38.07</v>
      </c>
      <c r="E3724">
        <v>2.919</v>
      </c>
      <c r="F3724">
        <v>135.57326019999999</v>
      </c>
      <c r="G3724">
        <v>8.2370000000000001</v>
      </c>
      <c r="N3724" s="8"/>
    </row>
    <row r="3725" spans="1:14" x14ac:dyDescent="0.25">
      <c r="A3725" s="8">
        <v>40249</v>
      </c>
      <c r="B3725">
        <v>1925113.12</v>
      </c>
      <c r="C3725">
        <v>0</v>
      </c>
      <c r="D3725">
        <v>45.98</v>
      </c>
      <c r="E3725">
        <v>2.9380000000000002</v>
      </c>
      <c r="F3725">
        <v>135.62700129999999</v>
      </c>
      <c r="G3725">
        <v>8.2370000000000001</v>
      </c>
      <c r="N3725" s="8"/>
    </row>
    <row r="3726" spans="1:14" x14ac:dyDescent="0.25">
      <c r="A3726" s="8">
        <v>40256</v>
      </c>
      <c r="B3726">
        <v>1700627.97</v>
      </c>
      <c r="C3726">
        <v>0</v>
      </c>
      <c r="D3726">
        <v>49.04</v>
      </c>
      <c r="E3726">
        <v>2.96</v>
      </c>
      <c r="F3726">
        <v>135.6682247</v>
      </c>
      <c r="G3726">
        <v>8.2370000000000001</v>
      </c>
      <c r="N3726" s="8"/>
    </row>
    <row r="3727" spans="1:14" x14ac:dyDescent="0.25">
      <c r="A3727" s="8">
        <v>40263</v>
      </c>
      <c r="B3727">
        <v>1836714.84</v>
      </c>
      <c r="C3727">
        <v>0</v>
      </c>
      <c r="D3727">
        <v>52.34</v>
      </c>
      <c r="E3727">
        <v>2.9630000000000001</v>
      </c>
      <c r="F3727">
        <v>135.7073618</v>
      </c>
      <c r="G3727">
        <v>8.2370000000000001</v>
      </c>
      <c r="N3727" s="8"/>
    </row>
    <row r="3728" spans="1:14" x14ac:dyDescent="0.25">
      <c r="A3728" s="8">
        <v>40270</v>
      </c>
      <c r="B3728">
        <v>2053952.97</v>
      </c>
      <c r="C3728">
        <v>0</v>
      </c>
      <c r="D3728">
        <v>46.9</v>
      </c>
      <c r="E3728">
        <v>2.9569999999999999</v>
      </c>
      <c r="F3728">
        <v>135.74649880000001</v>
      </c>
      <c r="G3728">
        <v>8.0579999999999998</v>
      </c>
      <c r="N3728" s="8"/>
    </row>
    <row r="3729" spans="1:14" x14ac:dyDescent="0.25">
      <c r="A3729" s="8">
        <v>40277</v>
      </c>
      <c r="B3729">
        <v>1955814.13</v>
      </c>
      <c r="C3729">
        <v>0</v>
      </c>
      <c r="D3729">
        <v>62.62</v>
      </c>
      <c r="E3729">
        <v>2.992</v>
      </c>
      <c r="F3729">
        <v>135.78563589999999</v>
      </c>
      <c r="G3729">
        <v>8.0579999999999998</v>
      </c>
      <c r="N3729" s="8"/>
    </row>
    <row r="3730" spans="1:14" x14ac:dyDescent="0.25">
      <c r="A3730" s="8">
        <v>40284</v>
      </c>
      <c r="B3730">
        <v>1857500.96</v>
      </c>
      <c r="C3730">
        <v>0</v>
      </c>
      <c r="D3730">
        <v>54.95</v>
      </c>
      <c r="E3730">
        <v>3.01</v>
      </c>
      <c r="F3730">
        <v>135.82724999999999</v>
      </c>
      <c r="G3730">
        <v>8.0579999999999998</v>
      </c>
      <c r="N3730" s="8"/>
    </row>
    <row r="3731" spans="1:14" x14ac:dyDescent="0.25">
      <c r="A3731" s="8">
        <v>40291</v>
      </c>
      <c r="B3731">
        <v>1850205.47</v>
      </c>
      <c r="C3731">
        <v>0</v>
      </c>
      <c r="D3731">
        <v>53.91</v>
      </c>
      <c r="E3731">
        <v>3.0209999999999999</v>
      </c>
      <c r="F3731">
        <v>135.87216670000001</v>
      </c>
      <c r="G3731">
        <v>8.0579999999999998</v>
      </c>
      <c r="N3731" s="8"/>
    </row>
    <row r="3732" spans="1:14" x14ac:dyDescent="0.25">
      <c r="A3732" s="8">
        <v>40298</v>
      </c>
      <c r="B3732">
        <v>1805885.04</v>
      </c>
      <c r="C3732">
        <v>0</v>
      </c>
      <c r="D3732">
        <v>53.55</v>
      </c>
      <c r="E3732">
        <v>3.0419999999999998</v>
      </c>
      <c r="F3732">
        <v>135.9170833</v>
      </c>
      <c r="G3732">
        <v>8.0579999999999998</v>
      </c>
      <c r="N3732" s="8"/>
    </row>
    <row r="3733" spans="1:14" x14ac:dyDescent="0.25">
      <c r="A3733" s="8">
        <v>40305</v>
      </c>
      <c r="B3733">
        <v>1939458.84</v>
      </c>
      <c r="C3733">
        <v>0</v>
      </c>
      <c r="D3733">
        <v>69.02</v>
      </c>
      <c r="E3733">
        <v>3.0950000000000002</v>
      </c>
      <c r="F3733">
        <v>135.96199999999999</v>
      </c>
      <c r="G3733">
        <v>8.0579999999999998</v>
      </c>
      <c r="N3733" s="8"/>
    </row>
    <row r="3734" spans="1:14" x14ac:dyDescent="0.25">
      <c r="A3734" s="8">
        <v>40312</v>
      </c>
      <c r="B3734">
        <v>1842465.78</v>
      </c>
      <c r="C3734">
        <v>0</v>
      </c>
      <c r="D3734">
        <v>53.82</v>
      </c>
      <c r="E3734">
        <v>3.1120000000000001</v>
      </c>
      <c r="F3734">
        <v>136.01039399999999</v>
      </c>
      <c r="G3734">
        <v>8.0579999999999998</v>
      </c>
      <c r="N3734" s="8"/>
    </row>
    <row r="3735" spans="1:14" x14ac:dyDescent="0.25">
      <c r="A3735" s="8">
        <v>40319</v>
      </c>
      <c r="B3735">
        <v>1836595.58</v>
      </c>
      <c r="C3735">
        <v>0</v>
      </c>
      <c r="D3735">
        <v>63.31</v>
      </c>
      <c r="E3735">
        <v>3.0960000000000001</v>
      </c>
      <c r="F3735">
        <v>136.0796521</v>
      </c>
      <c r="G3735">
        <v>8.0579999999999998</v>
      </c>
      <c r="N3735" s="8"/>
    </row>
    <row r="3736" spans="1:14" x14ac:dyDescent="0.25">
      <c r="A3736" s="8">
        <v>40326</v>
      </c>
      <c r="B3736">
        <v>1962468.67</v>
      </c>
      <c r="C3736">
        <v>0</v>
      </c>
      <c r="D3736">
        <v>67.88</v>
      </c>
      <c r="E3736">
        <v>3.0459999999999998</v>
      </c>
      <c r="F3736">
        <v>136.14891009999999</v>
      </c>
      <c r="G3736">
        <v>8.0579999999999998</v>
      </c>
      <c r="N3736" s="8"/>
    </row>
    <row r="3737" spans="1:14" x14ac:dyDescent="0.25">
      <c r="A3737" s="8">
        <v>40333</v>
      </c>
      <c r="B3737">
        <v>2073102.59</v>
      </c>
      <c r="C3737">
        <v>0</v>
      </c>
      <c r="D3737">
        <v>74.290000000000006</v>
      </c>
      <c r="E3737">
        <v>3.0059999999999998</v>
      </c>
      <c r="F3737">
        <v>136.21816820000001</v>
      </c>
      <c r="G3737">
        <v>8.0579999999999998</v>
      </c>
      <c r="N3737" s="8"/>
    </row>
    <row r="3738" spans="1:14" x14ac:dyDescent="0.25">
      <c r="A3738" s="8">
        <v>40340</v>
      </c>
      <c r="B3738">
        <v>1873812.93</v>
      </c>
      <c r="C3738">
        <v>0</v>
      </c>
      <c r="D3738">
        <v>68.900000000000006</v>
      </c>
      <c r="E3738">
        <v>2.972</v>
      </c>
      <c r="F3738">
        <v>136.28742629999999</v>
      </c>
      <c r="G3738">
        <v>8.0579999999999998</v>
      </c>
      <c r="N3738" s="8"/>
    </row>
    <row r="3739" spans="1:14" x14ac:dyDescent="0.25">
      <c r="A3739" s="8">
        <v>40347</v>
      </c>
      <c r="B3739">
        <v>1887182.27</v>
      </c>
      <c r="C3739">
        <v>0</v>
      </c>
      <c r="D3739">
        <v>70</v>
      </c>
      <c r="E3739">
        <v>2.9420000000000002</v>
      </c>
      <c r="F3739">
        <v>136.32433929999999</v>
      </c>
      <c r="G3739">
        <v>8.0579999999999998</v>
      </c>
      <c r="N3739" s="8"/>
    </row>
    <row r="3740" spans="1:14" x14ac:dyDescent="0.25">
      <c r="A3740" s="8">
        <v>40354</v>
      </c>
      <c r="B3740">
        <v>1962625.01</v>
      </c>
      <c r="C3740">
        <v>0</v>
      </c>
      <c r="D3740">
        <v>78.02</v>
      </c>
      <c r="E3740">
        <v>2.9580000000000002</v>
      </c>
      <c r="F3740">
        <v>136.3483143</v>
      </c>
      <c r="G3740">
        <v>8.0579999999999998</v>
      </c>
      <c r="N3740" s="8"/>
    </row>
    <row r="3741" spans="1:14" x14ac:dyDescent="0.25">
      <c r="A3741" s="8">
        <v>40361</v>
      </c>
      <c r="B3741">
        <v>2024554.1</v>
      </c>
      <c r="C3741">
        <v>0</v>
      </c>
      <c r="D3741">
        <v>76.25</v>
      </c>
      <c r="E3741">
        <v>2.9580000000000002</v>
      </c>
      <c r="F3741">
        <v>136.37228930000001</v>
      </c>
      <c r="G3741">
        <v>7.9820000000000002</v>
      </c>
      <c r="N3741" s="8"/>
    </row>
    <row r="3742" spans="1:14" x14ac:dyDescent="0.25">
      <c r="A3742" s="8">
        <v>40368</v>
      </c>
      <c r="B3742">
        <v>2119163.0099999998</v>
      </c>
      <c r="C3742">
        <v>0</v>
      </c>
      <c r="D3742">
        <v>82.69</v>
      </c>
      <c r="E3742">
        <v>2.94</v>
      </c>
      <c r="F3742">
        <v>136.39626430000001</v>
      </c>
      <c r="G3742">
        <v>7.9820000000000002</v>
      </c>
      <c r="N3742" s="8"/>
    </row>
    <row r="3743" spans="1:14" x14ac:dyDescent="0.25">
      <c r="A3743" s="8">
        <v>40375</v>
      </c>
      <c r="B3743">
        <v>1880691.64</v>
      </c>
      <c r="C3743">
        <v>0</v>
      </c>
      <c r="D3743">
        <v>78.260000000000005</v>
      </c>
      <c r="E3743">
        <v>2.9329999999999998</v>
      </c>
      <c r="F3743">
        <v>136.41798270000001</v>
      </c>
      <c r="G3743">
        <v>7.9820000000000002</v>
      </c>
      <c r="N3743" s="8"/>
    </row>
    <row r="3744" spans="1:14" x14ac:dyDescent="0.25">
      <c r="A3744" s="8">
        <v>40382</v>
      </c>
      <c r="B3744">
        <v>1808250.71</v>
      </c>
      <c r="C3744">
        <v>0</v>
      </c>
      <c r="D3744">
        <v>81.56</v>
      </c>
      <c r="E3744">
        <v>2.9239999999999999</v>
      </c>
      <c r="F3744">
        <v>136.4366924</v>
      </c>
      <c r="G3744">
        <v>7.9820000000000002</v>
      </c>
      <c r="N3744" s="8"/>
    </row>
    <row r="3745" spans="1:14" x14ac:dyDescent="0.25">
      <c r="A3745" s="8">
        <v>40389</v>
      </c>
      <c r="B3745">
        <v>1816489.53</v>
      </c>
      <c r="C3745">
        <v>0</v>
      </c>
      <c r="D3745">
        <v>79.78</v>
      </c>
      <c r="E3745">
        <v>2.9319999999999999</v>
      </c>
      <c r="F3745">
        <v>136.45540209999999</v>
      </c>
      <c r="G3745">
        <v>7.9820000000000002</v>
      </c>
      <c r="N3745" s="8"/>
    </row>
    <row r="3746" spans="1:14" x14ac:dyDescent="0.25">
      <c r="A3746" s="8">
        <v>40396</v>
      </c>
      <c r="B3746">
        <v>1908036.68</v>
      </c>
      <c r="C3746">
        <v>0</v>
      </c>
      <c r="D3746">
        <v>77.45</v>
      </c>
      <c r="E3746">
        <v>2.9420000000000002</v>
      </c>
      <c r="F3746">
        <v>136.4741118</v>
      </c>
      <c r="G3746">
        <v>7.9820000000000002</v>
      </c>
      <c r="N3746" s="8"/>
    </row>
    <row r="3747" spans="1:14" x14ac:dyDescent="0.25">
      <c r="A3747" s="8">
        <v>40403</v>
      </c>
      <c r="B3747">
        <v>1864436.12</v>
      </c>
      <c r="C3747">
        <v>0</v>
      </c>
      <c r="D3747">
        <v>77.36</v>
      </c>
      <c r="E3747">
        <v>2.923</v>
      </c>
      <c r="F3747">
        <v>136.4928214</v>
      </c>
      <c r="G3747">
        <v>7.9820000000000002</v>
      </c>
      <c r="N3747" s="8"/>
    </row>
    <row r="3748" spans="1:14" x14ac:dyDescent="0.25">
      <c r="A3748" s="8">
        <v>40410</v>
      </c>
      <c r="B3748">
        <v>1936878.46</v>
      </c>
      <c r="C3748">
        <v>0</v>
      </c>
      <c r="D3748">
        <v>75.16</v>
      </c>
      <c r="E3748">
        <v>2.9129999999999998</v>
      </c>
      <c r="F3748">
        <v>136.5249182</v>
      </c>
      <c r="G3748">
        <v>7.9820000000000002</v>
      </c>
      <c r="N3748" s="8"/>
    </row>
    <row r="3749" spans="1:14" x14ac:dyDescent="0.25">
      <c r="A3749" s="8">
        <v>40417</v>
      </c>
      <c r="B3749">
        <v>1870684.21</v>
      </c>
      <c r="C3749">
        <v>0</v>
      </c>
      <c r="D3749">
        <v>70.31</v>
      </c>
      <c r="E3749">
        <v>2.8849999999999998</v>
      </c>
      <c r="F3749">
        <v>136.55701500000001</v>
      </c>
      <c r="G3749">
        <v>7.9820000000000002</v>
      </c>
      <c r="N3749" s="8"/>
    </row>
    <row r="3750" spans="1:14" x14ac:dyDescent="0.25">
      <c r="A3750" s="8">
        <v>40424</v>
      </c>
      <c r="B3750">
        <v>1908110.9</v>
      </c>
      <c r="C3750">
        <v>0</v>
      </c>
      <c r="D3750">
        <v>78.52</v>
      </c>
      <c r="E3750">
        <v>2.86</v>
      </c>
      <c r="F3750">
        <v>136.58911180000001</v>
      </c>
      <c r="G3750">
        <v>7.9820000000000002</v>
      </c>
      <c r="N3750" s="8"/>
    </row>
    <row r="3751" spans="1:14" x14ac:dyDescent="0.25">
      <c r="A3751" s="8">
        <v>40431</v>
      </c>
      <c r="B3751">
        <v>1913494.81</v>
      </c>
      <c r="C3751">
        <v>1</v>
      </c>
      <c r="D3751">
        <v>70.38</v>
      </c>
      <c r="E3751">
        <v>2.8370000000000002</v>
      </c>
      <c r="F3751">
        <v>136.62120849999999</v>
      </c>
      <c r="G3751">
        <v>7.9820000000000002</v>
      </c>
      <c r="N3751" s="8"/>
    </row>
    <row r="3752" spans="1:14" x14ac:dyDescent="0.25">
      <c r="A3752" s="8">
        <v>40438</v>
      </c>
      <c r="B3752">
        <v>1629978.46</v>
      </c>
      <c r="C3752">
        <v>0</v>
      </c>
      <c r="D3752">
        <v>64.5</v>
      </c>
      <c r="E3752">
        <v>2.8460000000000001</v>
      </c>
      <c r="F3752">
        <v>136.63380710000001</v>
      </c>
      <c r="G3752">
        <v>7.9820000000000002</v>
      </c>
      <c r="N3752" s="8"/>
    </row>
    <row r="3753" spans="1:14" x14ac:dyDescent="0.25">
      <c r="A3753" s="8">
        <v>40445</v>
      </c>
      <c r="B3753">
        <v>1597002.71</v>
      </c>
      <c r="C3753">
        <v>0</v>
      </c>
      <c r="D3753">
        <v>67.08</v>
      </c>
      <c r="E3753">
        <v>2.8370000000000002</v>
      </c>
      <c r="F3753">
        <v>136.63178210000001</v>
      </c>
      <c r="G3753">
        <v>7.9820000000000002</v>
      </c>
      <c r="N3753" s="8"/>
    </row>
    <row r="3754" spans="1:14" x14ac:dyDescent="0.25">
      <c r="A3754" s="8">
        <v>40452</v>
      </c>
      <c r="B3754">
        <v>1543532.83</v>
      </c>
      <c r="C3754">
        <v>0</v>
      </c>
      <c r="D3754">
        <v>70.19</v>
      </c>
      <c r="E3754">
        <v>2.84</v>
      </c>
      <c r="F3754">
        <v>136.62975710000001</v>
      </c>
      <c r="G3754">
        <v>8.0210000000000008</v>
      </c>
      <c r="N3754" s="8"/>
    </row>
    <row r="3755" spans="1:14" x14ac:dyDescent="0.25">
      <c r="A3755" s="8">
        <v>40459</v>
      </c>
      <c r="B3755">
        <v>1707662.87</v>
      </c>
      <c r="C3755">
        <v>0</v>
      </c>
      <c r="D3755">
        <v>57.78</v>
      </c>
      <c r="E3755">
        <v>2.903</v>
      </c>
      <c r="F3755">
        <v>136.6277321</v>
      </c>
      <c r="G3755">
        <v>8.0210000000000008</v>
      </c>
      <c r="N3755" s="8"/>
    </row>
    <row r="3756" spans="1:14" x14ac:dyDescent="0.25">
      <c r="A3756" s="8">
        <v>40466</v>
      </c>
      <c r="B3756">
        <v>1728388.2</v>
      </c>
      <c r="C3756">
        <v>0</v>
      </c>
      <c r="D3756">
        <v>58.38</v>
      </c>
      <c r="E3756">
        <v>2.9990000000000001</v>
      </c>
      <c r="F3756">
        <v>136.64019350000001</v>
      </c>
      <c r="G3756">
        <v>8.0210000000000008</v>
      </c>
      <c r="N3756" s="8"/>
    </row>
    <row r="3757" spans="1:14" x14ac:dyDescent="0.25">
      <c r="A3757" s="8">
        <v>40473</v>
      </c>
      <c r="B3757">
        <v>1693935.29</v>
      </c>
      <c r="C3757">
        <v>0</v>
      </c>
      <c r="D3757">
        <v>52.82</v>
      </c>
      <c r="E3757">
        <v>3.0489999999999999</v>
      </c>
      <c r="F3757">
        <v>136.68887100000001</v>
      </c>
      <c r="G3757">
        <v>8.0210000000000008</v>
      </c>
      <c r="N3757" s="8"/>
    </row>
    <row r="3758" spans="1:14" x14ac:dyDescent="0.25">
      <c r="A3758" s="8">
        <v>40480</v>
      </c>
      <c r="B3758">
        <v>1688955.49</v>
      </c>
      <c r="C3758">
        <v>0</v>
      </c>
      <c r="D3758">
        <v>61.02</v>
      </c>
      <c r="E3758">
        <v>3.0550000000000002</v>
      </c>
      <c r="F3758">
        <v>136.73754840000001</v>
      </c>
      <c r="G3758">
        <v>8.0210000000000008</v>
      </c>
      <c r="N3758" s="8"/>
    </row>
    <row r="3759" spans="1:14" x14ac:dyDescent="0.25">
      <c r="A3759" s="8">
        <v>40487</v>
      </c>
      <c r="B3759">
        <v>1686010.02</v>
      </c>
      <c r="C3759">
        <v>0</v>
      </c>
      <c r="D3759">
        <v>45.91</v>
      </c>
      <c r="E3759">
        <v>3.0489999999999999</v>
      </c>
      <c r="F3759">
        <v>136.78622580000001</v>
      </c>
      <c r="G3759">
        <v>8.0210000000000008</v>
      </c>
      <c r="N3759" s="8"/>
    </row>
    <row r="3760" spans="1:14" x14ac:dyDescent="0.25">
      <c r="A3760" s="8">
        <v>40494</v>
      </c>
      <c r="B3760">
        <v>1828010.25</v>
      </c>
      <c r="C3760">
        <v>0</v>
      </c>
      <c r="D3760">
        <v>45.9</v>
      </c>
      <c r="E3760">
        <v>3.0649999999999999</v>
      </c>
      <c r="F3760">
        <v>136.83490320000001</v>
      </c>
      <c r="G3760">
        <v>8.0210000000000008</v>
      </c>
      <c r="N3760" s="8"/>
    </row>
    <row r="3761" spans="1:14" x14ac:dyDescent="0.25">
      <c r="A3761" s="8">
        <v>40501</v>
      </c>
      <c r="B3761">
        <v>1704785.74</v>
      </c>
      <c r="C3761">
        <v>0</v>
      </c>
      <c r="D3761">
        <v>50.81</v>
      </c>
      <c r="E3761">
        <v>3.1379999999999999</v>
      </c>
      <c r="F3761">
        <v>136.7715714</v>
      </c>
      <c r="G3761">
        <v>8.0210000000000008</v>
      </c>
      <c r="N3761" s="8"/>
    </row>
    <row r="3762" spans="1:14" x14ac:dyDescent="0.25">
      <c r="A3762" s="8">
        <v>40508</v>
      </c>
      <c r="B3762">
        <v>2627910.75</v>
      </c>
      <c r="C3762">
        <v>1</v>
      </c>
      <c r="D3762">
        <v>46.67</v>
      </c>
      <c r="E3762">
        <v>3.1859999999999999</v>
      </c>
      <c r="F3762">
        <v>136.68957140000001</v>
      </c>
      <c r="G3762">
        <v>8.0210000000000008</v>
      </c>
      <c r="N3762" s="8"/>
    </row>
    <row r="3763" spans="1:14" x14ac:dyDescent="0.25">
      <c r="A3763" s="8">
        <v>40515</v>
      </c>
      <c r="B3763">
        <v>1884343.67</v>
      </c>
      <c r="C3763">
        <v>0</v>
      </c>
      <c r="D3763">
        <v>41.81</v>
      </c>
      <c r="E3763">
        <v>3.2</v>
      </c>
      <c r="F3763">
        <v>136.60757140000001</v>
      </c>
      <c r="G3763">
        <v>8.0210000000000008</v>
      </c>
      <c r="N3763" s="8"/>
    </row>
    <row r="3764" spans="1:14" x14ac:dyDescent="0.25">
      <c r="A3764" s="8">
        <v>40522</v>
      </c>
      <c r="B3764">
        <v>2139733.6800000002</v>
      </c>
      <c r="C3764">
        <v>0</v>
      </c>
      <c r="D3764">
        <v>30.83</v>
      </c>
      <c r="E3764">
        <v>3.2549999999999999</v>
      </c>
      <c r="F3764">
        <v>136.52557139999999</v>
      </c>
      <c r="G3764">
        <v>8.0210000000000008</v>
      </c>
      <c r="N3764" s="8"/>
    </row>
    <row r="3765" spans="1:14" x14ac:dyDescent="0.25">
      <c r="A3765" s="8">
        <v>40529</v>
      </c>
      <c r="B3765">
        <v>2350098.36</v>
      </c>
      <c r="C3765">
        <v>0</v>
      </c>
      <c r="D3765">
        <v>31.62</v>
      </c>
      <c r="E3765">
        <v>3.3010000000000002</v>
      </c>
      <c r="F3765">
        <v>136.52928109999999</v>
      </c>
      <c r="G3765">
        <v>8.0210000000000008</v>
      </c>
      <c r="N3765" s="8"/>
    </row>
    <row r="3766" spans="1:14" x14ac:dyDescent="0.25">
      <c r="A3766" s="8">
        <v>40536</v>
      </c>
      <c r="B3766">
        <v>3078162.08</v>
      </c>
      <c r="C3766">
        <v>0</v>
      </c>
      <c r="D3766">
        <v>31.34</v>
      </c>
      <c r="E3766">
        <v>3.3090000000000002</v>
      </c>
      <c r="F3766">
        <v>136.597273</v>
      </c>
      <c r="G3766">
        <v>8.0210000000000008</v>
      </c>
      <c r="N3766" s="8"/>
    </row>
    <row r="3767" spans="1:14" x14ac:dyDescent="0.25">
      <c r="A3767" s="8">
        <v>40543</v>
      </c>
      <c r="B3767">
        <v>1440963</v>
      </c>
      <c r="C3767">
        <v>1</v>
      </c>
      <c r="D3767">
        <v>29.59</v>
      </c>
      <c r="E3767">
        <v>3.3359999999999999</v>
      </c>
      <c r="F3767">
        <v>136.66526500000001</v>
      </c>
      <c r="G3767">
        <v>8.0210000000000008</v>
      </c>
      <c r="N3767" s="8"/>
    </row>
    <row r="3768" spans="1:14" x14ac:dyDescent="0.25">
      <c r="A3768" s="8">
        <v>40550</v>
      </c>
      <c r="B3768">
        <v>1568159.48</v>
      </c>
      <c r="C3768">
        <v>0</v>
      </c>
      <c r="D3768">
        <v>34.42</v>
      </c>
      <c r="E3768">
        <v>3.351</v>
      </c>
      <c r="F3768">
        <v>136.73325689999999</v>
      </c>
      <c r="G3768">
        <v>7.827</v>
      </c>
      <c r="N3768" s="8"/>
    </row>
    <row r="3769" spans="1:14" x14ac:dyDescent="0.25">
      <c r="A3769" s="8">
        <v>40557</v>
      </c>
      <c r="B3769">
        <v>1532308.62</v>
      </c>
      <c r="C3769">
        <v>0</v>
      </c>
      <c r="D3769">
        <v>25.7</v>
      </c>
      <c r="E3769">
        <v>3.367</v>
      </c>
      <c r="F3769">
        <v>136.80347699999999</v>
      </c>
      <c r="G3769">
        <v>7.827</v>
      </c>
      <c r="N3769" s="8"/>
    </row>
    <row r="3770" spans="1:14" x14ac:dyDescent="0.25">
      <c r="A3770" s="8">
        <v>40564</v>
      </c>
      <c r="B3770">
        <v>1517029.9</v>
      </c>
      <c r="C3770">
        <v>0</v>
      </c>
      <c r="D3770">
        <v>30.13</v>
      </c>
      <c r="E3770">
        <v>3.391</v>
      </c>
      <c r="F3770">
        <v>136.88706569999999</v>
      </c>
      <c r="G3770">
        <v>7.827</v>
      </c>
      <c r="N3770" s="8"/>
    </row>
    <row r="3771" spans="1:14" x14ac:dyDescent="0.25">
      <c r="A3771" s="8">
        <v>40571</v>
      </c>
      <c r="B3771">
        <v>1421111.55</v>
      </c>
      <c r="C3771">
        <v>0</v>
      </c>
      <c r="D3771">
        <v>23.64</v>
      </c>
      <c r="E3771">
        <v>3.4020000000000001</v>
      </c>
      <c r="F3771">
        <v>136.9706544</v>
      </c>
      <c r="G3771">
        <v>7.827</v>
      </c>
      <c r="N3771" s="8"/>
    </row>
    <row r="3772" spans="1:14" x14ac:dyDescent="0.25">
      <c r="A3772" s="8">
        <v>40578</v>
      </c>
      <c r="B3772">
        <v>1628100.79</v>
      </c>
      <c r="C3772">
        <v>0</v>
      </c>
      <c r="D3772">
        <v>28.7</v>
      </c>
      <c r="E3772">
        <v>3.4</v>
      </c>
      <c r="F3772">
        <v>137.05424310000001</v>
      </c>
      <c r="G3772">
        <v>7.827</v>
      </c>
      <c r="N3772" s="8"/>
    </row>
    <row r="3773" spans="1:14" x14ac:dyDescent="0.25">
      <c r="A3773" s="8">
        <v>40585</v>
      </c>
      <c r="B3773">
        <v>1636224.77</v>
      </c>
      <c r="C3773">
        <v>1</v>
      </c>
      <c r="D3773">
        <v>30.45</v>
      </c>
      <c r="E3773">
        <v>3.4159999999999999</v>
      </c>
      <c r="F3773">
        <v>137.13783179999999</v>
      </c>
      <c r="G3773">
        <v>7.827</v>
      </c>
      <c r="N3773" s="8"/>
    </row>
    <row r="3774" spans="1:14" x14ac:dyDescent="0.25">
      <c r="A3774" s="8">
        <v>40592</v>
      </c>
      <c r="B3774">
        <v>1709365.19</v>
      </c>
      <c r="C3774">
        <v>0</v>
      </c>
      <c r="D3774">
        <v>39.32</v>
      </c>
      <c r="E3774">
        <v>3.42</v>
      </c>
      <c r="F3774">
        <v>137.2511849</v>
      </c>
      <c r="G3774">
        <v>7.827</v>
      </c>
      <c r="N3774" s="8"/>
    </row>
    <row r="3775" spans="1:14" x14ac:dyDescent="0.25">
      <c r="A3775" s="8">
        <v>40599</v>
      </c>
      <c r="B3775">
        <v>1688935.71</v>
      </c>
      <c r="C3775">
        <v>0</v>
      </c>
      <c r="D3775">
        <v>33.049999999999997</v>
      </c>
      <c r="E3775">
        <v>3.452</v>
      </c>
      <c r="F3775">
        <v>137.3764439</v>
      </c>
      <c r="G3775">
        <v>7.827</v>
      </c>
      <c r="N3775" s="8"/>
    </row>
    <row r="3776" spans="1:14" x14ac:dyDescent="0.25">
      <c r="A3776" s="8">
        <v>40606</v>
      </c>
      <c r="B3776">
        <v>1656130.67</v>
      </c>
      <c r="C3776">
        <v>0</v>
      </c>
      <c r="D3776">
        <v>36.99</v>
      </c>
      <c r="E3776">
        <v>3.605</v>
      </c>
      <c r="F3776">
        <v>137.5017028</v>
      </c>
      <c r="G3776">
        <v>7.827</v>
      </c>
      <c r="N3776" s="8"/>
    </row>
    <row r="3777" spans="1:14" x14ac:dyDescent="0.25">
      <c r="A3777" s="8">
        <v>40613</v>
      </c>
      <c r="B3777">
        <v>1613259.77</v>
      </c>
      <c r="C3777">
        <v>0</v>
      </c>
      <c r="D3777">
        <v>43.64</v>
      </c>
      <c r="E3777">
        <v>3.7519999999999998</v>
      </c>
      <c r="F3777">
        <v>137.62696170000001</v>
      </c>
      <c r="G3777">
        <v>7.827</v>
      </c>
      <c r="N3777" s="8"/>
    </row>
    <row r="3778" spans="1:14" x14ac:dyDescent="0.25">
      <c r="A3778" s="8">
        <v>40620</v>
      </c>
      <c r="B3778">
        <v>1624539.21</v>
      </c>
      <c r="C3778">
        <v>0</v>
      </c>
      <c r="D3778">
        <v>46.65</v>
      </c>
      <c r="E3778">
        <v>3.7959999999999998</v>
      </c>
      <c r="F3778">
        <v>137.7398929</v>
      </c>
      <c r="G3778">
        <v>7.827</v>
      </c>
      <c r="N3778" s="8"/>
    </row>
    <row r="3779" spans="1:14" x14ac:dyDescent="0.25">
      <c r="A3779" s="8">
        <v>40627</v>
      </c>
      <c r="B3779">
        <v>1554651.08</v>
      </c>
      <c r="C3779">
        <v>0</v>
      </c>
      <c r="D3779">
        <v>40.11</v>
      </c>
      <c r="E3779">
        <v>3.7890000000000001</v>
      </c>
      <c r="F3779">
        <v>137.84789290000001</v>
      </c>
      <c r="G3779">
        <v>7.827</v>
      </c>
      <c r="N3779" s="8"/>
    </row>
    <row r="3780" spans="1:14" x14ac:dyDescent="0.25">
      <c r="A3780" s="8">
        <v>40634</v>
      </c>
      <c r="B3780">
        <v>1628868.28</v>
      </c>
      <c r="C3780">
        <v>0</v>
      </c>
      <c r="D3780">
        <v>37.270000000000003</v>
      </c>
      <c r="E3780">
        <v>3.8109999999999999</v>
      </c>
      <c r="F3780">
        <v>137.95589290000001</v>
      </c>
      <c r="G3780">
        <v>7.7249999999999996</v>
      </c>
      <c r="N3780" s="8"/>
    </row>
    <row r="3781" spans="1:14" x14ac:dyDescent="0.25">
      <c r="A3781" s="8">
        <v>40641</v>
      </c>
      <c r="B3781">
        <v>1689844.18</v>
      </c>
      <c r="C3781">
        <v>0</v>
      </c>
      <c r="D3781">
        <v>46.87</v>
      </c>
      <c r="E3781">
        <v>3.895</v>
      </c>
      <c r="F3781">
        <v>138.06389290000001</v>
      </c>
      <c r="G3781">
        <v>7.7249999999999996</v>
      </c>
      <c r="N3781" s="8"/>
    </row>
    <row r="3782" spans="1:14" x14ac:dyDescent="0.25">
      <c r="A3782" s="8">
        <v>40648</v>
      </c>
      <c r="B3782">
        <v>1727175.61</v>
      </c>
      <c r="C3782">
        <v>0</v>
      </c>
      <c r="D3782">
        <v>52.24</v>
      </c>
      <c r="E3782">
        <v>3.9809999999999999</v>
      </c>
      <c r="F3782">
        <v>138.16469520000001</v>
      </c>
      <c r="G3782">
        <v>7.7249999999999996</v>
      </c>
      <c r="N3782" s="8"/>
    </row>
    <row r="3783" spans="1:14" x14ac:dyDescent="0.25">
      <c r="A3783" s="8">
        <v>40655</v>
      </c>
      <c r="B3783">
        <v>1921655.48</v>
      </c>
      <c r="C3783">
        <v>0</v>
      </c>
      <c r="D3783">
        <v>50.02</v>
      </c>
      <c r="E3783">
        <v>4.0609999999999999</v>
      </c>
      <c r="F3783">
        <v>138.24750359999999</v>
      </c>
      <c r="G3783">
        <v>7.7249999999999996</v>
      </c>
      <c r="N3783" s="8"/>
    </row>
    <row r="3784" spans="1:14" x14ac:dyDescent="0.25">
      <c r="A3784" s="8">
        <v>40662</v>
      </c>
      <c r="B3784">
        <v>1642074.64</v>
      </c>
      <c r="C3784">
        <v>0</v>
      </c>
      <c r="D3784">
        <v>61.71</v>
      </c>
      <c r="E3784">
        <v>4.117</v>
      </c>
      <c r="F3784">
        <v>138.3303119</v>
      </c>
      <c r="G3784">
        <v>7.7249999999999996</v>
      </c>
      <c r="N3784" s="8"/>
    </row>
    <row r="3785" spans="1:14" x14ac:dyDescent="0.25">
      <c r="A3785" s="8">
        <v>40669</v>
      </c>
      <c r="B3785">
        <v>1757041.96</v>
      </c>
      <c r="C3785">
        <v>0</v>
      </c>
      <c r="D3785">
        <v>56.48</v>
      </c>
      <c r="E3785">
        <v>4.1920000000000002</v>
      </c>
      <c r="F3785">
        <v>138.41312020000001</v>
      </c>
      <c r="G3785">
        <v>7.7249999999999996</v>
      </c>
      <c r="N3785" s="8"/>
    </row>
    <row r="3786" spans="1:14" x14ac:dyDescent="0.25">
      <c r="A3786" s="8">
        <v>40676</v>
      </c>
      <c r="B3786">
        <v>1763545.32</v>
      </c>
      <c r="C3786">
        <v>0</v>
      </c>
      <c r="D3786">
        <v>60.07</v>
      </c>
      <c r="E3786">
        <v>4.2110000000000003</v>
      </c>
      <c r="F3786">
        <v>138.49592860000001</v>
      </c>
      <c r="G3786">
        <v>7.7249999999999996</v>
      </c>
      <c r="N3786" s="8"/>
    </row>
    <row r="3787" spans="1:14" x14ac:dyDescent="0.25">
      <c r="A3787" s="8">
        <v>40683</v>
      </c>
      <c r="B3787">
        <v>1725268.56</v>
      </c>
      <c r="C3787">
        <v>0</v>
      </c>
      <c r="D3787">
        <v>60.22</v>
      </c>
      <c r="E3787">
        <v>4.202</v>
      </c>
      <c r="F3787">
        <v>138.58710600000001</v>
      </c>
      <c r="G3787">
        <v>7.7249999999999996</v>
      </c>
      <c r="N3787" s="8"/>
    </row>
    <row r="3788" spans="1:14" x14ac:dyDescent="0.25">
      <c r="A3788" s="8">
        <v>40690</v>
      </c>
      <c r="B3788">
        <v>1820723.17</v>
      </c>
      <c r="C3788">
        <v>0</v>
      </c>
      <c r="D3788">
        <v>66.430000000000007</v>
      </c>
      <c r="E3788">
        <v>4.1340000000000003</v>
      </c>
      <c r="F3788">
        <v>138.6782834</v>
      </c>
      <c r="G3788">
        <v>7.7249999999999996</v>
      </c>
      <c r="N3788" s="8"/>
    </row>
    <row r="3789" spans="1:14" x14ac:dyDescent="0.25">
      <c r="A3789" s="8">
        <v>40697</v>
      </c>
      <c r="B3789">
        <v>2053708.01</v>
      </c>
      <c r="C3789">
        <v>0</v>
      </c>
      <c r="D3789">
        <v>74.17</v>
      </c>
      <c r="E3789">
        <v>4.069</v>
      </c>
      <c r="F3789">
        <v>138.76946079999999</v>
      </c>
      <c r="G3789">
        <v>7.7249999999999996</v>
      </c>
      <c r="N3789" s="8"/>
    </row>
    <row r="3790" spans="1:14" x14ac:dyDescent="0.25">
      <c r="A3790" s="8">
        <v>40704</v>
      </c>
      <c r="B3790">
        <v>1817914.71</v>
      </c>
      <c r="C3790">
        <v>0</v>
      </c>
      <c r="D3790">
        <v>73.260000000000005</v>
      </c>
      <c r="E3790">
        <v>4.0250000000000004</v>
      </c>
      <c r="F3790">
        <v>138.86063820000001</v>
      </c>
      <c r="G3790">
        <v>7.7249999999999996</v>
      </c>
      <c r="N3790" s="8"/>
    </row>
    <row r="3791" spans="1:14" x14ac:dyDescent="0.25">
      <c r="A3791" s="8">
        <v>40711</v>
      </c>
      <c r="B3791">
        <v>1814740.09</v>
      </c>
      <c r="C3791">
        <v>0</v>
      </c>
      <c r="D3791">
        <v>67.03</v>
      </c>
      <c r="E3791">
        <v>3.9889999999999999</v>
      </c>
      <c r="F3791">
        <v>139.00283329999999</v>
      </c>
      <c r="G3791">
        <v>7.7249999999999996</v>
      </c>
      <c r="N3791" s="8"/>
    </row>
    <row r="3792" spans="1:14" x14ac:dyDescent="0.25">
      <c r="A3792" s="8">
        <v>40718</v>
      </c>
      <c r="B3792">
        <v>1811455.15</v>
      </c>
      <c r="C3792">
        <v>0</v>
      </c>
      <c r="D3792">
        <v>72.02</v>
      </c>
      <c r="E3792">
        <v>3.964</v>
      </c>
      <c r="F3792">
        <v>139.18329170000001</v>
      </c>
      <c r="G3792">
        <v>7.7249999999999996</v>
      </c>
      <c r="N3792" s="8"/>
    </row>
    <row r="3793" spans="1:14" x14ac:dyDescent="0.25">
      <c r="A3793" s="8">
        <v>40725</v>
      </c>
      <c r="B3793">
        <v>1949983.93</v>
      </c>
      <c r="C3793">
        <v>0</v>
      </c>
      <c r="D3793">
        <v>73.760000000000005</v>
      </c>
      <c r="E3793">
        <v>3.9159999999999999</v>
      </c>
      <c r="F3793">
        <v>139.36375000000001</v>
      </c>
      <c r="G3793">
        <v>7.85</v>
      </c>
      <c r="N3793" s="8"/>
    </row>
    <row r="3794" spans="1:14" x14ac:dyDescent="0.25">
      <c r="A3794" s="8">
        <v>40732</v>
      </c>
      <c r="B3794">
        <v>2000055.27</v>
      </c>
      <c r="C3794">
        <v>0</v>
      </c>
      <c r="D3794">
        <v>76.87</v>
      </c>
      <c r="E3794">
        <v>3.8860000000000001</v>
      </c>
      <c r="F3794">
        <v>139.54420830000001</v>
      </c>
      <c r="G3794">
        <v>7.85</v>
      </c>
      <c r="N3794" s="8"/>
    </row>
    <row r="3795" spans="1:14" x14ac:dyDescent="0.25">
      <c r="A3795" s="8">
        <v>40739</v>
      </c>
      <c r="B3795">
        <v>1762155.79</v>
      </c>
      <c r="C3795">
        <v>0</v>
      </c>
      <c r="D3795">
        <v>77.83</v>
      </c>
      <c r="E3795">
        <v>3.915</v>
      </c>
      <c r="F3795">
        <v>139.70063250000001</v>
      </c>
      <c r="G3795">
        <v>7.85</v>
      </c>
      <c r="N3795" s="8"/>
    </row>
    <row r="3796" spans="1:14" x14ac:dyDescent="0.25">
      <c r="A3796" s="8">
        <v>40746</v>
      </c>
      <c r="B3796">
        <v>1754879.45</v>
      </c>
      <c r="C3796">
        <v>0</v>
      </c>
      <c r="D3796">
        <v>82.28</v>
      </c>
      <c r="E3796">
        <v>3.972</v>
      </c>
      <c r="F3796">
        <v>139.7969712</v>
      </c>
      <c r="G3796">
        <v>7.85</v>
      </c>
      <c r="N3796" s="8"/>
    </row>
    <row r="3797" spans="1:14" x14ac:dyDescent="0.25">
      <c r="A3797" s="8">
        <v>40753</v>
      </c>
      <c r="B3797">
        <v>1744879.06</v>
      </c>
      <c r="C3797">
        <v>0</v>
      </c>
      <c r="D3797">
        <v>79.41</v>
      </c>
      <c r="E3797">
        <v>4.0039999999999996</v>
      </c>
      <c r="F3797">
        <v>139.89330989999999</v>
      </c>
      <c r="G3797">
        <v>7.85</v>
      </c>
      <c r="N3797" s="8"/>
    </row>
    <row r="3798" spans="1:14" x14ac:dyDescent="0.25">
      <c r="A3798" s="8">
        <v>40760</v>
      </c>
      <c r="B3798">
        <v>1747289.53</v>
      </c>
      <c r="C3798">
        <v>0</v>
      </c>
      <c r="D3798">
        <v>78.14</v>
      </c>
      <c r="E3798">
        <v>4.0199999999999996</v>
      </c>
      <c r="F3798">
        <v>139.98964860000001</v>
      </c>
      <c r="G3798">
        <v>7.85</v>
      </c>
      <c r="N3798" s="8"/>
    </row>
    <row r="3799" spans="1:14" x14ac:dyDescent="0.25">
      <c r="A3799" s="8">
        <v>40767</v>
      </c>
      <c r="B3799">
        <v>1758437.96</v>
      </c>
      <c r="C3799">
        <v>0</v>
      </c>
      <c r="D3799">
        <v>76.67</v>
      </c>
      <c r="E3799">
        <v>3.9950000000000001</v>
      </c>
      <c r="F3799">
        <v>140.0859873</v>
      </c>
      <c r="G3799">
        <v>7.85</v>
      </c>
      <c r="N3799" s="8"/>
    </row>
    <row r="3800" spans="1:14" x14ac:dyDescent="0.25">
      <c r="A3800" s="8">
        <v>40774</v>
      </c>
      <c r="B3800">
        <v>1781905.24</v>
      </c>
      <c r="C3800">
        <v>0</v>
      </c>
      <c r="D3800">
        <v>72.97</v>
      </c>
      <c r="E3800">
        <v>3.9420000000000002</v>
      </c>
      <c r="F3800">
        <v>140.12892049999999</v>
      </c>
      <c r="G3800">
        <v>7.85</v>
      </c>
      <c r="N3800" s="8"/>
    </row>
    <row r="3801" spans="1:14" x14ac:dyDescent="0.25">
      <c r="A3801" s="8">
        <v>40781</v>
      </c>
      <c r="B3801">
        <v>2034400.78</v>
      </c>
      <c r="C3801">
        <v>0</v>
      </c>
      <c r="D3801">
        <v>72.88</v>
      </c>
      <c r="E3801">
        <v>3.9060000000000001</v>
      </c>
      <c r="F3801">
        <v>140.1629528</v>
      </c>
      <c r="G3801">
        <v>7.85</v>
      </c>
      <c r="N3801" s="8"/>
    </row>
    <row r="3802" spans="1:14" x14ac:dyDescent="0.25">
      <c r="A3802" s="8">
        <v>40788</v>
      </c>
      <c r="B3802">
        <v>1511717.53</v>
      </c>
      <c r="C3802">
        <v>0</v>
      </c>
      <c r="D3802">
        <v>71.44</v>
      </c>
      <c r="E3802">
        <v>3.879</v>
      </c>
      <c r="F3802">
        <v>140.19698500000001</v>
      </c>
      <c r="G3802">
        <v>7.85</v>
      </c>
      <c r="N3802" s="8"/>
    </row>
    <row r="3803" spans="1:14" x14ac:dyDescent="0.25">
      <c r="A3803" s="8">
        <v>40795</v>
      </c>
      <c r="B3803">
        <v>1911470.84</v>
      </c>
      <c r="C3803">
        <v>1</v>
      </c>
      <c r="D3803">
        <v>70.930000000000007</v>
      </c>
      <c r="E3803">
        <v>3.93</v>
      </c>
      <c r="F3803">
        <v>140.23101729999999</v>
      </c>
      <c r="G3803">
        <v>7.85</v>
      </c>
      <c r="N3803" s="8"/>
    </row>
    <row r="3804" spans="1:14" x14ac:dyDescent="0.25">
      <c r="A3804" s="8">
        <v>40802</v>
      </c>
      <c r="B3804">
        <v>1613773.9</v>
      </c>
      <c r="C3804">
        <v>0</v>
      </c>
      <c r="D3804">
        <v>69.650000000000006</v>
      </c>
      <c r="E3804">
        <v>3.9369999999999998</v>
      </c>
      <c r="F3804">
        <v>140.27350000000001</v>
      </c>
      <c r="G3804">
        <v>7.85</v>
      </c>
      <c r="N3804" s="8"/>
    </row>
    <row r="3805" spans="1:14" x14ac:dyDescent="0.25">
      <c r="A3805" s="8">
        <v>40809</v>
      </c>
      <c r="B3805">
        <v>1606208.68</v>
      </c>
      <c r="C3805">
        <v>0</v>
      </c>
      <c r="D3805">
        <v>63.61</v>
      </c>
      <c r="E3805">
        <v>3.899</v>
      </c>
      <c r="F3805">
        <v>140.32724999999999</v>
      </c>
      <c r="G3805">
        <v>7.85</v>
      </c>
      <c r="N3805" s="8"/>
    </row>
    <row r="3806" spans="1:14" x14ac:dyDescent="0.25">
      <c r="A3806" s="8">
        <v>40816</v>
      </c>
      <c r="B3806">
        <v>1599626.26</v>
      </c>
      <c r="C3806">
        <v>0</v>
      </c>
      <c r="D3806">
        <v>70.92</v>
      </c>
      <c r="E3806">
        <v>3.8580000000000001</v>
      </c>
      <c r="F3806">
        <v>140.381</v>
      </c>
      <c r="G3806">
        <v>7.85</v>
      </c>
      <c r="N3806" s="8"/>
    </row>
    <row r="3807" spans="1:14" x14ac:dyDescent="0.25">
      <c r="A3807" s="8">
        <v>40823</v>
      </c>
      <c r="B3807">
        <v>1672339.27</v>
      </c>
      <c r="C3807">
        <v>0</v>
      </c>
      <c r="D3807">
        <v>56.91</v>
      </c>
      <c r="E3807">
        <v>3.7749999999999999</v>
      </c>
      <c r="F3807">
        <v>140.43475000000001</v>
      </c>
      <c r="G3807">
        <v>7.9059999999999997</v>
      </c>
      <c r="N3807" s="8"/>
    </row>
    <row r="3808" spans="1:14" x14ac:dyDescent="0.25">
      <c r="A3808" s="8">
        <v>40830</v>
      </c>
      <c r="B3808">
        <v>1682652.51</v>
      </c>
      <c r="C3808">
        <v>0</v>
      </c>
      <c r="D3808">
        <v>64.78</v>
      </c>
      <c r="E3808">
        <v>3.7440000000000002</v>
      </c>
      <c r="F3808">
        <v>140.47841940000001</v>
      </c>
      <c r="G3808">
        <v>7.9059999999999997</v>
      </c>
      <c r="N3808" s="8"/>
    </row>
    <row r="3809" spans="1:14" x14ac:dyDescent="0.25">
      <c r="A3809" s="8">
        <v>40837</v>
      </c>
      <c r="B3809">
        <v>1689591.44</v>
      </c>
      <c r="C3809">
        <v>0</v>
      </c>
      <c r="D3809">
        <v>59.62</v>
      </c>
      <c r="E3809">
        <v>3.7570000000000001</v>
      </c>
      <c r="F3809">
        <v>140.4616048</v>
      </c>
      <c r="G3809">
        <v>7.9059999999999997</v>
      </c>
      <c r="N3809" s="8"/>
    </row>
    <row r="3810" spans="1:14" x14ac:dyDescent="0.25">
      <c r="A3810" s="8">
        <v>40844</v>
      </c>
      <c r="B3810">
        <v>1710372.4</v>
      </c>
      <c r="C3810">
        <v>0</v>
      </c>
      <c r="D3810">
        <v>51.81</v>
      </c>
      <c r="E3810">
        <v>3.7570000000000001</v>
      </c>
      <c r="F3810">
        <v>140.44479029999999</v>
      </c>
      <c r="G3810">
        <v>7.9059999999999997</v>
      </c>
      <c r="N3810" s="8"/>
    </row>
    <row r="3811" spans="1:14" x14ac:dyDescent="0.25">
      <c r="A3811" s="8">
        <v>40851</v>
      </c>
      <c r="B3811">
        <v>1621109.3</v>
      </c>
      <c r="C3811">
        <v>0</v>
      </c>
      <c r="D3811">
        <v>44.46</v>
      </c>
      <c r="E3811">
        <v>3.738</v>
      </c>
      <c r="F3811">
        <v>140.42797580000001</v>
      </c>
      <c r="G3811">
        <v>7.9059999999999997</v>
      </c>
      <c r="N3811" s="8"/>
    </row>
    <row r="3812" spans="1:14" x14ac:dyDescent="0.25">
      <c r="A3812" s="8">
        <v>40858</v>
      </c>
      <c r="B3812">
        <v>1800728.07</v>
      </c>
      <c r="C3812">
        <v>0</v>
      </c>
      <c r="D3812">
        <v>49.69</v>
      </c>
      <c r="E3812">
        <v>3.7189999999999999</v>
      </c>
      <c r="F3812">
        <v>140.4111613</v>
      </c>
      <c r="G3812">
        <v>7.9059999999999997</v>
      </c>
      <c r="N3812" s="8"/>
    </row>
    <row r="3813" spans="1:14" x14ac:dyDescent="0.25">
      <c r="A3813" s="8">
        <v>40865</v>
      </c>
      <c r="B3813">
        <v>1723739.44</v>
      </c>
      <c r="C3813">
        <v>0</v>
      </c>
      <c r="D3813">
        <v>51.42</v>
      </c>
      <c r="E3813">
        <v>3.7170000000000001</v>
      </c>
      <c r="F3813">
        <v>140.4127857</v>
      </c>
      <c r="G3813">
        <v>7.9059999999999997</v>
      </c>
      <c r="N3813" s="8"/>
    </row>
    <row r="3814" spans="1:14" x14ac:dyDescent="0.25">
      <c r="A3814" s="8">
        <v>40872</v>
      </c>
      <c r="B3814">
        <v>2504400.71</v>
      </c>
      <c r="C3814">
        <v>1</v>
      </c>
      <c r="D3814">
        <v>47.88</v>
      </c>
      <c r="E3814">
        <v>3.6890000000000001</v>
      </c>
      <c r="F3814">
        <v>140.42178569999999</v>
      </c>
      <c r="G3814">
        <v>7.9059999999999997</v>
      </c>
      <c r="N3814" s="8"/>
    </row>
    <row r="3815" spans="1:14" x14ac:dyDescent="0.25">
      <c r="A3815" s="8">
        <v>40879</v>
      </c>
      <c r="B3815">
        <v>1806924.74</v>
      </c>
      <c r="C3815">
        <v>0</v>
      </c>
      <c r="D3815">
        <v>50.55</v>
      </c>
      <c r="E3815">
        <v>3.6659999999999999</v>
      </c>
      <c r="F3815">
        <v>140.4307857</v>
      </c>
      <c r="G3815">
        <v>7.9059999999999997</v>
      </c>
      <c r="N3815" s="8"/>
    </row>
    <row r="3816" spans="1:14" x14ac:dyDescent="0.25">
      <c r="A3816" s="8">
        <v>40886</v>
      </c>
      <c r="B3816">
        <v>2014665.98</v>
      </c>
      <c r="C3816">
        <v>0</v>
      </c>
      <c r="D3816">
        <v>46.28</v>
      </c>
      <c r="E3816">
        <v>3.6269999999999998</v>
      </c>
      <c r="F3816">
        <v>140.43978569999999</v>
      </c>
      <c r="G3816">
        <v>7.9059999999999997</v>
      </c>
      <c r="N3816" s="8"/>
    </row>
    <row r="3817" spans="1:14" x14ac:dyDescent="0.25">
      <c r="A3817" s="8">
        <v>40893</v>
      </c>
      <c r="B3817">
        <v>2205919.86</v>
      </c>
      <c r="C3817">
        <v>0</v>
      </c>
      <c r="D3817">
        <v>40.68</v>
      </c>
      <c r="E3817">
        <v>3.6110000000000002</v>
      </c>
      <c r="F3817">
        <v>140.4700795</v>
      </c>
      <c r="G3817">
        <v>7.9059999999999997</v>
      </c>
      <c r="N3817" s="8"/>
    </row>
    <row r="3818" spans="1:14" x14ac:dyDescent="0.25">
      <c r="A3818" s="8">
        <v>40900</v>
      </c>
      <c r="B3818">
        <v>2739019.75</v>
      </c>
      <c r="C3818">
        <v>0</v>
      </c>
      <c r="D3818">
        <v>41.59</v>
      </c>
      <c r="E3818">
        <v>3.5870000000000002</v>
      </c>
      <c r="F3818">
        <v>140.52876499999999</v>
      </c>
      <c r="G3818">
        <v>7.9059999999999997</v>
      </c>
      <c r="N3818" s="8"/>
    </row>
    <row r="3819" spans="1:14" x14ac:dyDescent="0.25">
      <c r="A3819" s="8">
        <v>40907</v>
      </c>
      <c r="B3819">
        <v>1650604.6</v>
      </c>
      <c r="C3819">
        <v>1</v>
      </c>
      <c r="D3819">
        <v>37.85</v>
      </c>
      <c r="E3819">
        <v>3.5659999999999998</v>
      </c>
      <c r="F3819">
        <v>140.58745049999999</v>
      </c>
      <c r="G3819">
        <v>7.9059999999999997</v>
      </c>
      <c r="N3819" s="8"/>
    </row>
    <row r="3820" spans="1:14" x14ac:dyDescent="0.25">
      <c r="A3820" s="8">
        <v>40914</v>
      </c>
      <c r="B3820">
        <v>1535287.4</v>
      </c>
      <c r="C3820">
        <v>0</v>
      </c>
      <c r="D3820">
        <v>35.799999999999997</v>
      </c>
      <c r="E3820">
        <v>3.585</v>
      </c>
      <c r="F3820">
        <v>140.64613589999999</v>
      </c>
      <c r="G3820">
        <v>8.0090000000000003</v>
      </c>
      <c r="N3820" s="8"/>
    </row>
    <row r="3821" spans="1:14" x14ac:dyDescent="0.25">
      <c r="A3821" s="8">
        <v>40921</v>
      </c>
      <c r="B3821">
        <v>1492399.13</v>
      </c>
      <c r="C3821">
        <v>0</v>
      </c>
      <c r="D3821">
        <v>41.3</v>
      </c>
      <c r="E3821">
        <v>3.6659999999999999</v>
      </c>
      <c r="F3821">
        <v>140.70482139999999</v>
      </c>
      <c r="G3821">
        <v>8.0090000000000003</v>
      </c>
      <c r="N3821" s="8"/>
    </row>
    <row r="3822" spans="1:14" x14ac:dyDescent="0.25">
      <c r="A3822" s="8">
        <v>40928</v>
      </c>
      <c r="B3822">
        <v>1542131.05</v>
      </c>
      <c r="C3822">
        <v>0</v>
      </c>
      <c r="D3822">
        <v>30.35</v>
      </c>
      <c r="E3822">
        <v>3.7050000000000001</v>
      </c>
      <c r="F3822">
        <v>140.80861179999999</v>
      </c>
      <c r="G3822">
        <v>8.0090000000000003</v>
      </c>
      <c r="N3822" s="8"/>
    </row>
    <row r="3823" spans="1:14" x14ac:dyDescent="0.25">
      <c r="A3823" s="8">
        <v>40935</v>
      </c>
      <c r="B3823">
        <v>1263534.8600000001</v>
      </c>
      <c r="C3823">
        <v>0</v>
      </c>
      <c r="D3823">
        <v>36.96</v>
      </c>
      <c r="E3823">
        <v>3.7370000000000001</v>
      </c>
      <c r="F3823">
        <v>140.91240210000001</v>
      </c>
      <c r="G3823">
        <v>8.0090000000000003</v>
      </c>
      <c r="N3823" s="8"/>
    </row>
    <row r="3824" spans="1:14" x14ac:dyDescent="0.25">
      <c r="A3824" s="8">
        <v>40942</v>
      </c>
      <c r="B3824">
        <v>1564246.02</v>
      </c>
      <c r="C3824">
        <v>0</v>
      </c>
      <c r="D3824">
        <v>42.52</v>
      </c>
      <c r="E3824">
        <v>3.7959999999999998</v>
      </c>
      <c r="F3824">
        <v>141.01619239999999</v>
      </c>
      <c r="G3824">
        <v>8.0090000000000003</v>
      </c>
      <c r="N3824" s="8"/>
    </row>
    <row r="3825" spans="1:14" x14ac:dyDescent="0.25">
      <c r="A3825" s="8">
        <v>40949</v>
      </c>
      <c r="B3825">
        <v>1651605.35</v>
      </c>
      <c r="C3825">
        <v>1</v>
      </c>
      <c r="D3825">
        <v>37.86</v>
      </c>
      <c r="E3825">
        <v>3.8260000000000001</v>
      </c>
      <c r="F3825">
        <v>141.11998270000001</v>
      </c>
      <c r="G3825">
        <v>8.0090000000000003</v>
      </c>
      <c r="N3825" s="8"/>
    </row>
    <row r="3826" spans="1:14" x14ac:dyDescent="0.25">
      <c r="A3826" s="8">
        <v>40956</v>
      </c>
      <c r="B3826">
        <v>1606221.56</v>
      </c>
      <c r="C3826">
        <v>0</v>
      </c>
      <c r="D3826">
        <v>37.24</v>
      </c>
      <c r="E3826">
        <v>3.8740000000000001</v>
      </c>
      <c r="F3826">
        <v>141.21403570000001</v>
      </c>
      <c r="G3826">
        <v>8.0090000000000003</v>
      </c>
      <c r="N3826" s="8"/>
    </row>
    <row r="3827" spans="1:14" x14ac:dyDescent="0.25">
      <c r="A3827" s="8">
        <v>40963</v>
      </c>
      <c r="B3827">
        <v>1648602.39</v>
      </c>
      <c r="C3827">
        <v>0</v>
      </c>
      <c r="D3827">
        <v>41.74</v>
      </c>
      <c r="E3827">
        <v>3.9169999999999998</v>
      </c>
      <c r="F3827">
        <v>141.30078570000001</v>
      </c>
      <c r="G3827">
        <v>8.0090000000000003</v>
      </c>
      <c r="N3827" s="8"/>
    </row>
    <row r="3828" spans="1:14" x14ac:dyDescent="0.25">
      <c r="A3828" s="8">
        <v>40970</v>
      </c>
      <c r="B3828">
        <v>1509323.09</v>
      </c>
      <c r="C3828">
        <v>0</v>
      </c>
      <c r="D3828">
        <v>40.07</v>
      </c>
      <c r="E3828">
        <v>3.9830000000000001</v>
      </c>
      <c r="F3828">
        <v>141.3875357</v>
      </c>
      <c r="G3828">
        <v>8.0090000000000003</v>
      </c>
      <c r="N3828" s="8"/>
    </row>
    <row r="3829" spans="1:14" x14ac:dyDescent="0.25">
      <c r="A3829" s="8">
        <v>40977</v>
      </c>
      <c r="B3829">
        <v>1607343.41</v>
      </c>
      <c r="C3829">
        <v>0</v>
      </c>
      <c r="D3829">
        <v>44.32</v>
      </c>
      <c r="E3829">
        <v>4.0209999999999999</v>
      </c>
      <c r="F3829">
        <v>141.4742857</v>
      </c>
      <c r="G3829">
        <v>8.0090000000000003</v>
      </c>
      <c r="N3829" s="8"/>
    </row>
    <row r="3830" spans="1:14" x14ac:dyDescent="0.25">
      <c r="A3830" s="8">
        <v>40984</v>
      </c>
      <c r="B3830">
        <v>1635984.07</v>
      </c>
      <c r="C3830">
        <v>0</v>
      </c>
      <c r="D3830">
        <v>49.6</v>
      </c>
      <c r="E3830">
        <v>4.0209999999999999</v>
      </c>
      <c r="F3830">
        <v>141.55477999999999</v>
      </c>
      <c r="G3830">
        <v>8.0090000000000003</v>
      </c>
      <c r="N3830" s="8"/>
    </row>
    <row r="3831" spans="1:14" x14ac:dyDescent="0.25">
      <c r="A3831" s="8">
        <v>40991</v>
      </c>
      <c r="B3831">
        <v>1620839.34</v>
      </c>
      <c r="C3831">
        <v>0</v>
      </c>
      <c r="D3831">
        <v>57.3</v>
      </c>
      <c r="E3831">
        <v>4.0540000000000003</v>
      </c>
      <c r="F3831">
        <v>141.6269332</v>
      </c>
      <c r="G3831">
        <v>8.0090000000000003</v>
      </c>
      <c r="N3831" s="8"/>
    </row>
    <row r="3832" spans="1:14" x14ac:dyDescent="0.25">
      <c r="A3832" s="8">
        <v>40998</v>
      </c>
      <c r="B3832">
        <v>1615494.14</v>
      </c>
      <c r="C3832">
        <v>0</v>
      </c>
      <c r="D3832">
        <v>49.4</v>
      </c>
      <c r="E3832">
        <v>4.0979999999999999</v>
      </c>
      <c r="F3832">
        <v>141.6990864</v>
      </c>
      <c r="G3832">
        <v>8.0090000000000003</v>
      </c>
      <c r="N3832" s="8"/>
    </row>
    <row r="3833" spans="1:14" x14ac:dyDescent="0.25">
      <c r="A3833" s="8">
        <v>41005</v>
      </c>
      <c r="B3833">
        <v>1899013.34</v>
      </c>
      <c r="C3833">
        <v>0</v>
      </c>
      <c r="D3833">
        <v>48.73</v>
      </c>
      <c r="E3833">
        <v>4.1429999999999998</v>
      </c>
      <c r="F3833">
        <v>141.7712396</v>
      </c>
      <c r="G3833">
        <v>8.2530000000000001</v>
      </c>
      <c r="N3833" s="8"/>
    </row>
    <row r="3834" spans="1:14" x14ac:dyDescent="0.25">
      <c r="A3834" s="8">
        <v>41012</v>
      </c>
      <c r="B3834">
        <v>1650405.21</v>
      </c>
      <c r="C3834">
        <v>0</v>
      </c>
      <c r="D3834">
        <v>52.22</v>
      </c>
      <c r="E3834">
        <v>4.1870000000000003</v>
      </c>
      <c r="F3834">
        <v>141.8433929</v>
      </c>
      <c r="G3834">
        <v>8.2530000000000001</v>
      </c>
      <c r="N3834" s="8"/>
    </row>
    <row r="3835" spans="1:14" x14ac:dyDescent="0.25">
      <c r="A3835" s="8">
        <v>41019</v>
      </c>
      <c r="B3835">
        <v>1639999.47</v>
      </c>
      <c r="C3835">
        <v>0</v>
      </c>
      <c r="D3835">
        <v>62.62</v>
      </c>
      <c r="E3835">
        <v>4.17</v>
      </c>
      <c r="F3835">
        <v>141.90152620000001</v>
      </c>
      <c r="G3835">
        <v>8.2530000000000001</v>
      </c>
      <c r="N3835" s="8"/>
    </row>
    <row r="3836" spans="1:14" x14ac:dyDescent="0.25">
      <c r="A3836" s="8">
        <v>41026</v>
      </c>
      <c r="B3836">
        <v>1565498.84</v>
      </c>
      <c r="C3836">
        <v>0</v>
      </c>
      <c r="D3836">
        <v>52.33</v>
      </c>
      <c r="E3836">
        <v>4.1630000000000003</v>
      </c>
      <c r="F3836">
        <v>141.95965949999999</v>
      </c>
      <c r="G3836">
        <v>8.2530000000000001</v>
      </c>
      <c r="N3836" s="8"/>
    </row>
    <row r="3837" spans="1:14" x14ac:dyDescent="0.25">
      <c r="A3837" s="8">
        <v>41033</v>
      </c>
      <c r="B3837">
        <v>1669388.45</v>
      </c>
      <c r="C3837">
        <v>0</v>
      </c>
      <c r="D3837">
        <v>53.68</v>
      </c>
      <c r="E3837">
        <v>4.1239999999999997</v>
      </c>
      <c r="F3837">
        <v>142.01779289999999</v>
      </c>
      <c r="G3837">
        <v>8.2530000000000001</v>
      </c>
      <c r="N3837" s="8"/>
    </row>
    <row r="3838" spans="1:14" x14ac:dyDescent="0.25">
      <c r="A3838" s="8">
        <v>41040</v>
      </c>
      <c r="B3838">
        <v>1674306.31</v>
      </c>
      <c r="C3838">
        <v>0</v>
      </c>
      <c r="D3838">
        <v>58.97</v>
      </c>
      <c r="E3838">
        <v>4.0549999999999997</v>
      </c>
      <c r="F3838">
        <v>142.0759262</v>
      </c>
      <c r="G3838">
        <v>8.2530000000000001</v>
      </c>
      <c r="N3838" s="8"/>
    </row>
    <row r="3839" spans="1:14" x14ac:dyDescent="0.25">
      <c r="A3839" s="8">
        <v>41047</v>
      </c>
      <c r="B3839">
        <v>1707158.82</v>
      </c>
      <c r="C3839">
        <v>0</v>
      </c>
      <c r="D3839">
        <v>65.150000000000006</v>
      </c>
      <c r="E3839">
        <v>4.0289999999999999</v>
      </c>
      <c r="F3839">
        <v>142.09701150000001</v>
      </c>
      <c r="G3839">
        <v>8.2530000000000001</v>
      </c>
      <c r="N3839" s="8"/>
    </row>
    <row r="3840" spans="1:14" x14ac:dyDescent="0.25">
      <c r="A3840" s="8">
        <v>41054</v>
      </c>
      <c r="B3840">
        <v>1818906.73</v>
      </c>
      <c r="C3840">
        <v>0</v>
      </c>
      <c r="D3840">
        <v>64.77</v>
      </c>
      <c r="E3840">
        <v>3.9790000000000001</v>
      </c>
      <c r="F3840">
        <v>142.10327760000001</v>
      </c>
      <c r="G3840">
        <v>8.2530000000000001</v>
      </c>
      <c r="N3840" s="8"/>
    </row>
    <row r="3841" spans="1:14" x14ac:dyDescent="0.25">
      <c r="A3841" s="8">
        <v>41061</v>
      </c>
      <c r="B3841">
        <v>1900638.6</v>
      </c>
      <c r="C3841">
        <v>0</v>
      </c>
      <c r="D3841">
        <v>73.400000000000006</v>
      </c>
      <c r="E3841">
        <v>3.915</v>
      </c>
      <c r="F3841">
        <v>142.10954380000001</v>
      </c>
      <c r="G3841">
        <v>8.2530000000000001</v>
      </c>
      <c r="N3841" s="8"/>
    </row>
    <row r="3842" spans="1:14" x14ac:dyDescent="0.25">
      <c r="A3842" s="8">
        <v>41068</v>
      </c>
      <c r="B3842">
        <v>1764756.31</v>
      </c>
      <c r="C3842">
        <v>0</v>
      </c>
      <c r="D3842">
        <v>64.05</v>
      </c>
      <c r="E3842">
        <v>3.871</v>
      </c>
      <c r="F3842">
        <v>142.11580989999999</v>
      </c>
      <c r="G3842">
        <v>8.2530000000000001</v>
      </c>
      <c r="N3842" s="8"/>
    </row>
    <row r="3843" spans="1:14" x14ac:dyDescent="0.25">
      <c r="A3843" s="8">
        <v>41075</v>
      </c>
      <c r="B3843">
        <v>1773500.56</v>
      </c>
      <c r="C3843">
        <v>0</v>
      </c>
      <c r="D3843">
        <v>69.52</v>
      </c>
      <c r="E3843">
        <v>3.786</v>
      </c>
      <c r="F3843">
        <v>142.12925480000001</v>
      </c>
      <c r="G3843">
        <v>8.2530000000000001</v>
      </c>
      <c r="N3843" s="8"/>
    </row>
    <row r="3844" spans="1:14" x14ac:dyDescent="0.25">
      <c r="A3844" s="8">
        <v>41082</v>
      </c>
      <c r="B3844">
        <v>1837884.79</v>
      </c>
      <c r="C3844">
        <v>0</v>
      </c>
      <c r="D3844">
        <v>73.23</v>
      </c>
      <c r="E3844">
        <v>3.722</v>
      </c>
      <c r="F3844">
        <v>142.16064639999999</v>
      </c>
      <c r="G3844">
        <v>8.2530000000000001</v>
      </c>
      <c r="N3844" s="8"/>
    </row>
    <row r="3845" spans="1:14" x14ac:dyDescent="0.25">
      <c r="A3845" s="8">
        <v>41089</v>
      </c>
      <c r="B3845">
        <v>1842555.32</v>
      </c>
      <c r="C3845">
        <v>0</v>
      </c>
      <c r="D3845">
        <v>73.94</v>
      </c>
      <c r="E3845">
        <v>3.6669999999999998</v>
      </c>
      <c r="F3845">
        <v>142.19203809999999</v>
      </c>
      <c r="G3845">
        <v>8.2530000000000001</v>
      </c>
      <c r="N3845" s="8"/>
    </row>
    <row r="3846" spans="1:14" x14ac:dyDescent="0.25">
      <c r="A3846" s="8">
        <v>41096</v>
      </c>
      <c r="B3846">
        <v>2062224.92</v>
      </c>
      <c r="C3846">
        <v>0</v>
      </c>
      <c r="D3846">
        <v>82.08</v>
      </c>
      <c r="E3846">
        <v>3.6459999999999999</v>
      </c>
      <c r="F3846">
        <v>142.22342979999999</v>
      </c>
      <c r="G3846">
        <v>8.2390000000000008</v>
      </c>
      <c r="N3846" s="8"/>
    </row>
    <row r="3847" spans="1:14" x14ac:dyDescent="0.25">
      <c r="A3847" s="8">
        <v>41103</v>
      </c>
      <c r="B3847">
        <v>1755889.53</v>
      </c>
      <c r="C3847">
        <v>0</v>
      </c>
      <c r="D3847">
        <v>78.95</v>
      </c>
      <c r="E3847">
        <v>3.6890000000000001</v>
      </c>
      <c r="F3847">
        <v>142.2548214</v>
      </c>
      <c r="G3847">
        <v>8.2390000000000008</v>
      </c>
      <c r="N3847" s="8"/>
    </row>
    <row r="3848" spans="1:14" x14ac:dyDescent="0.25">
      <c r="A3848" s="8">
        <v>41110</v>
      </c>
      <c r="B3848">
        <v>1730913.66</v>
      </c>
      <c r="C3848">
        <v>0</v>
      </c>
      <c r="D3848">
        <v>78.64</v>
      </c>
      <c r="E3848">
        <v>3.7320000000000002</v>
      </c>
      <c r="F3848">
        <v>142.2337569</v>
      </c>
      <c r="G3848">
        <v>8.2390000000000008</v>
      </c>
      <c r="N3848" s="8"/>
    </row>
    <row r="3849" spans="1:14" x14ac:dyDescent="0.25">
      <c r="A3849" s="8">
        <v>41117</v>
      </c>
      <c r="B3849">
        <v>1625883.71</v>
      </c>
      <c r="C3849">
        <v>0</v>
      </c>
      <c r="D3849">
        <v>76.010000000000005</v>
      </c>
      <c r="E3849">
        <v>3.82</v>
      </c>
      <c r="F3849">
        <v>142.21269240000001</v>
      </c>
      <c r="G3849">
        <v>8.2390000000000008</v>
      </c>
      <c r="N3849" s="8"/>
    </row>
    <row r="3850" spans="1:14" x14ac:dyDescent="0.25">
      <c r="A3850" s="8">
        <v>41124</v>
      </c>
      <c r="B3850">
        <v>1705810.84</v>
      </c>
      <c r="C3850">
        <v>0</v>
      </c>
      <c r="D3850">
        <v>75.22</v>
      </c>
      <c r="E3850">
        <v>3.819</v>
      </c>
      <c r="F3850">
        <v>142.19162789999999</v>
      </c>
      <c r="G3850">
        <v>8.2390000000000008</v>
      </c>
      <c r="N3850" s="8"/>
    </row>
    <row r="3851" spans="1:14" x14ac:dyDescent="0.25">
      <c r="A3851" s="8">
        <v>41131</v>
      </c>
      <c r="B3851">
        <v>1720537.26</v>
      </c>
      <c r="C3851">
        <v>0</v>
      </c>
      <c r="D3851">
        <v>78.44</v>
      </c>
      <c r="E3851">
        <v>3.863</v>
      </c>
      <c r="F3851">
        <v>142.17056339999999</v>
      </c>
      <c r="G3851">
        <v>8.2390000000000008</v>
      </c>
      <c r="N3851" s="8"/>
    </row>
    <row r="3852" spans="1:14" x14ac:dyDescent="0.25">
      <c r="A3852" s="8">
        <v>41138</v>
      </c>
      <c r="B3852">
        <v>1735339.59</v>
      </c>
      <c r="C3852">
        <v>0</v>
      </c>
      <c r="D3852">
        <v>76.510000000000005</v>
      </c>
      <c r="E3852">
        <v>3.9630000000000001</v>
      </c>
      <c r="F3852">
        <v>142.21573849999999</v>
      </c>
      <c r="G3852">
        <v>8.2390000000000008</v>
      </c>
      <c r="N3852" s="8"/>
    </row>
    <row r="3853" spans="1:14" x14ac:dyDescent="0.25">
      <c r="A3853" s="8">
        <v>41145</v>
      </c>
      <c r="B3853">
        <v>1780443.36</v>
      </c>
      <c r="C3853">
        <v>0</v>
      </c>
      <c r="D3853">
        <v>72.930000000000007</v>
      </c>
      <c r="E3853">
        <v>3.9969999999999999</v>
      </c>
      <c r="F3853">
        <v>142.31059329999999</v>
      </c>
      <c r="G3853">
        <v>8.2390000000000008</v>
      </c>
      <c r="N3853" s="8"/>
    </row>
    <row r="3854" spans="1:14" x14ac:dyDescent="0.25">
      <c r="A3854" s="8">
        <v>41152</v>
      </c>
      <c r="B3854">
        <v>1731935.43</v>
      </c>
      <c r="C3854">
        <v>0</v>
      </c>
      <c r="D3854">
        <v>75</v>
      </c>
      <c r="E3854">
        <v>4.0259999999999998</v>
      </c>
      <c r="F3854">
        <v>142.4054482</v>
      </c>
      <c r="G3854">
        <v>8.2390000000000008</v>
      </c>
      <c r="N3854" s="8"/>
    </row>
    <row r="3855" spans="1:14" x14ac:dyDescent="0.25">
      <c r="A3855" s="8">
        <v>41159</v>
      </c>
      <c r="B3855">
        <v>1840955.23</v>
      </c>
      <c r="C3855">
        <v>1</v>
      </c>
      <c r="D3855">
        <v>76</v>
      </c>
      <c r="E3855">
        <v>4.0759999999999996</v>
      </c>
      <c r="F3855">
        <v>142.500303</v>
      </c>
      <c r="G3855">
        <v>8.2390000000000008</v>
      </c>
      <c r="N3855" s="8"/>
    </row>
    <row r="3856" spans="1:14" x14ac:dyDescent="0.25">
      <c r="A3856" s="8">
        <v>41166</v>
      </c>
      <c r="B3856">
        <v>1519604.5</v>
      </c>
      <c r="C3856">
        <v>0</v>
      </c>
      <c r="D3856">
        <v>68.72</v>
      </c>
      <c r="E3856">
        <v>4.0880000000000001</v>
      </c>
      <c r="F3856">
        <v>142.59388329999999</v>
      </c>
      <c r="G3856">
        <v>8.2390000000000008</v>
      </c>
      <c r="N3856" s="8"/>
    </row>
    <row r="3857" spans="1:14" x14ac:dyDescent="0.25">
      <c r="A3857" s="8">
        <v>41173</v>
      </c>
      <c r="B3857">
        <v>1557485.75</v>
      </c>
      <c r="C3857">
        <v>0</v>
      </c>
      <c r="D3857">
        <v>66.099999999999994</v>
      </c>
      <c r="E3857">
        <v>4.2030000000000003</v>
      </c>
      <c r="F3857">
        <v>142.6798167</v>
      </c>
      <c r="G3857">
        <v>8.2390000000000008</v>
      </c>
      <c r="N3857" s="8"/>
    </row>
    <row r="3858" spans="1:14" x14ac:dyDescent="0.25">
      <c r="A3858" s="8">
        <v>41180</v>
      </c>
      <c r="B3858">
        <v>1540687.63</v>
      </c>
      <c r="C3858">
        <v>0</v>
      </c>
      <c r="D3858">
        <v>64.92</v>
      </c>
      <c r="E3858">
        <v>4.1580000000000004</v>
      </c>
      <c r="F3858">
        <v>142.76575</v>
      </c>
      <c r="G3858">
        <v>8.2390000000000008</v>
      </c>
      <c r="N3858" s="8"/>
    </row>
    <row r="3859" spans="1:14" x14ac:dyDescent="0.25">
      <c r="A3859" s="8">
        <v>41187</v>
      </c>
      <c r="B3859">
        <v>1591816.88</v>
      </c>
      <c r="C3859">
        <v>0</v>
      </c>
      <c r="D3859">
        <v>64.5</v>
      </c>
      <c r="E3859">
        <v>4.1509999999999998</v>
      </c>
      <c r="F3859">
        <v>142.85168329999999</v>
      </c>
      <c r="G3859">
        <v>8</v>
      </c>
      <c r="N3859" s="8"/>
    </row>
    <row r="3860" spans="1:14" x14ac:dyDescent="0.25">
      <c r="A3860" s="8">
        <v>41194</v>
      </c>
      <c r="B3860">
        <v>1660081.29</v>
      </c>
      <c r="C3860">
        <v>0</v>
      </c>
      <c r="D3860">
        <v>55.4</v>
      </c>
      <c r="E3860">
        <v>4.1859999999999999</v>
      </c>
      <c r="F3860">
        <v>142.93761670000001</v>
      </c>
      <c r="G3860">
        <v>8</v>
      </c>
      <c r="N3860" s="8"/>
    </row>
    <row r="3861" spans="1:14" x14ac:dyDescent="0.25">
      <c r="A3861" s="8">
        <v>41201</v>
      </c>
      <c r="B3861">
        <v>1620374.24</v>
      </c>
      <c r="C3861">
        <v>0</v>
      </c>
      <c r="D3861">
        <v>56.53</v>
      </c>
      <c r="E3861">
        <v>4.1529999999999996</v>
      </c>
      <c r="F3861">
        <v>142.8633629</v>
      </c>
      <c r="G3861">
        <v>8</v>
      </c>
      <c r="N3861" s="8"/>
    </row>
    <row r="3862" spans="1:14" x14ac:dyDescent="0.25">
      <c r="A3862" s="8">
        <v>41208</v>
      </c>
      <c r="B3862">
        <v>1703047.74</v>
      </c>
      <c r="C3862">
        <v>0</v>
      </c>
      <c r="D3862">
        <v>58.99</v>
      </c>
      <c r="E3862">
        <v>4.0709999999999997</v>
      </c>
      <c r="F3862">
        <v>142.7624113</v>
      </c>
      <c r="G3862">
        <v>8</v>
      </c>
      <c r="N3862" s="8"/>
    </row>
    <row r="3863" spans="1:14" x14ac:dyDescent="0.25">
      <c r="A3863" s="8">
        <v>40214</v>
      </c>
      <c r="B3863">
        <v>1672352.29</v>
      </c>
      <c r="C3863">
        <v>0</v>
      </c>
      <c r="D3863">
        <v>49.47</v>
      </c>
      <c r="E3863">
        <v>2.9620000000000002</v>
      </c>
      <c r="F3863">
        <v>126.4420645</v>
      </c>
      <c r="G3863">
        <v>13.975</v>
      </c>
      <c r="N3863" s="8"/>
    </row>
    <row r="3864" spans="1:14" x14ac:dyDescent="0.25">
      <c r="A3864" s="8">
        <v>40221</v>
      </c>
      <c r="B3864">
        <v>1558968.49</v>
      </c>
      <c r="C3864">
        <v>1</v>
      </c>
      <c r="D3864">
        <v>47.87</v>
      </c>
      <c r="E3864">
        <v>2.9460000000000002</v>
      </c>
      <c r="F3864">
        <v>126.49625810000001</v>
      </c>
      <c r="G3864">
        <v>13.975</v>
      </c>
      <c r="N3864" s="8"/>
    </row>
    <row r="3865" spans="1:14" x14ac:dyDescent="0.25">
      <c r="A3865" s="8">
        <v>40228</v>
      </c>
      <c r="B3865">
        <v>1491300.42</v>
      </c>
      <c r="C3865">
        <v>0</v>
      </c>
      <c r="D3865">
        <v>54.83</v>
      </c>
      <c r="E3865">
        <v>2.915</v>
      </c>
      <c r="F3865">
        <v>126.5262857</v>
      </c>
      <c r="G3865">
        <v>13.975</v>
      </c>
      <c r="N3865" s="8"/>
    </row>
    <row r="3866" spans="1:14" x14ac:dyDescent="0.25">
      <c r="A3866" s="8">
        <v>40235</v>
      </c>
      <c r="B3866">
        <v>1542173.33</v>
      </c>
      <c r="C3866">
        <v>0</v>
      </c>
      <c r="D3866">
        <v>50.23</v>
      </c>
      <c r="E3866">
        <v>2.8250000000000002</v>
      </c>
      <c r="F3866">
        <v>126.5522857</v>
      </c>
      <c r="G3866">
        <v>13.975</v>
      </c>
      <c r="N3866" s="8"/>
    </row>
    <row r="3867" spans="1:14" x14ac:dyDescent="0.25">
      <c r="A3867" s="8">
        <v>40242</v>
      </c>
      <c r="B3867">
        <v>1608435.45</v>
      </c>
      <c r="C3867">
        <v>0</v>
      </c>
      <c r="D3867">
        <v>53.77</v>
      </c>
      <c r="E3867">
        <v>2.9870000000000001</v>
      </c>
      <c r="F3867">
        <v>126.5782857</v>
      </c>
      <c r="G3867">
        <v>13.975</v>
      </c>
      <c r="N3867" s="8"/>
    </row>
    <row r="3868" spans="1:14" x14ac:dyDescent="0.25">
      <c r="A3868" s="8">
        <v>40249</v>
      </c>
      <c r="B3868">
        <v>1326877.1100000001</v>
      </c>
      <c r="C3868">
        <v>0</v>
      </c>
      <c r="D3868">
        <v>50.11</v>
      </c>
      <c r="E3868">
        <v>2.9249999999999998</v>
      </c>
      <c r="F3868">
        <v>126.60428570000001</v>
      </c>
      <c r="G3868">
        <v>13.975</v>
      </c>
      <c r="N3868" s="8"/>
    </row>
    <row r="3869" spans="1:14" x14ac:dyDescent="0.25">
      <c r="A3869" s="8">
        <v>40256</v>
      </c>
      <c r="B3869">
        <v>1279819.43</v>
      </c>
      <c r="C3869">
        <v>0</v>
      </c>
      <c r="D3869">
        <v>59.57</v>
      </c>
      <c r="E3869">
        <v>3.0539999999999998</v>
      </c>
      <c r="F3869">
        <v>126.6066452</v>
      </c>
      <c r="G3869">
        <v>13.975</v>
      </c>
      <c r="N3869" s="8"/>
    </row>
    <row r="3870" spans="1:14" x14ac:dyDescent="0.25">
      <c r="A3870" s="8">
        <v>40263</v>
      </c>
      <c r="B3870">
        <v>1245268.77</v>
      </c>
      <c r="C3870">
        <v>0</v>
      </c>
      <c r="D3870">
        <v>60.06</v>
      </c>
      <c r="E3870">
        <v>3.0830000000000002</v>
      </c>
      <c r="F3870">
        <v>126.6050645</v>
      </c>
      <c r="G3870">
        <v>13.975</v>
      </c>
      <c r="N3870" s="8"/>
    </row>
    <row r="3871" spans="1:14" x14ac:dyDescent="0.25">
      <c r="A3871" s="8">
        <v>40270</v>
      </c>
      <c r="B3871">
        <v>1441559.4</v>
      </c>
      <c r="C3871">
        <v>0</v>
      </c>
      <c r="D3871">
        <v>59.84</v>
      </c>
      <c r="E3871">
        <v>3.0859999999999999</v>
      </c>
      <c r="F3871">
        <v>126.6034839</v>
      </c>
      <c r="G3871">
        <v>14.099</v>
      </c>
      <c r="N3871" s="8"/>
    </row>
    <row r="3872" spans="1:14" x14ac:dyDescent="0.25">
      <c r="A3872" s="8">
        <v>40277</v>
      </c>
      <c r="B3872">
        <v>1382359.21</v>
      </c>
      <c r="C3872">
        <v>0</v>
      </c>
      <c r="D3872">
        <v>59.25</v>
      </c>
      <c r="E3872">
        <v>3.09</v>
      </c>
      <c r="F3872">
        <v>126.6019032</v>
      </c>
      <c r="G3872">
        <v>14.099</v>
      </c>
      <c r="N3872" s="8"/>
    </row>
    <row r="3873" spans="1:14" x14ac:dyDescent="0.25">
      <c r="A3873" s="8">
        <v>40284</v>
      </c>
      <c r="B3873">
        <v>1268240.6599999999</v>
      </c>
      <c r="C3873">
        <v>0</v>
      </c>
      <c r="D3873">
        <v>64.95</v>
      </c>
      <c r="E3873">
        <v>3.109</v>
      </c>
      <c r="F3873">
        <v>126.5621</v>
      </c>
      <c r="G3873">
        <v>14.099</v>
      </c>
      <c r="N3873" s="8"/>
    </row>
    <row r="3874" spans="1:14" x14ac:dyDescent="0.25">
      <c r="A3874" s="8">
        <v>40291</v>
      </c>
      <c r="B3874">
        <v>1244177.21</v>
      </c>
      <c r="C3874">
        <v>0</v>
      </c>
      <c r="D3874">
        <v>64.55</v>
      </c>
      <c r="E3874">
        <v>3.05</v>
      </c>
      <c r="F3874">
        <v>126.4713333</v>
      </c>
      <c r="G3874">
        <v>14.099</v>
      </c>
      <c r="N3874" s="8"/>
    </row>
    <row r="3875" spans="1:14" x14ac:dyDescent="0.25">
      <c r="A3875" s="8">
        <v>40298</v>
      </c>
      <c r="B3875">
        <v>1186971.02</v>
      </c>
      <c r="C3875">
        <v>0</v>
      </c>
      <c r="D3875">
        <v>67.38</v>
      </c>
      <c r="E3875">
        <v>3.105</v>
      </c>
      <c r="F3875">
        <v>126.3805667</v>
      </c>
      <c r="G3875">
        <v>14.099</v>
      </c>
      <c r="N3875" s="8"/>
    </row>
    <row r="3876" spans="1:14" x14ac:dyDescent="0.25">
      <c r="A3876" s="8">
        <v>40305</v>
      </c>
      <c r="B3876">
        <v>1532893.22</v>
      </c>
      <c r="C3876">
        <v>0</v>
      </c>
      <c r="D3876">
        <v>70.150000000000006</v>
      </c>
      <c r="E3876">
        <v>3.1269999999999998</v>
      </c>
      <c r="F3876">
        <v>126.2898</v>
      </c>
      <c r="G3876">
        <v>14.099</v>
      </c>
      <c r="N3876" s="8"/>
    </row>
    <row r="3877" spans="1:14" x14ac:dyDescent="0.25">
      <c r="A3877" s="8">
        <v>40312</v>
      </c>
      <c r="B3877">
        <v>1245898.73</v>
      </c>
      <c r="C3877">
        <v>0</v>
      </c>
      <c r="D3877">
        <v>68.44</v>
      </c>
      <c r="E3877">
        <v>3.145</v>
      </c>
      <c r="F3877">
        <v>126.2085484</v>
      </c>
      <c r="G3877">
        <v>14.099</v>
      </c>
      <c r="N3877" s="8"/>
    </row>
    <row r="3878" spans="1:14" x14ac:dyDescent="0.25">
      <c r="A3878" s="8">
        <v>40319</v>
      </c>
      <c r="B3878">
        <v>1217923.71</v>
      </c>
      <c r="C3878">
        <v>0</v>
      </c>
      <c r="D3878">
        <v>76.2</v>
      </c>
      <c r="E3878">
        <v>3.12</v>
      </c>
      <c r="F3878">
        <v>126.1843871</v>
      </c>
      <c r="G3878">
        <v>14.099</v>
      </c>
      <c r="N3878" s="8"/>
    </row>
    <row r="3879" spans="1:14" x14ac:dyDescent="0.25">
      <c r="A3879" s="8">
        <v>40326</v>
      </c>
      <c r="B3879">
        <v>1176588.25</v>
      </c>
      <c r="C3879">
        <v>0</v>
      </c>
      <c r="D3879">
        <v>67.84</v>
      </c>
      <c r="E3879">
        <v>3.0579999999999998</v>
      </c>
      <c r="F3879">
        <v>126.16022580000001</v>
      </c>
      <c r="G3879">
        <v>14.099</v>
      </c>
      <c r="N3879" s="8"/>
    </row>
    <row r="3880" spans="1:14" x14ac:dyDescent="0.25">
      <c r="A3880" s="8">
        <v>40333</v>
      </c>
      <c r="B3880">
        <v>1543678.02</v>
      </c>
      <c r="C3880">
        <v>0</v>
      </c>
      <c r="D3880">
        <v>81.39</v>
      </c>
      <c r="E3880">
        <v>2.9409999999999998</v>
      </c>
      <c r="F3880">
        <v>126.1360645</v>
      </c>
      <c r="G3880">
        <v>14.099</v>
      </c>
      <c r="N3880" s="8"/>
    </row>
    <row r="3881" spans="1:14" x14ac:dyDescent="0.25">
      <c r="A3881" s="8">
        <v>40340</v>
      </c>
      <c r="B3881">
        <v>1348995.17</v>
      </c>
      <c r="C3881">
        <v>0</v>
      </c>
      <c r="D3881">
        <v>90.84</v>
      </c>
      <c r="E3881">
        <v>2.9489999999999998</v>
      </c>
      <c r="F3881">
        <v>126.1119032</v>
      </c>
      <c r="G3881">
        <v>14.099</v>
      </c>
      <c r="N3881" s="8"/>
    </row>
    <row r="3882" spans="1:14" x14ac:dyDescent="0.25">
      <c r="A3882" s="8">
        <v>40347</v>
      </c>
      <c r="B3882">
        <v>1267619.06</v>
      </c>
      <c r="C3882">
        <v>0</v>
      </c>
      <c r="D3882">
        <v>81.06</v>
      </c>
      <c r="E3882">
        <v>3.0430000000000001</v>
      </c>
      <c r="F3882">
        <v>126.114</v>
      </c>
      <c r="G3882">
        <v>14.099</v>
      </c>
      <c r="N3882" s="8"/>
    </row>
    <row r="3883" spans="1:14" x14ac:dyDescent="0.25">
      <c r="A3883" s="8">
        <v>40354</v>
      </c>
      <c r="B3883">
        <v>1231025.07</v>
      </c>
      <c r="C3883">
        <v>0</v>
      </c>
      <c r="D3883">
        <v>87.27</v>
      </c>
      <c r="E3883">
        <v>3.0840000000000001</v>
      </c>
      <c r="F3883">
        <v>126.1266</v>
      </c>
      <c r="G3883">
        <v>14.099</v>
      </c>
      <c r="N3883" s="8"/>
    </row>
    <row r="3884" spans="1:14" x14ac:dyDescent="0.25">
      <c r="A3884" s="8">
        <v>40361</v>
      </c>
      <c r="B3884">
        <v>1399960.15</v>
      </c>
      <c r="C3884">
        <v>0</v>
      </c>
      <c r="D3884">
        <v>91.98</v>
      </c>
      <c r="E3884">
        <v>3.105</v>
      </c>
      <c r="F3884">
        <v>126.1392</v>
      </c>
      <c r="G3884">
        <v>14.18</v>
      </c>
      <c r="N3884" s="8"/>
    </row>
    <row r="3885" spans="1:14" x14ac:dyDescent="0.25">
      <c r="A3885" s="8">
        <v>40368</v>
      </c>
      <c r="B3885">
        <v>1340293.8700000001</v>
      </c>
      <c r="C3885">
        <v>0</v>
      </c>
      <c r="D3885">
        <v>90.37</v>
      </c>
      <c r="E3885">
        <v>3.1</v>
      </c>
      <c r="F3885">
        <v>126.15179999999999</v>
      </c>
      <c r="G3885">
        <v>14.18</v>
      </c>
      <c r="N3885" s="8"/>
    </row>
    <row r="3886" spans="1:14" x14ac:dyDescent="0.25">
      <c r="A3886" s="8">
        <v>40375</v>
      </c>
      <c r="B3886">
        <v>1225336.4099999999</v>
      </c>
      <c r="C3886">
        <v>0</v>
      </c>
      <c r="D3886">
        <v>97.18</v>
      </c>
      <c r="E3886">
        <v>3.0939999999999999</v>
      </c>
      <c r="F3886">
        <v>126.1498065</v>
      </c>
      <c r="G3886">
        <v>14.18</v>
      </c>
      <c r="N3886" s="8"/>
    </row>
    <row r="3887" spans="1:14" x14ac:dyDescent="0.25">
      <c r="A3887" s="8">
        <v>40382</v>
      </c>
      <c r="B3887">
        <v>1205884.98</v>
      </c>
      <c r="C3887">
        <v>0</v>
      </c>
      <c r="D3887">
        <v>99.22</v>
      </c>
      <c r="E3887">
        <v>3.1120000000000001</v>
      </c>
      <c r="F3887">
        <v>126.1283548</v>
      </c>
      <c r="G3887">
        <v>14.18</v>
      </c>
      <c r="N3887" s="8"/>
    </row>
    <row r="3888" spans="1:14" x14ac:dyDescent="0.25">
      <c r="A3888" s="8">
        <v>40389</v>
      </c>
      <c r="B3888">
        <v>1150204.71</v>
      </c>
      <c r="C3888">
        <v>0</v>
      </c>
      <c r="D3888">
        <v>96.31</v>
      </c>
      <c r="E3888">
        <v>3.0169999999999999</v>
      </c>
      <c r="F3888">
        <v>126.1069032</v>
      </c>
      <c r="G3888">
        <v>14.18</v>
      </c>
      <c r="N3888" s="8"/>
    </row>
    <row r="3889" spans="1:14" x14ac:dyDescent="0.25">
      <c r="A3889" s="8">
        <v>40396</v>
      </c>
      <c r="B3889">
        <v>1523101.38</v>
      </c>
      <c r="C3889">
        <v>0</v>
      </c>
      <c r="D3889">
        <v>92.95</v>
      </c>
      <c r="E3889">
        <v>3.1230000000000002</v>
      </c>
      <c r="F3889">
        <v>126.0854516</v>
      </c>
      <c r="G3889">
        <v>14.18</v>
      </c>
      <c r="N3889" s="8"/>
    </row>
    <row r="3890" spans="1:14" x14ac:dyDescent="0.25">
      <c r="A3890" s="8">
        <v>40403</v>
      </c>
      <c r="B3890">
        <v>1218688.0900000001</v>
      </c>
      <c r="C3890">
        <v>0</v>
      </c>
      <c r="D3890">
        <v>87.01</v>
      </c>
      <c r="E3890">
        <v>3.1589999999999998</v>
      </c>
      <c r="F3890">
        <v>126.06399999999999</v>
      </c>
      <c r="G3890">
        <v>14.18</v>
      </c>
      <c r="N3890" s="8"/>
    </row>
    <row r="3891" spans="1:14" x14ac:dyDescent="0.25">
      <c r="A3891" s="8">
        <v>40410</v>
      </c>
      <c r="B3891">
        <v>1195897.6000000001</v>
      </c>
      <c r="C3891">
        <v>0</v>
      </c>
      <c r="D3891">
        <v>92.81</v>
      </c>
      <c r="E3891">
        <v>3.0409999999999999</v>
      </c>
      <c r="F3891">
        <v>126.0766452</v>
      </c>
      <c r="G3891">
        <v>14.18</v>
      </c>
      <c r="N3891" s="8"/>
    </row>
    <row r="3892" spans="1:14" x14ac:dyDescent="0.25">
      <c r="A3892" s="8">
        <v>40417</v>
      </c>
      <c r="B3892">
        <v>1191585.92</v>
      </c>
      <c r="C3892">
        <v>0</v>
      </c>
      <c r="D3892">
        <v>93.19</v>
      </c>
      <c r="E3892">
        <v>3.129</v>
      </c>
      <c r="F3892">
        <v>126.0892903</v>
      </c>
      <c r="G3892">
        <v>14.18</v>
      </c>
      <c r="N3892" s="8"/>
    </row>
    <row r="3893" spans="1:14" x14ac:dyDescent="0.25">
      <c r="A3893" s="8">
        <v>40424</v>
      </c>
      <c r="B3893">
        <v>1523410.71</v>
      </c>
      <c r="C3893">
        <v>0</v>
      </c>
      <c r="D3893">
        <v>83.12</v>
      </c>
      <c r="E3893">
        <v>3.0870000000000002</v>
      </c>
      <c r="F3893">
        <v>126.1019355</v>
      </c>
      <c r="G3893">
        <v>14.18</v>
      </c>
      <c r="N3893" s="8"/>
    </row>
    <row r="3894" spans="1:14" x14ac:dyDescent="0.25">
      <c r="A3894" s="8">
        <v>40431</v>
      </c>
      <c r="B3894">
        <v>1246062.17</v>
      </c>
      <c r="C3894">
        <v>1</v>
      </c>
      <c r="D3894">
        <v>83.63</v>
      </c>
      <c r="E3894">
        <v>3.044</v>
      </c>
      <c r="F3894">
        <v>126.1145806</v>
      </c>
      <c r="G3894">
        <v>14.18</v>
      </c>
      <c r="N3894" s="8"/>
    </row>
    <row r="3895" spans="1:14" x14ac:dyDescent="0.25">
      <c r="A3895" s="8">
        <v>40438</v>
      </c>
      <c r="B3895">
        <v>1159812.3500000001</v>
      </c>
      <c r="C3895">
        <v>0</v>
      </c>
      <c r="D3895">
        <v>82.45</v>
      </c>
      <c r="E3895">
        <v>3.028</v>
      </c>
      <c r="F3895">
        <v>126.1454667</v>
      </c>
      <c r="G3895">
        <v>14.18</v>
      </c>
      <c r="N3895" s="8"/>
    </row>
    <row r="3896" spans="1:14" x14ac:dyDescent="0.25">
      <c r="A3896" s="8">
        <v>40445</v>
      </c>
      <c r="B3896">
        <v>1111797.21</v>
      </c>
      <c r="C3896">
        <v>0</v>
      </c>
      <c r="D3896">
        <v>81.77</v>
      </c>
      <c r="E3896">
        <v>2.9390000000000001</v>
      </c>
      <c r="F3896">
        <v>126.1900333</v>
      </c>
      <c r="G3896">
        <v>14.18</v>
      </c>
      <c r="N3896" s="8"/>
    </row>
    <row r="3897" spans="1:14" x14ac:dyDescent="0.25">
      <c r="A3897" s="8">
        <v>40452</v>
      </c>
      <c r="B3897">
        <v>1203080.4099999999</v>
      </c>
      <c r="C3897">
        <v>0</v>
      </c>
      <c r="D3897">
        <v>85.2</v>
      </c>
      <c r="E3897">
        <v>3.0009999999999999</v>
      </c>
      <c r="F3897">
        <v>126.2346</v>
      </c>
      <c r="G3897">
        <v>14.313000000000001</v>
      </c>
      <c r="N3897" s="8"/>
    </row>
    <row r="3898" spans="1:14" x14ac:dyDescent="0.25">
      <c r="A3898" s="8">
        <v>40459</v>
      </c>
      <c r="B3898">
        <v>1334571.8700000001</v>
      </c>
      <c r="C3898">
        <v>0</v>
      </c>
      <c r="D3898">
        <v>71.819999999999993</v>
      </c>
      <c r="E3898">
        <v>3.0129999999999999</v>
      </c>
      <c r="F3898">
        <v>126.2791667</v>
      </c>
      <c r="G3898">
        <v>14.313000000000001</v>
      </c>
      <c r="N3898" s="8"/>
    </row>
    <row r="3899" spans="1:14" x14ac:dyDescent="0.25">
      <c r="A3899" s="8">
        <v>40466</v>
      </c>
      <c r="B3899">
        <v>1158062.99</v>
      </c>
      <c r="C3899">
        <v>0</v>
      </c>
      <c r="D3899">
        <v>75</v>
      </c>
      <c r="E3899">
        <v>2.976</v>
      </c>
      <c r="F3899">
        <v>126.32667739999999</v>
      </c>
      <c r="G3899">
        <v>14.313000000000001</v>
      </c>
      <c r="N3899" s="8"/>
    </row>
    <row r="3900" spans="1:14" x14ac:dyDescent="0.25">
      <c r="A3900" s="8">
        <v>40473</v>
      </c>
      <c r="B3900">
        <v>1120619.32</v>
      </c>
      <c r="C3900">
        <v>0</v>
      </c>
      <c r="D3900">
        <v>68.849999999999994</v>
      </c>
      <c r="E3900">
        <v>3.0139999999999998</v>
      </c>
      <c r="F3900">
        <v>126.3815484</v>
      </c>
      <c r="G3900">
        <v>14.313000000000001</v>
      </c>
      <c r="N3900" s="8"/>
    </row>
    <row r="3901" spans="1:14" x14ac:dyDescent="0.25">
      <c r="A3901" s="8">
        <v>40480</v>
      </c>
      <c r="B3901">
        <v>1231688.48</v>
      </c>
      <c r="C3901">
        <v>0</v>
      </c>
      <c r="D3901">
        <v>61.09</v>
      </c>
      <c r="E3901">
        <v>3.016</v>
      </c>
      <c r="F3901">
        <v>126.43641940000001</v>
      </c>
      <c r="G3901">
        <v>14.313000000000001</v>
      </c>
      <c r="N3901" s="8"/>
    </row>
    <row r="3902" spans="1:14" x14ac:dyDescent="0.25">
      <c r="A3902" s="8">
        <v>40487</v>
      </c>
      <c r="B3902">
        <v>1501663.26</v>
      </c>
      <c r="C3902">
        <v>0</v>
      </c>
      <c r="D3902">
        <v>65.489999999999995</v>
      </c>
      <c r="E3902">
        <v>3.129</v>
      </c>
      <c r="F3902">
        <v>126.4912903</v>
      </c>
      <c r="G3902">
        <v>14.313000000000001</v>
      </c>
      <c r="N3902" s="8"/>
    </row>
    <row r="3903" spans="1:14" x14ac:dyDescent="0.25">
      <c r="A3903" s="8">
        <v>40494</v>
      </c>
      <c r="B3903">
        <v>1266460.45</v>
      </c>
      <c r="C3903">
        <v>0</v>
      </c>
      <c r="D3903">
        <v>57.79</v>
      </c>
      <c r="E3903">
        <v>3.13</v>
      </c>
      <c r="F3903">
        <v>126.54616129999999</v>
      </c>
      <c r="G3903">
        <v>14.313000000000001</v>
      </c>
      <c r="N3903" s="8"/>
    </row>
    <row r="3904" spans="1:14" x14ac:dyDescent="0.25">
      <c r="A3904" s="8">
        <v>40501</v>
      </c>
      <c r="B3904">
        <v>1179315.72</v>
      </c>
      <c r="C3904">
        <v>0</v>
      </c>
      <c r="D3904">
        <v>58.18</v>
      </c>
      <c r="E3904">
        <v>3.161</v>
      </c>
      <c r="F3904">
        <v>126.60720000000001</v>
      </c>
      <c r="G3904">
        <v>14.313000000000001</v>
      </c>
      <c r="N3904" s="8"/>
    </row>
    <row r="3905" spans="1:14" x14ac:dyDescent="0.25">
      <c r="A3905" s="8">
        <v>40508</v>
      </c>
      <c r="B3905">
        <v>1937033.5</v>
      </c>
      <c r="C3905">
        <v>1</v>
      </c>
      <c r="D3905">
        <v>47.66</v>
      </c>
      <c r="E3905">
        <v>3.1619999999999999</v>
      </c>
      <c r="F3905">
        <v>126.66926669999999</v>
      </c>
      <c r="G3905">
        <v>14.313000000000001</v>
      </c>
      <c r="N3905" s="8"/>
    </row>
    <row r="3906" spans="1:14" x14ac:dyDescent="0.25">
      <c r="A3906" s="8">
        <v>40515</v>
      </c>
      <c r="B3906">
        <v>1447916.29</v>
      </c>
      <c r="C3906">
        <v>0</v>
      </c>
      <c r="D3906">
        <v>43.33</v>
      </c>
      <c r="E3906">
        <v>3.0409999999999999</v>
      </c>
      <c r="F3906">
        <v>126.7313333</v>
      </c>
      <c r="G3906">
        <v>14.313000000000001</v>
      </c>
      <c r="N3906" s="8"/>
    </row>
    <row r="3907" spans="1:14" x14ac:dyDescent="0.25">
      <c r="A3907" s="8">
        <v>40522</v>
      </c>
      <c r="B3907">
        <v>1466164.49</v>
      </c>
      <c r="C3907">
        <v>0</v>
      </c>
      <c r="D3907">
        <v>50.01</v>
      </c>
      <c r="E3907">
        <v>3.2029999999999998</v>
      </c>
      <c r="F3907">
        <v>126.79340000000001</v>
      </c>
      <c r="G3907">
        <v>14.313000000000001</v>
      </c>
      <c r="N3907" s="8"/>
    </row>
    <row r="3908" spans="1:14" x14ac:dyDescent="0.25">
      <c r="A3908" s="8">
        <v>40529</v>
      </c>
      <c r="B3908">
        <v>1510443.62</v>
      </c>
      <c r="C3908">
        <v>0</v>
      </c>
      <c r="D3908">
        <v>52.77</v>
      </c>
      <c r="E3908">
        <v>3.2360000000000002</v>
      </c>
      <c r="F3908">
        <v>126.8794839</v>
      </c>
      <c r="G3908">
        <v>14.313000000000001</v>
      </c>
      <c r="N3908" s="8"/>
    </row>
    <row r="3909" spans="1:14" x14ac:dyDescent="0.25">
      <c r="A3909" s="8">
        <v>40536</v>
      </c>
      <c r="B3909">
        <v>2026026.39</v>
      </c>
      <c r="C3909">
        <v>0</v>
      </c>
      <c r="D3909">
        <v>52.02</v>
      </c>
      <c r="E3909">
        <v>3.2360000000000002</v>
      </c>
      <c r="F3909">
        <v>126.9835806</v>
      </c>
      <c r="G3909">
        <v>14.313000000000001</v>
      </c>
      <c r="N3909" s="8"/>
    </row>
    <row r="3910" spans="1:14" x14ac:dyDescent="0.25">
      <c r="A3910" s="8">
        <v>40543</v>
      </c>
      <c r="B3910">
        <v>1090558.57</v>
      </c>
      <c r="C3910">
        <v>1</v>
      </c>
      <c r="D3910">
        <v>45.64</v>
      </c>
      <c r="E3910">
        <v>3.1480000000000001</v>
      </c>
      <c r="F3910">
        <v>127.0876774</v>
      </c>
      <c r="G3910">
        <v>14.313000000000001</v>
      </c>
      <c r="N3910" s="8"/>
    </row>
    <row r="3911" spans="1:14" x14ac:dyDescent="0.25">
      <c r="A3911" s="8">
        <v>40550</v>
      </c>
      <c r="B3911">
        <v>1402902.47</v>
      </c>
      <c r="C3911">
        <v>0</v>
      </c>
      <c r="D3911">
        <v>37.64</v>
      </c>
      <c r="E3911">
        <v>3.2869999999999999</v>
      </c>
      <c r="F3911">
        <v>127.1917742</v>
      </c>
      <c r="G3911">
        <v>14.021000000000001</v>
      </c>
      <c r="N3911" s="8"/>
    </row>
    <row r="3912" spans="1:14" x14ac:dyDescent="0.25">
      <c r="A3912" s="8">
        <v>40557</v>
      </c>
      <c r="B3912">
        <v>1098286.6100000001</v>
      </c>
      <c r="C3912">
        <v>0</v>
      </c>
      <c r="D3912">
        <v>43.15</v>
      </c>
      <c r="E3912">
        <v>3.3119999999999998</v>
      </c>
      <c r="F3912">
        <v>127.30093549999999</v>
      </c>
      <c r="G3912">
        <v>14.021000000000001</v>
      </c>
      <c r="N3912" s="8"/>
    </row>
    <row r="3913" spans="1:14" x14ac:dyDescent="0.25">
      <c r="A3913" s="8">
        <v>40564</v>
      </c>
      <c r="B3913">
        <v>1079669.1100000001</v>
      </c>
      <c r="C3913">
        <v>0</v>
      </c>
      <c r="D3913">
        <v>53.53</v>
      </c>
      <c r="E3913">
        <v>3.2229999999999999</v>
      </c>
      <c r="F3913">
        <v>127.4404839</v>
      </c>
      <c r="G3913">
        <v>14.021000000000001</v>
      </c>
      <c r="N3913" s="8"/>
    </row>
    <row r="3914" spans="1:14" x14ac:dyDescent="0.25">
      <c r="A3914" s="8">
        <v>40571</v>
      </c>
      <c r="B3914">
        <v>1127859.69</v>
      </c>
      <c r="C3914">
        <v>0</v>
      </c>
      <c r="D3914">
        <v>50.74</v>
      </c>
      <c r="E3914">
        <v>3.3420000000000001</v>
      </c>
      <c r="F3914">
        <v>127.5800323</v>
      </c>
      <c r="G3914">
        <v>14.021000000000001</v>
      </c>
      <c r="N3914" s="8"/>
    </row>
    <row r="3915" spans="1:14" x14ac:dyDescent="0.25">
      <c r="A3915" s="8">
        <v>40578</v>
      </c>
      <c r="B3915">
        <v>1564897.32</v>
      </c>
      <c r="C3915">
        <v>0</v>
      </c>
      <c r="D3915">
        <v>45.14</v>
      </c>
      <c r="E3915">
        <v>3.3479999999999999</v>
      </c>
      <c r="F3915">
        <v>127.7195806</v>
      </c>
      <c r="G3915">
        <v>14.021000000000001</v>
      </c>
      <c r="N3915" s="8"/>
    </row>
    <row r="3916" spans="1:14" x14ac:dyDescent="0.25">
      <c r="A3916" s="8">
        <v>40585</v>
      </c>
      <c r="B3916">
        <v>1397301.38</v>
      </c>
      <c r="C3916">
        <v>1</v>
      </c>
      <c r="D3916">
        <v>51.3</v>
      </c>
      <c r="E3916">
        <v>3.3809999999999998</v>
      </c>
      <c r="F3916">
        <v>127.859129</v>
      </c>
      <c r="G3916">
        <v>14.021000000000001</v>
      </c>
      <c r="N3916" s="8"/>
    </row>
    <row r="3917" spans="1:14" x14ac:dyDescent="0.25">
      <c r="A3917" s="8">
        <v>40592</v>
      </c>
      <c r="B3917">
        <v>1514828.82</v>
      </c>
      <c r="C3917">
        <v>0</v>
      </c>
      <c r="D3917">
        <v>53.35</v>
      </c>
      <c r="E3917">
        <v>3.43</v>
      </c>
      <c r="F3917">
        <v>127.99525</v>
      </c>
      <c r="G3917">
        <v>14.021000000000001</v>
      </c>
      <c r="N3917" s="8"/>
    </row>
    <row r="3918" spans="1:14" x14ac:dyDescent="0.25">
      <c r="A3918" s="8">
        <v>40599</v>
      </c>
      <c r="B3918">
        <v>1311796.9099999999</v>
      </c>
      <c r="C3918">
        <v>0</v>
      </c>
      <c r="D3918">
        <v>48.45</v>
      </c>
      <c r="E3918">
        <v>3.53</v>
      </c>
      <c r="F3918">
        <v>128.13</v>
      </c>
      <c r="G3918">
        <v>14.021000000000001</v>
      </c>
      <c r="N3918" s="8"/>
    </row>
    <row r="3919" spans="1:14" x14ac:dyDescent="0.25">
      <c r="A3919" s="8">
        <v>40606</v>
      </c>
      <c r="B3919">
        <v>1723736.91</v>
      </c>
      <c r="C3919">
        <v>0</v>
      </c>
      <c r="D3919">
        <v>51.72</v>
      </c>
      <c r="E3919">
        <v>3.6739999999999999</v>
      </c>
      <c r="F3919">
        <v>128.26474999999999</v>
      </c>
      <c r="G3919">
        <v>14.021000000000001</v>
      </c>
      <c r="N3919" s="8"/>
    </row>
    <row r="3920" spans="1:14" x14ac:dyDescent="0.25">
      <c r="A3920" s="8">
        <v>40613</v>
      </c>
      <c r="B3920">
        <v>1380836.35</v>
      </c>
      <c r="C3920">
        <v>0</v>
      </c>
      <c r="D3920">
        <v>57.75</v>
      </c>
      <c r="E3920">
        <v>3.8180000000000001</v>
      </c>
      <c r="F3920">
        <v>128.39949999999999</v>
      </c>
      <c r="G3920">
        <v>14.021000000000001</v>
      </c>
      <c r="N3920" s="8"/>
    </row>
    <row r="3921" spans="1:14" x14ac:dyDescent="0.25">
      <c r="A3921" s="8">
        <v>40620</v>
      </c>
      <c r="B3921">
        <v>1286413.71</v>
      </c>
      <c r="C3921">
        <v>0</v>
      </c>
      <c r="D3921">
        <v>64.209999999999994</v>
      </c>
      <c r="E3921">
        <v>3.6920000000000002</v>
      </c>
      <c r="F3921">
        <v>128.5121935</v>
      </c>
      <c r="G3921">
        <v>14.021000000000001</v>
      </c>
      <c r="N3921" s="8"/>
    </row>
    <row r="3922" spans="1:14" x14ac:dyDescent="0.25">
      <c r="A3922" s="8">
        <v>40627</v>
      </c>
      <c r="B3922">
        <v>1201059.72</v>
      </c>
      <c r="C3922">
        <v>0</v>
      </c>
      <c r="D3922">
        <v>54.4</v>
      </c>
      <c r="E3922">
        <v>3.9089999999999998</v>
      </c>
      <c r="F3922">
        <v>128.61606449999999</v>
      </c>
      <c r="G3922">
        <v>14.021000000000001</v>
      </c>
      <c r="N3922" s="8"/>
    </row>
    <row r="3923" spans="1:14" x14ac:dyDescent="0.25">
      <c r="A3923" s="8">
        <v>40634</v>
      </c>
      <c r="B3923">
        <v>1336838.4099999999</v>
      </c>
      <c r="C3923">
        <v>0</v>
      </c>
      <c r="D3923">
        <v>63.63</v>
      </c>
      <c r="E3923">
        <v>3.7719999999999998</v>
      </c>
      <c r="F3923">
        <v>128.71993549999999</v>
      </c>
      <c r="G3923">
        <v>13.736000000000001</v>
      </c>
      <c r="N3923" s="8"/>
    </row>
    <row r="3924" spans="1:14" x14ac:dyDescent="0.25">
      <c r="A3924" s="8">
        <v>40641</v>
      </c>
      <c r="B3924">
        <v>1414713.5</v>
      </c>
      <c r="C3924">
        <v>0</v>
      </c>
      <c r="D3924">
        <v>64.47</v>
      </c>
      <c r="E3924">
        <v>4.0030000000000001</v>
      </c>
      <c r="F3924">
        <v>128.82380649999999</v>
      </c>
      <c r="G3924">
        <v>13.736000000000001</v>
      </c>
      <c r="N3924" s="8"/>
    </row>
    <row r="3925" spans="1:14" x14ac:dyDescent="0.25">
      <c r="A3925" s="8">
        <v>40648</v>
      </c>
      <c r="B3925">
        <v>1240126.07</v>
      </c>
      <c r="C3925">
        <v>0</v>
      </c>
      <c r="D3925">
        <v>57.63</v>
      </c>
      <c r="E3925">
        <v>3.8679999999999999</v>
      </c>
      <c r="F3925">
        <v>128.9107333</v>
      </c>
      <c r="G3925">
        <v>13.736000000000001</v>
      </c>
      <c r="N3925" s="8"/>
    </row>
    <row r="3926" spans="1:14" x14ac:dyDescent="0.25">
      <c r="A3926" s="8">
        <v>40655</v>
      </c>
      <c r="B3926">
        <v>1297452</v>
      </c>
      <c r="C3926">
        <v>0</v>
      </c>
      <c r="D3926">
        <v>72.12</v>
      </c>
      <c r="E3926">
        <v>4.1340000000000003</v>
      </c>
      <c r="F3926">
        <v>128.95529999999999</v>
      </c>
      <c r="G3926">
        <v>13.736000000000001</v>
      </c>
      <c r="N3926" s="8"/>
    </row>
    <row r="3927" spans="1:14" x14ac:dyDescent="0.25">
      <c r="A3927" s="8">
        <v>40662</v>
      </c>
      <c r="B3927">
        <v>1222367.8999999999</v>
      </c>
      <c r="C3927">
        <v>0</v>
      </c>
      <c r="D3927">
        <v>68.27</v>
      </c>
      <c r="E3927">
        <v>4.1509999999999998</v>
      </c>
      <c r="F3927">
        <v>128.99986670000001</v>
      </c>
      <c r="G3927">
        <v>13.736000000000001</v>
      </c>
      <c r="N3927" s="8"/>
    </row>
    <row r="3928" spans="1:14" x14ac:dyDescent="0.25">
      <c r="A3928" s="8">
        <v>40669</v>
      </c>
      <c r="B3928">
        <v>1515890.38</v>
      </c>
      <c r="C3928">
        <v>0</v>
      </c>
      <c r="D3928">
        <v>68.400000000000006</v>
      </c>
      <c r="E3928">
        <v>4.1929999999999996</v>
      </c>
      <c r="F3928">
        <v>129.04443330000001</v>
      </c>
      <c r="G3928">
        <v>13.736000000000001</v>
      </c>
      <c r="N3928" s="8"/>
    </row>
    <row r="3929" spans="1:14" x14ac:dyDescent="0.25">
      <c r="A3929" s="8">
        <v>40676</v>
      </c>
      <c r="B3929">
        <v>1253316.3</v>
      </c>
      <c r="C3929">
        <v>0</v>
      </c>
      <c r="D3929">
        <v>70.930000000000007</v>
      </c>
      <c r="E3929">
        <v>4.202</v>
      </c>
      <c r="F3929">
        <v>129.089</v>
      </c>
      <c r="G3929">
        <v>13.736000000000001</v>
      </c>
      <c r="N3929" s="8"/>
    </row>
    <row r="3930" spans="1:14" x14ac:dyDescent="0.25">
      <c r="A3930" s="8">
        <v>40683</v>
      </c>
      <c r="B3930">
        <v>1151282.31</v>
      </c>
      <c r="C3930">
        <v>0</v>
      </c>
      <c r="D3930">
        <v>66.59</v>
      </c>
      <c r="E3930">
        <v>4.1689999999999996</v>
      </c>
      <c r="F3930">
        <v>129.07567739999999</v>
      </c>
      <c r="G3930">
        <v>13.736000000000001</v>
      </c>
      <c r="N3930" s="8"/>
    </row>
    <row r="3931" spans="1:14" x14ac:dyDescent="0.25">
      <c r="A3931" s="8">
        <v>40690</v>
      </c>
      <c r="B3931">
        <v>1160043.98</v>
      </c>
      <c r="C3931">
        <v>0</v>
      </c>
      <c r="D3931">
        <v>76.67</v>
      </c>
      <c r="E3931">
        <v>4.0869999999999997</v>
      </c>
      <c r="F3931">
        <v>129.06235480000001</v>
      </c>
      <c r="G3931">
        <v>13.736000000000001</v>
      </c>
      <c r="N3931" s="8"/>
    </row>
    <row r="3932" spans="1:14" x14ac:dyDescent="0.25">
      <c r="A3932" s="8">
        <v>40697</v>
      </c>
      <c r="B3932">
        <v>1403779.25</v>
      </c>
      <c r="C3932">
        <v>0</v>
      </c>
      <c r="D3932">
        <v>71.81</v>
      </c>
      <c r="E3932">
        <v>4.0309999999999997</v>
      </c>
      <c r="F3932">
        <v>129.04903229999999</v>
      </c>
      <c r="G3932">
        <v>13.736000000000001</v>
      </c>
      <c r="N3932" s="8"/>
    </row>
    <row r="3933" spans="1:14" x14ac:dyDescent="0.25">
      <c r="A3933" s="8">
        <v>40704</v>
      </c>
      <c r="B3933">
        <v>1339972.83</v>
      </c>
      <c r="C3933">
        <v>0</v>
      </c>
      <c r="D3933">
        <v>78.72</v>
      </c>
      <c r="E3933">
        <v>3.9809999999999999</v>
      </c>
      <c r="F3933">
        <v>129.03570970000001</v>
      </c>
      <c r="G3933">
        <v>13.736000000000001</v>
      </c>
      <c r="N3933" s="8"/>
    </row>
    <row r="3934" spans="1:14" x14ac:dyDescent="0.25">
      <c r="A3934" s="8">
        <v>40711</v>
      </c>
      <c r="B3934">
        <v>1268503.49</v>
      </c>
      <c r="C3934">
        <v>0</v>
      </c>
      <c r="D3934">
        <v>86.84</v>
      </c>
      <c r="E3934">
        <v>3.9350000000000001</v>
      </c>
      <c r="F3934">
        <v>129.04320000000001</v>
      </c>
      <c r="G3934">
        <v>13.736000000000001</v>
      </c>
      <c r="N3934" s="8"/>
    </row>
    <row r="3935" spans="1:14" x14ac:dyDescent="0.25">
      <c r="A3935" s="8">
        <v>40718</v>
      </c>
      <c r="B3935">
        <v>1208809.3400000001</v>
      </c>
      <c r="C3935">
        <v>0</v>
      </c>
      <c r="D3935">
        <v>88.95</v>
      </c>
      <c r="E3935">
        <v>3.8980000000000001</v>
      </c>
      <c r="F3935">
        <v>129.06630000000001</v>
      </c>
      <c r="G3935">
        <v>13.736000000000001</v>
      </c>
      <c r="N3935" s="8"/>
    </row>
    <row r="3936" spans="1:14" x14ac:dyDescent="0.25">
      <c r="A3936" s="8">
        <v>40725</v>
      </c>
      <c r="B3936">
        <v>1319054.57</v>
      </c>
      <c r="C3936">
        <v>0</v>
      </c>
      <c r="D3936">
        <v>89.85</v>
      </c>
      <c r="E3936">
        <v>3.8420000000000001</v>
      </c>
      <c r="F3936">
        <v>129.08940000000001</v>
      </c>
      <c r="G3936">
        <v>13.503</v>
      </c>
      <c r="N3936" s="8"/>
    </row>
    <row r="3937" spans="1:14" x14ac:dyDescent="0.25">
      <c r="A3937" s="8">
        <v>40732</v>
      </c>
      <c r="B3937">
        <v>1459655.85</v>
      </c>
      <c r="C3937">
        <v>0</v>
      </c>
      <c r="D3937">
        <v>89.9</v>
      </c>
      <c r="E3937">
        <v>3.7050000000000001</v>
      </c>
      <c r="F3937">
        <v>129.11250000000001</v>
      </c>
      <c r="G3937">
        <v>13.503</v>
      </c>
      <c r="N3937" s="8"/>
    </row>
    <row r="3938" spans="1:14" x14ac:dyDescent="0.25">
      <c r="A3938" s="8">
        <v>40739</v>
      </c>
      <c r="B3938">
        <v>1197373.1299999999</v>
      </c>
      <c r="C3938">
        <v>0</v>
      </c>
      <c r="D3938">
        <v>88.1</v>
      </c>
      <c r="E3938">
        <v>3.6920000000000002</v>
      </c>
      <c r="F3938">
        <v>129.13383870000001</v>
      </c>
      <c r="G3938">
        <v>13.503</v>
      </c>
      <c r="N3938" s="8"/>
    </row>
    <row r="3939" spans="1:14" x14ac:dyDescent="0.25">
      <c r="A3939" s="8">
        <v>40746</v>
      </c>
      <c r="B3939">
        <v>1165870.54</v>
      </c>
      <c r="C3939">
        <v>0</v>
      </c>
      <c r="D3939">
        <v>91.17</v>
      </c>
      <c r="E3939">
        <v>3.794</v>
      </c>
      <c r="F3939">
        <v>129.1507742</v>
      </c>
      <c r="G3939">
        <v>13.503</v>
      </c>
      <c r="N3939" s="8"/>
    </row>
    <row r="3940" spans="1:14" x14ac:dyDescent="0.25">
      <c r="A3940" s="8">
        <v>40753</v>
      </c>
      <c r="B3940">
        <v>1114530.29</v>
      </c>
      <c r="C3940">
        <v>0</v>
      </c>
      <c r="D3940">
        <v>93.29</v>
      </c>
      <c r="E3940">
        <v>3.8050000000000002</v>
      </c>
      <c r="F3940">
        <v>129.16770969999999</v>
      </c>
      <c r="G3940">
        <v>13.503</v>
      </c>
      <c r="N3940" s="8"/>
    </row>
    <row r="3941" spans="1:14" x14ac:dyDescent="0.25">
      <c r="A3941" s="8">
        <v>40760</v>
      </c>
      <c r="B3941">
        <v>1523870.89</v>
      </c>
      <c r="C3941">
        <v>0</v>
      </c>
      <c r="D3941">
        <v>90.61</v>
      </c>
      <c r="E3941">
        <v>3.8029999999999999</v>
      </c>
      <c r="F3941">
        <v>129.18464520000001</v>
      </c>
      <c r="G3941">
        <v>13.503</v>
      </c>
      <c r="N3941" s="8"/>
    </row>
    <row r="3942" spans="1:14" x14ac:dyDescent="0.25">
      <c r="A3942" s="8">
        <v>40767</v>
      </c>
      <c r="B3942">
        <v>1218764.94</v>
      </c>
      <c r="C3942">
        <v>0</v>
      </c>
      <c r="D3942">
        <v>91.04</v>
      </c>
      <c r="E3942">
        <v>3.7010000000000001</v>
      </c>
      <c r="F3942">
        <v>129.2015806</v>
      </c>
      <c r="G3942">
        <v>13.503</v>
      </c>
      <c r="N3942" s="8"/>
    </row>
    <row r="3943" spans="1:14" x14ac:dyDescent="0.25">
      <c r="A3943" s="8">
        <v>40774</v>
      </c>
      <c r="B3943">
        <v>1200019.74</v>
      </c>
      <c r="C3943">
        <v>0</v>
      </c>
      <c r="D3943">
        <v>91.74</v>
      </c>
      <c r="E3943">
        <v>3.7429999999999999</v>
      </c>
      <c r="F3943">
        <v>129.24058059999999</v>
      </c>
      <c r="G3943">
        <v>13.503</v>
      </c>
      <c r="N3943" s="8"/>
    </row>
    <row r="3944" spans="1:14" x14ac:dyDescent="0.25">
      <c r="A3944" s="8">
        <v>40781</v>
      </c>
      <c r="B3944">
        <v>1166479.51</v>
      </c>
      <c r="C3944">
        <v>0</v>
      </c>
      <c r="D3944">
        <v>94.61</v>
      </c>
      <c r="E3944">
        <v>3.74</v>
      </c>
      <c r="F3944">
        <v>129.28325810000001</v>
      </c>
      <c r="G3944">
        <v>13.503</v>
      </c>
      <c r="N3944" s="8"/>
    </row>
    <row r="3945" spans="1:14" x14ac:dyDescent="0.25">
      <c r="A3945" s="8">
        <v>40788</v>
      </c>
      <c r="B3945">
        <v>1468871.49</v>
      </c>
      <c r="C3945">
        <v>0</v>
      </c>
      <c r="D3945">
        <v>93.66</v>
      </c>
      <c r="E3945">
        <v>3.798</v>
      </c>
      <c r="F3945">
        <v>129.32593550000001</v>
      </c>
      <c r="G3945">
        <v>13.503</v>
      </c>
      <c r="N3945" s="8"/>
    </row>
    <row r="3946" spans="1:14" x14ac:dyDescent="0.25">
      <c r="A3946" s="8">
        <v>40795</v>
      </c>
      <c r="B3946">
        <v>1310087</v>
      </c>
      <c r="C3946">
        <v>1</v>
      </c>
      <c r="D3946">
        <v>88</v>
      </c>
      <c r="E3946">
        <v>3.9129999999999998</v>
      </c>
      <c r="F3946">
        <v>129.36861289999999</v>
      </c>
      <c r="G3946">
        <v>13.503</v>
      </c>
      <c r="N3946" s="8"/>
    </row>
    <row r="3947" spans="1:14" x14ac:dyDescent="0.25">
      <c r="A3947" s="8">
        <v>40802</v>
      </c>
      <c r="B3947">
        <v>1159212.1000000001</v>
      </c>
      <c r="C3947">
        <v>0</v>
      </c>
      <c r="D3947">
        <v>76.36</v>
      </c>
      <c r="E3947">
        <v>3.9180000000000001</v>
      </c>
      <c r="F3947">
        <v>129.4306</v>
      </c>
      <c r="G3947">
        <v>13.503</v>
      </c>
      <c r="N3947" s="8"/>
    </row>
    <row r="3948" spans="1:14" x14ac:dyDescent="0.25">
      <c r="A3948" s="8">
        <v>40809</v>
      </c>
      <c r="B3948">
        <v>1109105.92</v>
      </c>
      <c r="C3948">
        <v>0</v>
      </c>
      <c r="D3948">
        <v>82.95</v>
      </c>
      <c r="E3948">
        <v>3.7890000000000001</v>
      </c>
      <c r="F3948">
        <v>129.51833329999999</v>
      </c>
      <c r="G3948">
        <v>13.503</v>
      </c>
      <c r="N3948" s="8"/>
    </row>
    <row r="3949" spans="1:14" x14ac:dyDescent="0.25">
      <c r="A3949" s="8">
        <v>40816</v>
      </c>
      <c r="B3949">
        <v>1120731.76</v>
      </c>
      <c r="C3949">
        <v>0</v>
      </c>
      <c r="D3949">
        <v>83.26</v>
      </c>
      <c r="E3949">
        <v>3.8769999999999998</v>
      </c>
      <c r="F3949">
        <v>129.60606670000001</v>
      </c>
      <c r="G3949">
        <v>13.503</v>
      </c>
      <c r="N3949" s="8"/>
    </row>
    <row r="3950" spans="1:14" x14ac:dyDescent="0.25">
      <c r="A3950" s="8">
        <v>40823</v>
      </c>
      <c r="B3950">
        <v>1557314.58</v>
      </c>
      <c r="C3950">
        <v>0</v>
      </c>
      <c r="D3950">
        <v>70.44</v>
      </c>
      <c r="E3950">
        <v>3.827</v>
      </c>
      <c r="F3950">
        <v>129.69380000000001</v>
      </c>
      <c r="G3950">
        <v>12.89</v>
      </c>
      <c r="N3950" s="8"/>
    </row>
    <row r="3951" spans="1:14" x14ac:dyDescent="0.25">
      <c r="A3951" s="8">
        <v>40830</v>
      </c>
      <c r="B3951">
        <v>1220984.94</v>
      </c>
      <c r="C3951">
        <v>0</v>
      </c>
      <c r="D3951">
        <v>67.31</v>
      </c>
      <c r="E3951">
        <v>3.8050000000000002</v>
      </c>
      <c r="F3951">
        <v>129.77064519999999</v>
      </c>
      <c r="G3951">
        <v>12.89</v>
      </c>
      <c r="N3951" s="8"/>
    </row>
    <row r="3952" spans="1:14" x14ac:dyDescent="0.25">
      <c r="A3952" s="8">
        <v>40837</v>
      </c>
      <c r="B3952">
        <v>1203172.05</v>
      </c>
      <c r="C3952">
        <v>0</v>
      </c>
      <c r="D3952">
        <v>73.05</v>
      </c>
      <c r="E3952">
        <v>3.8420000000000001</v>
      </c>
      <c r="F3952">
        <v>129.78216130000001</v>
      </c>
      <c r="G3952">
        <v>12.89</v>
      </c>
      <c r="N3952" s="8"/>
    </row>
    <row r="3953" spans="1:14" x14ac:dyDescent="0.25">
      <c r="A3953" s="8">
        <v>40844</v>
      </c>
      <c r="B3953">
        <v>1242746.06</v>
      </c>
      <c r="C3953">
        <v>0</v>
      </c>
      <c r="D3953">
        <v>67.41</v>
      </c>
      <c r="E3953">
        <v>3.7269999999999999</v>
      </c>
      <c r="F3953">
        <v>129.79367740000001</v>
      </c>
      <c r="G3953">
        <v>12.89</v>
      </c>
      <c r="N3953" s="8"/>
    </row>
    <row r="3954" spans="1:14" x14ac:dyDescent="0.25">
      <c r="A3954" s="8">
        <v>40851</v>
      </c>
      <c r="B3954">
        <v>1576654.67</v>
      </c>
      <c r="C3954">
        <v>0</v>
      </c>
      <c r="D3954">
        <v>59.77</v>
      </c>
      <c r="E3954">
        <v>3.8279999999999998</v>
      </c>
      <c r="F3954">
        <v>129.8051935</v>
      </c>
      <c r="G3954">
        <v>12.89</v>
      </c>
      <c r="N3954" s="8"/>
    </row>
    <row r="3955" spans="1:14" x14ac:dyDescent="0.25">
      <c r="A3955" s="8">
        <v>40858</v>
      </c>
      <c r="B3955">
        <v>1402654.95</v>
      </c>
      <c r="C3955">
        <v>0</v>
      </c>
      <c r="D3955">
        <v>48.76</v>
      </c>
      <c r="E3955">
        <v>3.8239999999999998</v>
      </c>
      <c r="F3955">
        <v>129.81670969999999</v>
      </c>
      <c r="G3955">
        <v>12.89</v>
      </c>
      <c r="N3955" s="8"/>
    </row>
    <row r="3956" spans="1:14" x14ac:dyDescent="0.25">
      <c r="A3956" s="8">
        <v>40865</v>
      </c>
      <c r="B3956">
        <v>1255081.22</v>
      </c>
      <c r="C3956">
        <v>0</v>
      </c>
      <c r="D3956">
        <v>54.2</v>
      </c>
      <c r="E3956">
        <v>3.8130000000000002</v>
      </c>
      <c r="F3956">
        <v>129.8268333</v>
      </c>
      <c r="G3956">
        <v>12.89</v>
      </c>
      <c r="N3956" s="8"/>
    </row>
    <row r="3957" spans="1:14" x14ac:dyDescent="0.25">
      <c r="A3957" s="8">
        <v>40872</v>
      </c>
      <c r="B3957">
        <v>1929738.27</v>
      </c>
      <c r="C3957">
        <v>1</v>
      </c>
      <c r="D3957">
        <v>53.25</v>
      </c>
      <c r="E3957">
        <v>3.6219999999999999</v>
      </c>
      <c r="F3957">
        <v>129.8364</v>
      </c>
      <c r="G3957">
        <v>12.89</v>
      </c>
      <c r="N3957" s="8"/>
    </row>
    <row r="3958" spans="1:14" x14ac:dyDescent="0.25">
      <c r="A3958" s="8">
        <v>40879</v>
      </c>
      <c r="B3958">
        <v>1368130.35</v>
      </c>
      <c r="C3958">
        <v>0</v>
      </c>
      <c r="D3958">
        <v>52.5</v>
      </c>
      <c r="E3958">
        <v>3.7010000000000001</v>
      </c>
      <c r="F3958">
        <v>129.84596669999999</v>
      </c>
      <c r="G3958">
        <v>12.89</v>
      </c>
      <c r="N3958" s="8"/>
    </row>
    <row r="3959" spans="1:14" x14ac:dyDescent="0.25">
      <c r="A3959" s="8">
        <v>40886</v>
      </c>
      <c r="B3959">
        <v>1467024.3</v>
      </c>
      <c r="C3959">
        <v>0</v>
      </c>
      <c r="D3959">
        <v>42.17</v>
      </c>
      <c r="E3959">
        <v>3.6440000000000001</v>
      </c>
      <c r="F3959">
        <v>129.85553329999999</v>
      </c>
      <c r="G3959">
        <v>12.89</v>
      </c>
      <c r="N3959" s="8"/>
    </row>
    <row r="3960" spans="1:14" x14ac:dyDescent="0.25">
      <c r="A3960" s="8">
        <v>40893</v>
      </c>
      <c r="B3960">
        <v>1429954.66</v>
      </c>
      <c r="C3960">
        <v>0</v>
      </c>
      <c r="D3960">
        <v>43.29</v>
      </c>
      <c r="E3960">
        <v>3.6</v>
      </c>
      <c r="F3960">
        <v>129.8980645</v>
      </c>
      <c r="G3960">
        <v>12.89</v>
      </c>
      <c r="N3960" s="8"/>
    </row>
    <row r="3961" spans="1:14" x14ac:dyDescent="0.25">
      <c r="A3961" s="8">
        <v>40900</v>
      </c>
      <c r="B3961">
        <v>1796203.51</v>
      </c>
      <c r="C3961">
        <v>0</v>
      </c>
      <c r="D3961">
        <v>45.4</v>
      </c>
      <c r="E3961">
        <v>3.5409999999999999</v>
      </c>
      <c r="F3961">
        <v>129.98454839999999</v>
      </c>
      <c r="G3961">
        <v>12.89</v>
      </c>
      <c r="N3961" s="8"/>
    </row>
    <row r="3962" spans="1:14" x14ac:dyDescent="0.25">
      <c r="A3962" s="8">
        <v>40907</v>
      </c>
      <c r="B3962">
        <v>1270036.53</v>
      </c>
      <c r="C3962">
        <v>1</v>
      </c>
      <c r="D3962">
        <v>44.64</v>
      </c>
      <c r="E3962">
        <v>3.4279999999999999</v>
      </c>
      <c r="F3962">
        <v>130.07103230000001</v>
      </c>
      <c r="G3962">
        <v>12.89</v>
      </c>
      <c r="N3962" s="8"/>
    </row>
    <row r="3963" spans="1:14" x14ac:dyDescent="0.25">
      <c r="A3963" s="8">
        <v>40914</v>
      </c>
      <c r="B3963">
        <v>1466046.07</v>
      </c>
      <c r="C3963">
        <v>0</v>
      </c>
      <c r="D3963">
        <v>50.43</v>
      </c>
      <c r="E3963">
        <v>3.5990000000000002</v>
      </c>
      <c r="F3963">
        <v>130.15751610000001</v>
      </c>
      <c r="G3963">
        <v>12.186999999999999</v>
      </c>
      <c r="N3963" s="8"/>
    </row>
    <row r="3964" spans="1:14" x14ac:dyDescent="0.25">
      <c r="A3964" s="8">
        <v>40921</v>
      </c>
      <c r="B3964">
        <v>1161190.29</v>
      </c>
      <c r="C3964">
        <v>0</v>
      </c>
      <c r="D3964">
        <v>48.07</v>
      </c>
      <c r="E3964">
        <v>3.657</v>
      </c>
      <c r="F3964">
        <v>130.244</v>
      </c>
      <c r="G3964">
        <v>12.186999999999999</v>
      </c>
      <c r="N3964" s="8"/>
    </row>
    <row r="3965" spans="1:14" x14ac:dyDescent="0.25">
      <c r="A3965" s="8">
        <v>40928</v>
      </c>
      <c r="B3965">
        <v>1129540.48</v>
      </c>
      <c r="C3965">
        <v>0</v>
      </c>
      <c r="D3965">
        <v>46.2</v>
      </c>
      <c r="E3965">
        <v>3.66</v>
      </c>
      <c r="F3965">
        <v>130.27922580000001</v>
      </c>
      <c r="G3965">
        <v>12.186999999999999</v>
      </c>
      <c r="N3965" s="8"/>
    </row>
    <row r="3966" spans="1:14" x14ac:dyDescent="0.25">
      <c r="A3966" s="8">
        <v>40935</v>
      </c>
      <c r="B3966">
        <v>1132948.48</v>
      </c>
      <c r="C3966">
        <v>0</v>
      </c>
      <c r="D3966">
        <v>50.43</v>
      </c>
      <c r="E3966">
        <v>3.6749999999999998</v>
      </c>
      <c r="F3966">
        <v>130.31445160000001</v>
      </c>
      <c r="G3966">
        <v>12.186999999999999</v>
      </c>
      <c r="N3966" s="8"/>
    </row>
    <row r="3967" spans="1:14" x14ac:dyDescent="0.25">
      <c r="A3967" s="8">
        <v>40942</v>
      </c>
      <c r="B3967">
        <v>1531599.44</v>
      </c>
      <c r="C3967">
        <v>0</v>
      </c>
      <c r="D3967">
        <v>50.58</v>
      </c>
      <c r="E3967">
        <v>3.702</v>
      </c>
      <c r="F3967">
        <v>130.34967739999999</v>
      </c>
      <c r="G3967">
        <v>12.186999999999999</v>
      </c>
      <c r="N3967" s="8"/>
    </row>
    <row r="3968" spans="1:14" x14ac:dyDescent="0.25">
      <c r="A3968" s="8">
        <v>40949</v>
      </c>
      <c r="B3968">
        <v>1572966.15</v>
      </c>
      <c r="C3968">
        <v>1</v>
      </c>
      <c r="D3968">
        <v>52.27</v>
      </c>
      <c r="E3968">
        <v>3.722</v>
      </c>
      <c r="F3968">
        <v>130.3849032</v>
      </c>
      <c r="G3968">
        <v>12.186999999999999</v>
      </c>
      <c r="N3968" s="8"/>
    </row>
    <row r="3969" spans="1:14" x14ac:dyDescent="0.25">
      <c r="A3969" s="8">
        <v>40956</v>
      </c>
      <c r="B3969">
        <v>1501503.68</v>
      </c>
      <c r="C3969">
        <v>0</v>
      </c>
      <c r="D3969">
        <v>51.8</v>
      </c>
      <c r="E3969">
        <v>3.7810000000000001</v>
      </c>
      <c r="F3969">
        <v>130.45462069999999</v>
      </c>
      <c r="G3969">
        <v>12.186999999999999</v>
      </c>
      <c r="N3969" s="8"/>
    </row>
    <row r="3970" spans="1:14" x14ac:dyDescent="0.25">
      <c r="A3970" s="8">
        <v>40963</v>
      </c>
      <c r="B3970">
        <v>1323487.9099999999</v>
      </c>
      <c r="C3970">
        <v>0</v>
      </c>
      <c r="D3970">
        <v>53.13</v>
      </c>
      <c r="E3970">
        <v>3.95</v>
      </c>
      <c r="F3970">
        <v>130.55020690000001</v>
      </c>
      <c r="G3970">
        <v>12.186999999999999</v>
      </c>
      <c r="N3970" s="8"/>
    </row>
    <row r="3971" spans="1:14" x14ac:dyDescent="0.25">
      <c r="A3971" s="8">
        <v>40970</v>
      </c>
      <c r="B3971">
        <v>1451740.57</v>
      </c>
      <c r="C3971">
        <v>0</v>
      </c>
      <c r="D3971">
        <v>52.27</v>
      </c>
      <c r="E3971">
        <v>4.1779999999999999</v>
      </c>
      <c r="F3971">
        <v>130.64579309999999</v>
      </c>
      <c r="G3971">
        <v>12.186999999999999</v>
      </c>
      <c r="N3971" s="8"/>
    </row>
    <row r="3972" spans="1:14" x14ac:dyDescent="0.25">
      <c r="A3972" s="8">
        <v>40977</v>
      </c>
      <c r="B3972">
        <v>1680764.06</v>
      </c>
      <c r="C3972">
        <v>0</v>
      </c>
      <c r="D3972">
        <v>54.54</v>
      </c>
      <c r="E3972">
        <v>4.25</v>
      </c>
      <c r="F3972">
        <v>130.74137930000001</v>
      </c>
      <c r="G3972">
        <v>12.186999999999999</v>
      </c>
      <c r="N3972" s="8"/>
    </row>
    <row r="3973" spans="1:14" x14ac:dyDescent="0.25">
      <c r="A3973" s="8">
        <v>40984</v>
      </c>
      <c r="B3973">
        <v>1337875.49</v>
      </c>
      <c r="C3973">
        <v>0</v>
      </c>
      <c r="D3973">
        <v>64.44</v>
      </c>
      <c r="E3973">
        <v>4.2729999999999997</v>
      </c>
      <c r="F3973">
        <v>130.82619349999999</v>
      </c>
      <c r="G3973">
        <v>12.186999999999999</v>
      </c>
      <c r="N3973" s="8"/>
    </row>
    <row r="3974" spans="1:14" x14ac:dyDescent="0.25">
      <c r="A3974" s="8">
        <v>40991</v>
      </c>
      <c r="B3974">
        <v>1216059.4099999999</v>
      </c>
      <c r="C3974">
        <v>0</v>
      </c>
      <c r="D3974">
        <v>56.26</v>
      </c>
      <c r="E3974">
        <v>4.0380000000000003</v>
      </c>
      <c r="F3974">
        <v>130.89664519999999</v>
      </c>
      <c r="G3974">
        <v>12.186999999999999</v>
      </c>
      <c r="N3974" s="8"/>
    </row>
    <row r="3975" spans="1:14" x14ac:dyDescent="0.25">
      <c r="A3975" s="8">
        <v>40998</v>
      </c>
      <c r="B3975">
        <v>1209524.1100000001</v>
      </c>
      <c r="C3975">
        <v>0</v>
      </c>
      <c r="D3975">
        <v>64.36</v>
      </c>
      <c r="E3975">
        <v>4.2939999999999996</v>
      </c>
      <c r="F3975">
        <v>130.96709680000001</v>
      </c>
      <c r="G3975">
        <v>12.186999999999999</v>
      </c>
      <c r="N3975" s="8"/>
    </row>
    <row r="3976" spans="1:14" x14ac:dyDescent="0.25">
      <c r="A3976" s="8">
        <v>41005</v>
      </c>
      <c r="B3976">
        <v>1559592.79</v>
      </c>
      <c r="C3976">
        <v>0</v>
      </c>
      <c r="D3976">
        <v>64.05</v>
      </c>
      <c r="E3976">
        <v>4.1210000000000004</v>
      </c>
      <c r="F3976">
        <v>131.03754839999999</v>
      </c>
      <c r="G3976">
        <v>11.627000000000001</v>
      </c>
      <c r="N3976" s="8"/>
    </row>
    <row r="3977" spans="1:14" x14ac:dyDescent="0.25">
      <c r="A3977" s="8">
        <v>41012</v>
      </c>
      <c r="B3977">
        <v>1290684.95</v>
      </c>
      <c r="C3977">
        <v>0</v>
      </c>
      <c r="D3977">
        <v>64.28</v>
      </c>
      <c r="E3977">
        <v>4.2539999999999996</v>
      </c>
      <c r="F3977">
        <v>131.108</v>
      </c>
      <c r="G3977">
        <v>11.627000000000001</v>
      </c>
      <c r="N3977" s="8"/>
    </row>
    <row r="3978" spans="1:14" x14ac:dyDescent="0.25">
      <c r="A3978" s="8">
        <v>41019</v>
      </c>
      <c r="B3978">
        <v>1180797.2</v>
      </c>
      <c r="C3978">
        <v>0</v>
      </c>
      <c r="D3978">
        <v>66.73</v>
      </c>
      <c r="E3978">
        <v>4.2220000000000004</v>
      </c>
      <c r="F3978">
        <v>131.11733330000001</v>
      </c>
      <c r="G3978">
        <v>11.627000000000001</v>
      </c>
      <c r="N3978" s="8"/>
    </row>
    <row r="3979" spans="1:14" x14ac:dyDescent="0.25">
      <c r="A3979" s="8">
        <v>41026</v>
      </c>
      <c r="B3979">
        <v>1170456.1599999999</v>
      </c>
      <c r="C3979">
        <v>0</v>
      </c>
      <c r="D3979">
        <v>77.989999999999995</v>
      </c>
      <c r="E3979">
        <v>4.1929999999999996</v>
      </c>
      <c r="F3979">
        <v>131.12666669999999</v>
      </c>
      <c r="G3979">
        <v>11.627000000000001</v>
      </c>
      <c r="N3979" s="8"/>
    </row>
    <row r="3980" spans="1:14" x14ac:dyDescent="0.25">
      <c r="A3980" s="8">
        <v>41033</v>
      </c>
      <c r="B3980">
        <v>1450628.85</v>
      </c>
      <c r="C3980">
        <v>0</v>
      </c>
      <c r="D3980">
        <v>76.03</v>
      </c>
      <c r="E3980">
        <v>4.1710000000000003</v>
      </c>
      <c r="F3980">
        <v>131.136</v>
      </c>
      <c r="G3980">
        <v>11.627000000000001</v>
      </c>
      <c r="N3980" s="8"/>
    </row>
    <row r="3981" spans="1:14" x14ac:dyDescent="0.25">
      <c r="A3981" s="8">
        <v>41040</v>
      </c>
      <c r="B3981">
        <v>1264575.18</v>
      </c>
      <c r="C3981">
        <v>0</v>
      </c>
      <c r="D3981">
        <v>77.27</v>
      </c>
      <c r="E3981">
        <v>4.1859999999999999</v>
      </c>
      <c r="F3981">
        <v>131.1453333</v>
      </c>
      <c r="G3981">
        <v>11.627000000000001</v>
      </c>
      <c r="N3981" s="8"/>
    </row>
    <row r="3982" spans="1:14" x14ac:dyDescent="0.25">
      <c r="A3982" s="8">
        <v>41047</v>
      </c>
      <c r="B3982">
        <v>1213310.45</v>
      </c>
      <c r="C3982">
        <v>0</v>
      </c>
      <c r="D3982">
        <v>84.51</v>
      </c>
      <c r="E3982">
        <v>4.1100000000000003</v>
      </c>
      <c r="F3982">
        <v>131.09832259999999</v>
      </c>
      <c r="G3982">
        <v>11.627000000000001</v>
      </c>
      <c r="N3982" s="8"/>
    </row>
    <row r="3983" spans="1:14" x14ac:dyDescent="0.25">
      <c r="A3983" s="8">
        <v>41054</v>
      </c>
      <c r="B3983">
        <v>1151214.4099999999</v>
      </c>
      <c r="C3983">
        <v>0</v>
      </c>
      <c r="D3983">
        <v>83.84</v>
      </c>
      <c r="E3983">
        <v>4.2930000000000001</v>
      </c>
      <c r="F3983">
        <v>131.02877419999999</v>
      </c>
      <c r="G3983">
        <v>11.627000000000001</v>
      </c>
      <c r="N3983" s="8"/>
    </row>
    <row r="3984" spans="1:14" x14ac:dyDescent="0.25">
      <c r="A3984" s="8">
        <v>41061</v>
      </c>
      <c r="B3984">
        <v>1245480.95</v>
      </c>
      <c r="C3984">
        <v>0</v>
      </c>
      <c r="D3984">
        <v>78.11</v>
      </c>
      <c r="E3984">
        <v>4.2770000000000001</v>
      </c>
      <c r="F3984">
        <v>130.95922580000001</v>
      </c>
      <c r="G3984">
        <v>11.627000000000001</v>
      </c>
      <c r="N3984" s="8"/>
    </row>
    <row r="3985" spans="1:14" x14ac:dyDescent="0.25">
      <c r="A3985" s="8">
        <v>41068</v>
      </c>
      <c r="B3985">
        <v>1440687.69</v>
      </c>
      <c r="C3985">
        <v>0</v>
      </c>
      <c r="D3985">
        <v>84.83</v>
      </c>
      <c r="E3985">
        <v>4.1029999999999998</v>
      </c>
      <c r="F3985">
        <v>130.88967740000001</v>
      </c>
      <c r="G3985">
        <v>11.627000000000001</v>
      </c>
      <c r="N3985" s="8"/>
    </row>
    <row r="3986" spans="1:14" x14ac:dyDescent="0.25">
      <c r="A3986" s="8">
        <v>41075</v>
      </c>
      <c r="B3986">
        <v>1229760.97</v>
      </c>
      <c r="C3986">
        <v>0</v>
      </c>
      <c r="D3986">
        <v>85.94</v>
      </c>
      <c r="E3986">
        <v>4.1440000000000001</v>
      </c>
      <c r="F3986">
        <v>130.82953330000001</v>
      </c>
      <c r="G3986">
        <v>11.627000000000001</v>
      </c>
      <c r="N3986" s="8"/>
    </row>
    <row r="3987" spans="1:14" x14ac:dyDescent="0.25">
      <c r="A3987" s="8">
        <v>41082</v>
      </c>
      <c r="B3987">
        <v>1180671.55</v>
      </c>
      <c r="C3987">
        <v>0</v>
      </c>
      <c r="D3987">
        <v>91.61</v>
      </c>
      <c r="E3987">
        <v>4.0140000000000002</v>
      </c>
      <c r="F3987">
        <v>130.7929</v>
      </c>
      <c r="G3987">
        <v>11.627000000000001</v>
      </c>
      <c r="N3987" s="8"/>
    </row>
    <row r="3988" spans="1:14" x14ac:dyDescent="0.25">
      <c r="A3988" s="8">
        <v>41089</v>
      </c>
      <c r="B3988">
        <v>1129031.98</v>
      </c>
      <c r="C3988">
        <v>0</v>
      </c>
      <c r="D3988">
        <v>90.47</v>
      </c>
      <c r="E3988">
        <v>3.875</v>
      </c>
      <c r="F3988">
        <v>130.7562667</v>
      </c>
      <c r="G3988">
        <v>11.627000000000001</v>
      </c>
      <c r="N3988" s="8"/>
    </row>
    <row r="3989" spans="1:14" x14ac:dyDescent="0.25">
      <c r="A3989" s="8">
        <v>41096</v>
      </c>
      <c r="B3989">
        <v>1500863.54</v>
      </c>
      <c r="C3989">
        <v>0</v>
      </c>
      <c r="D3989">
        <v>89.13</v>
      </c>
      <c r="E3989">
        <v>3.7650000000000001</v>
      </c>
      <c r="F3989">
        <v>130.7196333</v>
      </c>
      <c r="G3989">
        <v>10.926</v>
      </c>
      <c r="N3989" s="8"/>
    </row>
    <row r="3990" spans="1:14" x14ac:dyDescent="0.25">
      <c r="A3990" s="8">
        <v>41103</v>
      </c>
      <c r="B3990">
        <v>1179915.04</v>
      </c>
      <c r="C3990">
        <v>0</v>
      </c>
      <c r="D3990">
        <v>95.61</v>
      </c>
      <c r="E3990">
        <v>3.7229999999999999</v>
      </c>
      <c r="F3990">
        <v>130.68299999999999</v>
      </c>
      <c r="G3990">
        <v>10.926</v>
      </c>
      <c r="N3990" s="8"/>
    </row>
    <row r="3991" spans="1:14" x14ac:dyDescent="0.25">
      <c r="A3991" s="8">
        <v>41110</v>
      </c>
      <c r="B3991">
        <v>1149427.48</v>
      </c>
      <c r="C3991">
        <v>0</v>
      </c>
      <c r="D3991">
        <v>85.53</v>
      </c>
      <c r="E3991">
        <v>3.726</v>
      </c>
      <c r="F3991">
        <v>130.70129030000001</v>
      </c>
      <c r="G3991">
        <v>10.926</v>
      </c>
      <c r="N3991" s="8"/>
    </row>
    <row r="3992" spans="1:14" x14ac:dyDescent="0.25">
      <c r="A3992" s="8">
        <v>41117</v>
      </c>
      <c r="B3992">
        <v>1135035.0900000001</v>
      </c>
      <c r="C3992">
        <v>0</v>
      </c>
      <c r="D3992">
        <v>93.47</v>
      </c>
      <c r="E3992">
        <v>3.7690000000000001</v>
      </c>
      <c r="F3992">
        <v>130.7195806</v>
      </c>
      <c r="G3992">
        <v>10.926</v>
      </c>
      <c r="N3992" s="8"/>
    </row>
    <row r="3993" spans="1:14" x14ac:dyDescent="0.25">
      <c r="A3993" s="8">
        <v>41124</v>
      </c>
      <c r="B3993">
        <v>1376520.1</v>
      </c>
      <c r="C3993">
        <v>0</v>
      </c>
      <c r="D3993">
        <v>88.16</v>
      </c>
      <c r="E3993">
        <v>3.76</v>
      </c>
      <c r="F3993">
        <v>130.73787100000001</v>
      </c>
      <c r="G3993">
        <v>10.926</v>
      </c>
      <c r="N3993" s="8"/>
    </row>
    <row r="3994" spans="1:14" x14ac:dyDescent="0.25">
      <c r="A3994" s="8">
        <v>41131</v>
      </c>
      <c r="B3994">
        <v>1269113.4099999999</v>
      </c>
      <c r="C3994">
        <v>0</v>
      </c>
      <c r="D3994">
        <v>95.91</v>
      </c>
      <c r="E3994">
        <v>3.8109999999999999</v>
      </c>
      <c r="F3994">
        <v>130.7561613</v>
      </c>
      <c r="G3994">
        <v>10.926</v>
      </c>
      <c r="N3994" s="8"/>
    </row>
    <row r="3995" spans="1:14" x14ac:dyDescent="0.25">
      <c r="A3995" s="8">
        <v>41138</v>
      </c>
      <c r="B3995">
        <v>1184198.4099999999</v>
      </c>
      <c r="C3995">
        <v>0</v>
      </c>
      <c r="D3995">
        <v>94.87</v>
      </c>
      <c r="E3995">
        <v>4.0019999999999998</v>
      </c>
      <c r="F3995">
        <v>130.79096770000001</v>
      </c>
      <c r="G3995">
        <v>10.926</v>
      </c>
      <c r="N3995" s="8"/>
    </row>
    <row r="3996" spans="1:14" x14ac:dyDescent="0.25">
      <c r="A3996" s="8">
        <v>41145</v>
      </c>
      <c r="B3996">
        <v>1199309.5900000001</v>
      </c>
      <c r="C3996">
        <v>0</v>
      </c>
      <c r="D3996">
        <v>85.32</v>
      </c>
      <c r="E3996">
        <v>4.0549999999999997</v>
      </c>
      <c r="F3996">
        <v>130.8381613</v>
      </c>
      <c r="G3996">
        <v>10.926</v>
      </c>
      <c r="N3996" s="8"/>
    </row>
    <row r="3997" spans="1:14" x14ac:dyDescent="0.25">
      <c r="A3997" s="8">
        <v>41152</v>
      </c>
      <c r="B3997">
        <v>1227118.75</v>
      </c>
      <c r="C3997">
        <v>0</v>
      </c>
      <c r="D3997">
        <v>89.78</v>
      </c>
      <c r="E3997">
        <v>4.093</v>
      </c>
      <c r="F3997">
        <v>130.88535479999999</v>
      </c>
      <c r="G3997">
        <v>10.926</v>
      </c>
      <c r="N3997" s="8"/>
    </row>
    <row r="3998" spans="1:14" x14ac:dyDescent="0.25">
      <c r="A3998" s="8">
        <v>41159</v>
      </c>
      <c r="B3998">
        <v>1469693.99</v>
      </c>
      <c r="C3998">
        <v>1</v>
      </c>
      <c r="D3998">
        <v>88.52</v>
      </c>
      <c r="E3998">
        <v>4.1239999999999997</v>
      </c>
      <c r="F3998">
        <v>130.9325484</v>
      </c>
      <c r="G3998">
        <v>10.926</v>
      </c>
      <c r="N3998" s="8"/>
    </row>
    <row r="3999" spans="1:14" x14ac:dyDescent="0.25">
      <c r="A3999" s="8">
        <v>41166</v>
      </c>
      <c r="B3999">
        <v>1124660.77</v>
      </c>
      <c r="C3999">
        <v>0</v>
      </c>
      <c r="D3999">
        <v>83.64</v>
      </c>
      <c r="E3999">
        <v>4.133</v>
      </c>
      <c r="F3999">
        <v>130.97766669999999</v>
      </c>
      <c r="G3999">
        <v>10.926</v>
      </c>
      <c r="N3999" s="8"/>
    </row>
    <row r="4000" spans="1:14" x14ac:dyDescent="0.25">
      <c r="A4000" s="8">
        <v>41173</v>
      </c>
      <c r="B4000">
        <v>1135340.19</v>
      </c>
      <c r="C4000">
        <v>0</v>
      </c>
      <c r="D4000">
        <v>82.97</v>
      </c>
      <c r="E4000">
        <v>4.125</v>
      </c>
      <c r="F4000">
        <v>131.01033330000001</v>
      </c>
      <c r="G4000">
        <v>10.926</v>
      </c>
      <c r="N4000" s="8"/>
    </row>
    <row r="4001" spans="1:14" x14ac:dyDescent="0.25">
      <c r="A4001" s="8">
        <v>41180</v>
      </c>
      <c r="B4001">
        <v>1129508.6100000001</v>
      </c>
      <c r="C4001">
        <v>0</v>
      </c>
      <c r="D4001">
        <v>81.22</v>
      </c>
      <c r="E4001">
        <v>3.9660000000000002</v>
      </c>
      <c r="F4001">
        <v>131.04300000000001</v>
      </c>
      <c r="G4001">
        <v>10.926</v>
      </c>
      <c r="N4001" s="8"/>
    </row>
    <row r="4002" spans="1:14" x14ac:dyDescent="0.25">
      <c r="A4002" s="8">
        <v>41187</v>
      </c>
      <c r="B4002">
        <v>1462941.03</v>
      </c>
      <c r="C4002">
        <v>0</v>
      </c>
      <c r="D4002">
        <v>81.61</v>
      </c>
      <c r="E4002">
        <v>3.9660000000000002</v>
      </c>
      <c r="F4002">
        <v>131.0756667</v>
      </c>
      <c r="G4002">
        <v>10.199</v>
      </c>
      <c r="N4002" s="8"/>
    </row>
    <row r="4003" spans="1:14" x14ac:dyDescent="0.25">
      <c r="A4003" s="8">
        <v>41194</v>
      </c>
      <c r="B4003">
        <v>1205536.71</v>
      </c>
      <c r="C4003">
        <v>0</v>
      </c>
      <c r="D4003">
        <v>71.739999999999995</v>
      </c>
      <c r="E4003">
        <v>4.468</v>
      </c>
      <c r="F4003">
        <v>131.1083333</v>
      </c>
      <c r="G4003">
        <v>10.199</v>
      </c>
      <c r="N4003" s="8"/>
    </row>
    <row r="4004" spans="1:14" x14ac:dyDescent="0.25">
      <c r="A4004" s="8">
        <v>41201</v>
      </c>
      <c r="B4004">
        <v>1143724.48</v>
      </c>
      <c r="C4004">
        <v>0</v>
      </c>
      <c r="D4004">
        <v>68.66</v>
      </c>
      <c r="E4004">
        <v>4.4489999999999998</v>
      </c>
      <c r="F4004">
        <v>131.14996769999999</v>
      </c>
      <c r="G4004">
        <v>10.199</v>
      </c>
      <c r="N4004" s="8"/>
    </row>
    <row r="4005" spans="1:14" x14ac:dyDescent="0.25">
      <c r="A4005" s="8">
        <v>41208</v>
      </c>
      <c r="B4005">
        <v>1213860.6100000001</v>
      </c>
      <c r="C4005">
        <v>0</v>
      </c>
      <c r="D4005">
        <v>65.95</v>
      </c>
      <c r="E4005">
        <v>4.3010000000000002</v>
      </c>
      <c r="F4005">
        <v>131.19309680000001</v>
      </c>
      <c r="G4005">
        <v>10.199</v>
      </c>
      <c r="N4005" s="8"/>
    </row>
    <row r="4006" spans="1:14" x14ac:dyDescent="0.25">
      <c r="A4006" s="8">
        <v>40214</v>
      </c>
      <c r="B4006">
        <v>538634.46</v>
      </c>
      <c r="C4006">
        <v>0</v>
      </c>
      <c r="D4006">
        <v>24.36</v>
      </c>
      <c r="E4006">
        <v>2.7879999999999998</v>
      </c>
      <c r="F4006">
        <v>131.5279032</v>
      </c>
      <c r="G4006">
        <v>10.064</v>
      </c>
      <c r="N4006" s="8"/>
    </row>
    <row r="4007" spans="1:14" x14ac:dyDescent="0.25">
      <c r="A4007" s="8">
        <v>40221</v>
      </c>
      <c r="B4007">
        <v>529672.94999999995</v>
      </c>
      <c r="C4007">
        <v>1</v>
      </c>
      <c r="D4007">
        <v>28.14</v>
      </c>
      <c r="E4007">
        <v>2.7709999999999999</v>
      </c>
      <c r="F4007">
        <v>131.58661290000001</v>
      </c>
      <c r="G4007">
        <v>10.064</v>
      </c>
      <c r="N4007" s="8"/>
    </row>
    <row r="4008" spans="1:14" x14ac:dyDescent="0.25">
      <c r="A4008" s="8">
        <v>40228</v>
      </c>
      <c r="B4008">
        <v>542399.06999999995</v>
      </c>
      <c r="C4008">
        <v>0</v>
      </c>
      <c r="D4008">
        <v>31.96</v>
      </c>
      <c r="E4008">
        <v>2.7469999999999999</v>
      </c>
      <c r="F4008">
        <v>131.637</v>
      </c>
      <c r="G4008">
        <v>10.064</v>
      </c>
      <c r="N4008" s="8"/>
    </row>
    <row r="4009" spans="1:14" x14ac:dyDescent="0.25">
      <c r="A4009" s="8">
        <v>40235</v>
      </c>
      <c r="B4009">
        <v>488417.61</v>
      </c>
      <c r="C4009">
        <v>0</v>
      </c>
      <c r="D4009">
        <v>35.979999999999997</v>
      </c>
      <c r="E4009">
        <v>2.7530000000000001</v>
      </c>
      <c r="F4009">
        <v>131.68600000000001</v>
      </c>
      <c r="G4009">
        <v>10.064</v>
      </c>
      <c r="N4009" s="8"/>
    </row>
    <row r="4010" spans="1:14" x14ac:dyDescent="0.25">
      <c r="A4010" s="8">
        <v>40242</v>
      </c>
      <c r="B4010">
        <v>535087.91</v>
      </c>
      <c r="C4010">
        <v>0</v>
      </c>
      <c r="D4010">
        <v>36.82</v>
      </c>
      <c r="E4010">
        <v>2.766</v>
      </c>
      <c r="F4010">
        <v>131.73500000000001</v>
      </c>
      <c r="G4010">
        <v>10.064</v>
      </c>
      <c r="N4010" s="8"/>
    </row>
    <row r="4011" spans="1:14" x14ac:dyDescent="0.25">
      <c r="A4011" s="8">
        <v>40249</v>
      </c>
      <c r="B4011">
        <v>519042.49</v>
      </c>
      <c r="C4011">
        <v>0</v>
      </c>
      <c r="D4011">
        <v>43.43</v>
      </c>
      <c r="E4011">
        <v>2.8050000000000002</v>
      </c>
      <c r="F4011">
        <v>131.78399999999999</v>
      </c>
      <c r="G4011">
        <v>10.064</v>
      </c>
      <c r="N4011" s="8"/>
    </row>
    <row r="4012" spans="1:14" x14ac:dyDescent="0.25">
      <c r="A4012" s="8">
        <v>40256</v>
      </c>
      <c r="B4012">
        <v>496851.6</v>
      </c>
      <c r="C4012">
        <v>0</v>
      </c>
      <c r="D4012">
        <v>46.03</v>
      </c>
      <c r="E4012">
        <v>2.8340000000000001</v>
      </c>
      <c r="F4012">
        <v>131.8242903</v>
      </c>
      <c r="G4012">
        <v>10.064</v>
      </c>
      <c r="N4012" s="8"/>
    </row>
    <row r="4013" spans="1:14" x14ac:dyDescent="0.25">
      <c r="A4013" s="8">
        <v>40263</v>
      </c>
      <c r="B4013">
        <v>552985.34</v>
      </c>
      <c r="C4013">
        <v>0</v>
      </c>
      <c r="D4013">
        <v>48.56</v>
      </c>
      <c r="E4013">
        <v>2.831</v>
      </c>
      <c r="F4013">
        <v>131.86312899999999</v>
      </c>
      <c r="G4013">
        <v>10.064</v>
      </c>
      <c r="N4013" s="8"/>
    </row>
    <row r="4014" spans="1:14" x14ac:dyDescent="0.25">
      <c r="A4014" s="8">
        <v>40270</v>
      </c>
      <c r="B4014">
        <v>599629.25</v>
      </c>
      <c r="C4014">
        <v>0</v>
      </c>
      <c r="D4014">
        <v>44.96</v>
      </c>
      <c r="E4014">
        <v>2.8260000000000001</v>
      </c>
      <c r="F4014">
        <v>131.9019677</v>
      </c>
      <c r="G4014">
        <v>10.16</v>
      </c>
      <c r="N4014" s="8"/>
    </row>
    <row r="4015" spans="1:14" x14ac:dyDescent="0.25">
      <c r="A4015" s="8">
        <v>40277</v>
      </c>
      <c r="B4015">
        <v>569937.23</v>
      </c>
      <c r="C4015">
        <v>0</v>
      </c>
      <c r="D4015">
        <v>57.06</v>
      </c>
      <c r="E4015">
        <v>2.8490000000000002</v>
      </c>
      <c r="F4015">
        <v>131.94080650000001</v>
      </c>
      <c r="G4015">
        <v>10.16</v>
      </c>
      <c r="N4015" s="8"/>
    </row>
    <row r="4016" spans="1:14" x14ac:dyDescent="0.25">
      <c r="A4016" s="8">
        <v>40284</v>
      </c>
      <c r="B4016">
        <v>509100.84</v>
      </c>
      <c r="C4016">
        <v>0</v>
      </c>
      <c r="D4016">
        <v>51.14</v>
      </c>
      <c r="E4016">
        <v>2.8849999999999998</v>
      </c>
      <c r="F4016">
        <v>131.98089999999999</v>
      </c>
      <c r="G4016">
        <v>10.16</v>
      </c>
      <c r="N4016" s="8"/>
    </row>
    <row r="4017" spans="1:14" x14ac:dyDescent="0.25">
      <c r="A4017" s="8">
        <v>40291</v>
      </c>
      <c r="B4017">
        <v>505329.66</v>
      </c>
      <c r="C4017">
        <v>0</v>
      </c>
      <c r="D4017">
        <v>51.04</v>
      </c>
      <c r="E4017">
        <v>2.895</v>
      </c>
      <c r="F4017">
        <v>132.0226667</v>
      </c>
      <c r="G4017">
        <v>10.16</v>
      </c>
      <c r="N4017" s="8"/>
    </row>
    <row r="4018" spans="1:14" x14ac:dyDescent="0.25">
      <c r="A4018" s="8">
        <v>40298</v>
      </c>
      <c r="B4018">
        <v>501013.47</v>
      </c>
      <c r="C4018">
        <v>0</v>
      </c>
      <c r="D4018">
        <v>50.96</v>
      </c>
      <c r="E4018">
        <v>2.9350000000000001</v>
      </c>
      <c r="F4018">
        <v>132.06443329999999</v>
      </c>
      <c r="G4018">
        <v>10.16</v>
      </c>
      <c r="N4018" s="8"/>
    </row>
    <row r="4019" spans="1:14" x14ac:dyDescent="0.25">
      <c r="A4019" s="8">
        <v>40305</v>
      </c>
      <c r="B4019">
        <v>568497.35</v>
      </c>
      <c r="C4019">
        <v>0</v>
      </c>
      <c r="D4019">
        <v>63.81</v>
      </c>
      <c r="E4019">
        <v>2.9809999999999999</v>
      </c>
      <c r="F4019">
        <v>132.1062</v>
      </c>
      <c r="G4019">
        <v>10.16</v>
      </c>
      <c r="N4019" s="8"/>
    </row>
    <row r="4020" spans="1:14" x14ac:dyDescent="0.25">
      <c r="A4020" s="8">
        <v>40312</v>
      </c>
      <c r="B4020">
        <v>518940.88</v>
      </c>
      <c r="C4020">
        <v>0</v>
      </c>
      <c r="D4020">
        <v>50.99</v>
      </c>
      <c r="E4020">
        <v>2.9830000000000001</v>
      </c>
      <c r="F4020">
        <v>132.152129</v>
      </c>
      <c r="G4020">
        <v>10.16</v>
      </c>
      <c r="N4020" s="8"/>
    </row>
    <row r="4021" spans="1:14" x14ac:dyDescent="0.25">
      <c r="A4021" s="8">
        <v>40319</v>
      </c>
      <c r="B4021">
        <v>502021.82</v>
      </c>
      <c r="C4021">
        <v>0</v>
      </c>
      <c r="D4021">
        <v>59.99</v>
      </c>
      <c r="E4021">
        <v>2.9609999999999999</v>
      </c>
      <c r="F4021">
        <v>132.2230323</v>
      </c>
      <c r="G4021">
        <v>10.16</v>
      </c>
      <c r="N4021" s="8"/>
    </row>
    <row r="4022" spans="1:14" x14ac:dyDescent="0.25">
      <c r="A4022" s="8">
        <v>40326</v>
      </c>
      <c r="B4022">
        <v>577627.66</v>
      </c>
      <c r="C4022">
        <v>0</v>
      </c>
      <c r="D4022">
        <v>65.64</v>
      </c>
      <c r="E4022">
        <v>2.9060000000000001</v>
      </c>
      <c r="F4022">
        <v>132.2939355</v>
      </c>
      <c r="G4022">
        <v>10.16</v>
      </c>
      <c r="N4022" s="8"/>
    </row>
    <row r="4023" spans="1:14" x14ac:dyDescent="0.25">
      <c r="A4023" s="8">
        <v>40333</v>
      </c>
      <c r="B4023">
        <v>588017.66</v>
      </c>
      <c r="C4023">
        <v>0</v>
      </c>
      <c r="D4023">
        <v>69.489999999999995</v>
      </c>
      <c r="E4023">
        <v>2.8570000000000002</v>
      </c>
      <c r="F4023">
        <v>132.36483870000001</v>
      </c>
      <c r="G4023">
        <v>10.16</v>
      </c>
      <c r="N4023" s="8"/>
    </row>
    <row r="4024" spans="1:14" x14ac:dyDescent="0.25">
      <c r="A4024" s="8">
        <v>40340</v>
      </c>
      <c r="B4024">
        <v>540716.57999999996</v>
      </c>
      <c r="C4024">
        <v>0</v>
      </c>
      <c r="D4024">
        <v>65.010000000000005</v>
      </c>
      <c r="E4024">
        <v>2.83</v>
      </c>
      <c r="F4024">
        <v>132.43574190000001</v>
      </c>
      <c r="G4024">
        <v>10.16</v>
      </c>
      <c r="N4024" s="8"/>
    </row>
    <row r="4025" spans="1:14" x14ac:dyDescent="0.25">
      <c r="A4025" s="8">
        <v>40347</v>
      </c>
      <c r="B4025">
        <v>558731.74</v>
      </c>
      <c r="C4025">
        <v>0</v>
      </c>
      <c r="D4025">
        <v>67.13</v>
      </c>
      <c r="E4025">
        <v>2.8050000000000002</v>
      </c>
      <c r="F4025">
        <v>132.47333330000001</v>
      </c>
      <c r="G4025">
        <v>10.16</v>
      </c>
      <c r="N4025" s="8"/>
    </row>
    <row r="4026" spans="1:14" x14ac:dyDescent="0.25">
      <c r="A4026" s="8">
        <v>40354</v>
      </c>
      <c r="B4026">
        <v>585548.79</v>
      </c>
      <c r="C4026">
        <v>0</v>
      </c>
      <c r="D4026">
        <v>74.37</v>
      </c>
      <c r="E4026">
        <v>2.81</v>
      </c>
      <c r="F4026">
        <v>132.49760000000001</v>
      </c>
      <c r="G4026">
        <v>10.16</v>
      </c>
      <c r="N4026" s="8"/>
    </row>
    <row r="4027" spans="1:14" x14ac:dyDescent="0.25">
      <c r="A4027" s="8">
        <v>40361</v>
      </c>
      <c r="B4027">
        <v>581473.55000000005</v>
      </c>
      <c r="C4027">
        <v>0</v>
      </c>
      <c r="D4027">
        <v>72.88</v>
      </c>
      <c r="E4027">
        <v>2.8149999999999999</v>
      </c>
      <c r="F4027">
        <v>132.5218667</v>
      </c>
      <c r="G4027">
        <v>10.409000000000001</v>
      </c>
      <c r="N4027" s="8"/>
    </row>
    <row r="4028" spans="1:14" x14ac:dyDescent="0.25">
      <c r="A4028" s="8">
        <v>40368</v>
      </c>
      <c r="B4028">
        <v>563449.43000000005</v>
      </c>
      <c r="C4028">
        <v>0</v>
      </c>
      <c r="D4028">
        <v>79.22</v>
      </c>
      <c r="E4028">
        <v>2.806</v>
      </c>
      <c r="F4028">
        <v>132.54613330000001</v>
      </c>
      <c r="G4028">
        <v>10.409000000000001</v>
      </c>
      <c r="N4028" s="8"/>
    </row>
    <row r="4029" spans="1:14" x14ac:dyDescent="0.25">
      <c r="A4029" s="8">
        <v>40375</v>
      </c>
      <c r="B4029">
        <v>512292.01</v>
      </c>
      <c r="C4029">
        <v>0</v>
      </c>
      <c r="D4029">
        <v>76.3</v>
      </c>
      <c r="E4029">
        <v>2.7959999999999998</v>
      </c>
      <c r="F4029">
        <v>132.5667742</v>
      </c>
      <c r="G4029">
        <v>10.409000000000001</v>
      </c>
      <c r="N4029" s="8"/>
    </row>
    <row r="4030" spans="1:14" x14ac:dyDescent="0.25">
      <c r="A4030" s="8">
        <v>40382</v>
      </c>
      <c r="B4030">
        <v>506502.09</v>
      </c>
      <c r="C4030">
        <v>0</v>
      </c>
      <c r="D4030">
        <v>76.91</v>
      </c>
      <c r="E4030">
        <v>2.7839999999999998</v>
      </c>
      <c r="F4030">
        <v>132.5825806</v>
      </c>
      <c r="G4030">
        <v>10.409000000000001</v>
      </c>
      <c r="N4030" s="8"/>
    </row>
    <row r="4031" spans="1:14" x14ac:dyDescent="0.25">
      <c r="A4031" s="8">
        <v>40389</v>
      </c>
      <c r="B4031">
        <v>509872.77</v>
      </c>
      <c r="C4031">
        <v>0</v>
      </c>
      <c r="D4031">
        <v>76.349999999999994</v>
      </c>
      <c r="E4031">
        <v>2.7919999999999998</v>
      </c>
      <c r="F4031">
        <v>132.5983871</v>
      </c>
      <c r="G4031">
        <v>10.409000000000001</v>
      </c>
      <c r="N4031" s="8"/>
    </row>
    <row r="4032" spans="1:14" x14ac:dyDescent="0.25">
      <c r="A4032" s="8">
        <v>40396</v>
      </c>
      <c r="B4032">
        <v>519787.93</v>
      </c>
      <c r="C4032">
        <v>0</v>
      </c>
      <c r="D4032">
        <v>74.37</v>
      </c>
      <c r="E4032">
        <v>2.7919999999999998</v>
      </c>
      <c r="F4032">
        <v>132.6141935</v>
      </c>
      <c r="G4032">
        <v>10.409000000000001</v>
      </c>
      <c r="N4032" s="8"/>
    </row>
    <row r="4033" spans="1:14" x14ac:dyDescent="0.25">
      <c r="A4033" s="8">
        <v>40403</v>
      </c>
      <c r="B4033">
        <v>495269</v>
      </c>
      <c r="C4033">
        <v>0</v>
      </c>
      <c r="D4033">
        <v>74.75</v>
      </c>
      <c r="E4033">
        <v>2.81</v>
      </c>
      <c r="F4033">
        <v>132.63</v>
      </c>
      <c r="G4033">
        <v>10.409000000000001</v>
      </c>
      <c r="N4033" s="8"/>
    </row>
    <row r="4034" spans="1:14" x14ac:dyDescent="0.25">
      <c r="A4034" s="8">
        <v>40410</v>
      </c>
      <c r="B4034">
        <v>531640.18999999994</v>
      </c>
      <c r="C4034">
        <v>0</v>
      </c>
      <c r="D4034">
        <v>73.209999999999994</v>
      </c>
      <c r="E4034">
        <v>2.7959999999999998</v>
      </c>
      <c r="F4034">
        <v>132.66161289999999</v>
      </c>
      <c r="G4034">
        <v>10.409000000000001</v>
      </c>
      <c r="N4034" s="8"/>
    </row>
    <row r="4035" spans="1:14" x14ac:dyDescent="0.25">
      <c r="A4035" s="8">
        <v>40417</v>
      </c>
      <c r="B4035">
        <v>545766.13</v>
      </c>
      <c r="C4035">
        <v>0</v>
      </c>
      <c r="D4035">
        <v>68.989999999999995</v>
      </c>
      <c r="E4035">
        <v>2.77</v>
      </c>
      <c r="F4035">
        <v>132.69322579999999</v>
      </c>
      <c r="G4035">
        <v>10.409000000000001</v>
      </c>
      <c r="N4035" s="8"/>
    </row>
    <row r="4036" spans="1:14" x14ac:dyDescent="0.25">
      <c r="A4036" s="8">
        <v>40424</v>
      </c>
      <c r="B4036">
        <v>579272.38</v>
      </c>
      <c r="C4036">
        <v>0</v>
      </c>
      <c r="D4036">
        <v>75.849999999999994</v>
      </c>
      <c r="E4036">
        <v>2.7349999999999999</v>
      </c>
      <c r="F4036">
        <v>132.72483869999999</v>
      </c>
      <c r="G4036">
        <v>10.409000000000001</v>
      </c>
      <c r="N4036" s="8"/>
    </row>
    <row r="4037" spans="1:14" x14ac:dyDescent="0.25">
      <c r="A4037" s="8">
        <v>40431</v>
      </c>
      <c r="B4037">
        <v>491290.37</v>
      </c>
      <c r="C4037">
        <v>1</v>
      </c>
      <c r="D4037">
        <v>68.599999999999994</v>
      </c>
      <c r="E4037">
        <v>2.7170000000000001</v>
      </c>
      <c r="F4037">
        <v>132.75645159999999</v>
      </c>
      <c r="G4037">
        <v>10.409000000000001</v>
      </c>
      <c r="N4037" s="8"/>
    </row>
    <row r="4038" spans="1:14" x14ac:dyDescent="0.25">
      <c r="A4038" s="8">
        <v>40438</v>
      </c>
      <c r="B4038">
        <v>463752.89</v>
      </c>
      <c r="C4038">
        <v>0</v>
      </c>
      <c r="D4038">
        <v>62.49</v>
      </c>
      <c r="E4038">
        <v>2.7160000000000002</v>
      </c>
      <c r="F4038">
        <v>132.76706669999999</v>
      </c>
      <c r="G4038">
        <v>10.409000000000001</v>
      </c>
      <c r="N4038" s="8"/>
    </row>
    <row r="4039" spans="1:14" x14ac:dyDescent="0.25">
      <c r="A4039" s="8">
        <v>40445</v>
      </c>
      <c r="B4039">
        <v>465338.41</v>
      </c>
      <c r="C4039">
        <v>0</v>
      </c>
      <c r="D4039">
        <v>65.14</v>
      </c>
      <c r="E4039">
        <v>2.718</v>
      </c>
      <c r="F4039">
        <v>132.76193330000001</v>
      </c>
      <c r="G4039">
        <v>10.409000000000001</v>
      </c>
      <c r="N4039" s="8"/>
    </row>
    <row r="4040" spans="1:14" x14ac:dyDescent="0.25">
      <c r="A4040" s="8">
        <v>40452</v>
      </c>
      <c r="B4040">
        <v>474698.01</v>
      </c>
      <c r="C4040">
        <v>0</v>
      </c>
      <c r="D4040">
        <v>69.31</v>
      </c>
      <c r="E4040">
        <v>2.7170000000000001</v>
      </c>
      <c r="F4040">
        <v>132.7568</v>
      </c>
      <c r="G4040">
        <v>10.523999999999999</v>
      </c>
      <c r="N4040" s="8"/>
    </row>
    <row r="4041" spans="1:14" x14ac:dyDescent="0.25">
      <c r="A4041" s="8">
        <v>40459</v>
      </c>
      <c r="B4041">
        <v>530059.06000000006</v>
      </c>
      <c r="C4041">
        <v>0</v>
      </c>
      <c r="D4041">
        <v>56.32</v>
      </c>
      <c r="E4041">
        <v>2.7759999999999998</v>
      </c>
      <c r="F4041">
        <v>132.75166669999999</v>
      </c>
      <c r="G4041">
        <v>10.523999999999999</v>
      </c>
      <c r="N4041" s="8"/>
    </row>
    <row r="4042" spans="1:14" x14ac:dyDescent="0.25">
      <c r="A4042" s="8">
        <v>40466</v>
      </c>
      <c r="B4042">
        <v>483011.69</v>
      </c>
      <c r="C4042">
        <v>0</v>
      </c>
      <c r="D4042">
        <v>55.23</v>
      </c>
      <c r="E4042">
        <v>2.8780000000000001</v>
      </c>
      <c r="F4042">
        <v>132.7633548</v>
      </c>
      <c r="G4042">
        <v>10.523999999999999</v>
      </c>
      <c r="N4042" s="8"/>
    </row>
    <row r="4043" spans="1:14" x14ac:dyDescent="0.25">
      <c r="A4043" s="8">
        <v>40473</v>
      </c>
      <c r="B4043">
        <v>505221.17</v>
      </c>
      <c r="C4043">
        <v>0</v>
      </c>
      <c r="D4043">
        <v>50.24</v>
      </c>
      <c r="E4043">
        <v>2.919</v>
      </c>
      <c r="F4043">
        <v>132.8170968</v>
      </c>
      <c r="G4043">
        <v>10.523999999999999</v>
      </c>
      <c r="N4043" s="8"/>
    </row>
    <row r="4044" spans="1:14" x14ac:dyDescent="0.25">
      <c r="A4044" s="8">
        <v>40480</v>
      </c>
      <c r="B4044">
        <v>527058.59</v>
      </c>
      <c r="C4044">
        <v>0</v>
      </c>
      <c r="D4044">
        <v>57.73</v>
      </c>
      <c r="E4044">
        <v>2.9380000000000002</v>
      </c>
      <c r="F4044">
        <v>132.87083870000001</v>
      </c>
      <c r="G4044">
        <v>10.523999999999999</v>
      </c>
      <c r="N4044" s="8"/>
    </row>
    <row r="4045" spans="1:14" x14ac:dyDescent="0.25">
      <c r="A4045" s="8">
        <v>40487</v>
      </c>
      <c r="B4045">
        <v>521002.97</v>
      </c>
      <c r="C4045">
        <v>0</v>
      </c>
      <c r="D4045">
        <v>44.34</v>
      </c>
      <c r="E4045">
        <v>2.9380000000000002</v>
      </c>
      <c r="F4045">
        <v>132.92458060000001</v>
      </c>
      <c r="G4045">
        <v>10.523999999999999</v>
      </c>
      <c r="N4045" s="8"/>
    </row>
    <row r="4046" spans="1:14" x14ac:dyDescent="0.25">
      <c r="A4046" s="8">
        <v>40494</v>
      </c>
      <c r="B4046">
        <v>524450.69999999995</v>
      </c>
      <c r="C4046">
        <v>0</v>
      </c>
      <c r="D4046">
        <v>44.42</v>
      </c>
      <c r="E4046">
        <v>2.9609999999999999</v>
      </c>
      <c r="F4046">
        <v>132.97832260000001</v>
      </c>
      <c r="G4046">
        <v>10.523999999999999</v>
      </c>
      <c r="N4046" s="8"/>
    </row>
    <row r="4047" spans="1:14" x14ac:dyDescent="0.25">
      <c r="A4047" s="8">
        <v>40501</v>
      </c>
      <c r="B4047">
        <v>508174.55</v>
      </c>
      <c r="C4047">
        <v>0</v>
      </c>
      <c r="D4047">
        <v>48.62</v>
      </c>
      <c r="E4047">
        <v>3.03</v>
      </c>
      <c r="F4047">
        <v>132.91720000000001</v>
      </c>
      <c r="G4047">
        <v>10.523999999999999</v>
      </c>
      <c r="N4047" s="8"/>
    </row>
    <row r="4048" spans="1:14" x14ac:dyDescent="0.25">
      <c r="A4048" s="8">
        <v>40508</v>
      </c>
      <c r="B4048">
        <v>975268.91</v>
      </c>
      <c r="C4048">
        <v>1</v>
      </c>
      <c r="D4048">
        <v>44.61</v>
      </c>
      <c r="E4048">
        <v>3.07</v>
      </c>
      <c r="F4048">
        <v>132.8369333</v>
      </c>
      <c r="G4048">
        <v>10.523999999999999</v>
      </c>
      <c r="N4048" s="8"/>
    </row>
    <row r="4049" spans="1:14" x14ac:dyDescent="0.25">
      <c r="A4049" s="8">
        <v>40515</v>
      </c>
      <c r="B4049">
        <v>642678.53</v>
      </c>
      <c r="C4049">
        <v>0</v>
      </c>
      <c r="D4049">
        <v>39.42</v>
      </c>
      <c r="E4049">
        <v>3.0649999999999999</v>
      </c>
      <c r="F4049">
        <v>132.75666670000001</v>
      </c>
      <c r="G4049">
        <v>10.523999999999999</v>
      </c>
      <c r="N4049" s="8"/>
    </row>
    <row r="4050" spans="1:14" x14ac:dyDescent="0.25">
      <c r="A4050" s="8">
        <v>40522</v>
      </c>
      <c r="B4050">
        <v>713834.74</v>
      </c>
      <c r="C4050">
        <v>0</v>
      </c>
      <c r="D4050">
        <v>28.43</v>
      </c>
      <c r="E4050">
        <v>3.1320000000000001</v>
      </c>
      <c r="F4050">
        <v>132.6764</v>
      </c>
      <c r="G4050">
        <v>10.523999999999999</v>
      </c>
      <c r="N4050" s="8"/>
    </row>
    <row r="4051" spans="1:14" x14ac:dyDescent="0.25">
      <c r="A4051" s="8">
        <v>40529</v>
      </c>
      <c r="B4051">
        <v>850538.25</v>
      </c>
      <c r="C4051">
        <v>0</v>
      </c>
      <c r="D4051">
        <v>30.46</v>
      </c>
      <c r="E4051">
        <v>3.1389999999999998</v>
      </c>
      <c r="F4051">
        <v>132.6804516</v>
      </c>
      <c r="G4051">
        <v>10.523999999999999</v>
      </c>
      <c r="N4051" s="8"/>
    </row>
    <row r="4052" spans="1:14" x14ac:dyDescent="0.25">
      <c r="A4052" s="8">
        <v>40536</v>
      </c>
      <c r="B4052">
        <v>1130926.79</v>
      </c>
      <c r="C4052">
        <v>0</v>
      </c>
      <c r="D4052">
        <v>29.76</v>
      </c>
      <c r="E4052">
        <v>3.15</v>
      </c>
      <c r="F4052">
        <v>132.74774189999999</v>
      </c>
      <c r="G4052">
        <v>10.523999999999999</v>
      </c>
      <c r="N4052" s="8"/>
    </row>
    <row r="4053" spans="1:14" x14ac:dyDescent="0.25">
      <c r="A4053" s="8">
        <v>40543</v>
      </c>
      <c r="B4053">
        <v>465992.02</v>
      </c>
      <c r="C4053">
        <v>1</v>
      </c>
      <c r="D4053">
        <v>28.49</v>
      </c>
      <c r="E4053">
        <v>3.177</v>
      </c>
      <c r="F4053">
        <v>132.81503230000001</v>
      </c>
      <c r="G4053">
        <v>10.523999999999999</v>
      </c>
      <c r="N4053" s="8"/>
    </row>
    <row r="4054" spans="1:14" x14ac:dyDescent="0.25">
      <c r="A4054" s="8">
        <v>40550</v>
      </c>
      <c r="B4054">
        <v>455952.18</v>
      </c>
      <c r="C4054">
        <v>0</v>
      </c>
      <c r="D4054">
        <v>32.56</v>
      </c>
      <c r="E4054">
        <v>3.1930000000000001</v>
      </c>
      <c r="F4054">
        <v>132.88232260000001</v>
      </c>
      <c r="G4054">
        <v>10.256</v>
      </c>
      <c r="N4054" s="8"/>
    </row>
    <row r="4055" spans="1:14" x14ac:dyDescent="0.25">
      <c r="A4055" s="8">
        <v>40557</v>
      </c>
      <c r="B4055">
        <v>426905.26</v>
      </c>
      <c r="C4055">
        <v>0</v>
      </c>
      <c r="D4055">
        <v>24.76</v>
      </c>
      <c r="E4055">
        <v>3.2149999999999999</v>
      </c>
      <c r="F4055">
        <v>132.9510645</v>
      </c>
      <c r="G4055">
        <v>10.256</v>
      </c>
      <c r="N4055" s="8"/>
    </row>
    <row r="4056" spans="1:14" x14ac:dyDescent="0.25">
      <c r="A4056" s="8">
        <v>40564</v>
      </c>
      <c r="B4056">
        <v>445134.15</v>
      </c>
      <c r="C4056">
        <v>0</v>
      </c>
      <c r="D4056">
        <v>26.8</v>
      </c>
      <c r="E4056">
        <v>3.2320000000000002</v>
      </c>
      <c r="F4056">
        <v>133.02851609999999</v>
      </c>
      <c r="G4056">
        <v>10.256</v>
      </c>
      <c r="N4056" s="8"/>
    </row>
    <row r="4057" spans="1:14" x14ac:dyDescent="0.25">
      <c r="A4057" s="8">
        <v>40571</v>
      </c>
      <c r="B4057">
        <v>410426.97</v>
      </c>
      <c r="C4057">
        <v>0</v>
      </c>
      <c r="D4057">
        <v>20.61</v>
      </c>
      <c r="E4057">
        <v>3.2429999999999999</v>
      </c>
      <c r="F4057">
        <v>133.10596770000001</v>
      </c>
      <c r="G4057">
        <v>10.256</v>
      </c>
      <c r="N4057" s="8"/>
    </row>
    <row r="4058" spans="1:14" x14ac:dyDescent="0.25">
      <c r="A4058" s="8">
        <v>40578</v>
      </c>
      <c r="B4058">
        <v>504126.89</v>
      </c>
      <c r="C4058">
        <v>0</v>
      </c>
      <c r="D4058">
        <v>26.39</v>
      </c>
      <c r="E4058">
        <v>3.24</v>
      </c>
      <c r="F4058">
        <v>133.18341939999999</v>
      </c>
      <c r="G4058">
        <v>10.256</v>
      </c>
      <c r="N4058" s="8"/>
    </row>
    <row r="4059" spans="1:14" x14ac:dyDescent="0.25">
      <c r="A4059" s="8">
        <v>40585</v>
      </c>
      <c r="B4059">
        <v>550387.78</v>
      </c>
      <c r="C4059">
        <v>1</v>
      </c>
      <c r="D4059">
        <v>28.89</v>
      </c>
      <c r="E4059">
        <v>3.2549999999999999</v>
      </c>
      <c r="F4059">
        <v>133.26087100000001</v>
      </c>
      <c r="G4059">
        <v>10.256</v>
      </c>
      <c r="N4059" s="8"/>
    </row>
    <row r="4060" spans="1:14" x14ac:dyDescent="0.25">
      <c r="A4060" s="8">
        <v>40592</v>
      </c>
      <c r="B4060">
        <v>542529.21</v>
      </c>
      <c r="C4060">
        <v>0</v>
      </c>
      <c r="D4060">
        <v>35.340000000000003</v>
      </c>
      <c r="E4060">
        <v>3.2629999999999999</v>
      </c>
      <c r="F4060">
        <v>133.37014289999999</v>
      </c>
      <c r="G4060">
        <v>10.256</v>
      </c>
      <c r="N4060" s="8"/>
    </row>
    <row r="4061" spans="1:14" x14ac:dyDescent="0.25">
      <c r="A4061" s="8">
        <v>40599</v>
      </c>
      <c r="B4061">
        <v>483660.15</v>
      </c>
      <c r="C4061">
        <v>0</v>
      </c>
      <c r="D4061">
        <v>30.23</v>
      </c>
      <c r="E4061">
        <v>3.2810000000000001</v>
      </c>
      <c r="F4061">
        <v>133.4921429</v>
      </c>
      <c r="G4061">
        <v>10.256</v>
      </c>
      <c r="N4061" s="8"/>
    </row>
    <row r="4062" spans="1:14" x14ac:dyDescent="0.25">
      <c r="A4062" s="8">
        <v>40606</v>
      </c>
      <c r="B4062">
        <v>536031.67000000004</v>
      </c>
      <c r="C4062">
        <v>0</v>
      </c>
      <c r="D4062">
        <v>33.520000000000003</v>
      </c>
      <c r="E4062">
        <v>3.4369999999999998</v>
      </c>
      <c r="F4062">
        <v>133.61414289999999</v>
      </c>
      <c r="G4062">
        <v>10.256</v>
      </c>
      <c r="N4062" s="8"/>
    </row>
    <row r="4063" spans="1:14" x14ac:dyDescent="0.25">
      <c r="A4063" s="8">
        <v>40613</v>
      </c>
      <c r="B4063">
        <v>493430.45</v>
      </c>
      <c r="C4063">
        <v>0</v>
      </c>
      <c r="D4063">
        <v>41.42</v>
      </c>
      <c r="E4063">
        <v>3.6</v>
      </c>
      <c r="F4063">
        <v>133.7361429</v>
      </c>
      <c r="G4063">
        <v>10.256</v>
      </c>
      <c r="N4063" s="8"/>
    </row>
    <row r="4064" spans="1:14" x14ac:dyDescent="0.25">
      <c r="A4064" s="8">
        <v>40620</v>
      </c>
      <c r="B4064">
        <v>493653.43</v>
      </c>
      <c r="C4064">
        <v>0</v>
      </c>
      <c r="D4064">
        <v>43.38</v>
      </c>
      <c r="E4064">
        <v>3.6339999999999999</v>
      </c>
      <c r="F4064">
        <v>133.8492258</v>
      </c>
      <c r="G4064">
        <v>10.256</v>
      </c>
      <c r="N4064" s="8"/>
    </row>
    <row r="4065" spans="1:14" x14ac:dyDescent="0.25">
      <c r="A4065" s="8">
        <v>40627</v>
      </c>
      <c r="B4065">
        <v>478773.05</v>
      </c>
      <c r="C4065">
        <v>0</v>
      </c>
      <c r="D4065">
        <v>38.770000000000003</v>
      </c>
      <c r="E4065">
        <v>3.6240000000000001</v>
      </c>
      <c r="F4065">
        <v>133.95874190000001</v>
      </c>
      <c r="G4065">
        <v>10.256</v>
      </c>
      <c r="N4065" s="8"/>
    </row>
    <row r="4066" spans="1:14" x14ac:dyDescent="0.25">
      <c r="A4066" s="8">
        <v>40634</v>
      </c>
      <c r="B4066">
        <v>475615.26</v>
      </c>
      <c r="C4066">
        <v>0</v>
      </c>
      <c r="D4066">
        <v>36.04</v>
      </c>
      <c r="E4066">
        <v>3.6379999999999999</v>
      </c>
      <c r="F4066">
        <v>134.06825810000001</v>
      </c>
      <c r="G4066">
        <v>9.9659999999999993</v>
      </c>
      <c r="N4066" s="8"/>
    </row>
    <row r="4067" spans="1:14" x14ac:dyDescent="0.25">
      <c r="A4067" s="8">
        <v>40641</v>
      </c>
      <c r="B4067">
        <v>505304.33</v>
      </c>
      <c r="C4067">
        <v>0</v>
      </c>
      <c r="D4067">
        <v>44.42</v>
      </c>
      <c r="E4067">
        <v>3.72</v>
      </c>
      <c r="F4067">
        <v>134.17777419999999</v>
      </c>
      <c r="G4067">
        <v>9.9659999999999993</v>
      </c>
      <c r="N4067" s="8"/>
    </row>
    <row r="4068" spans="1:14" x14ac:dyDescent="0.25">
      <c r="A4068" s="8">
        <v>40648</v>
      </c>
      <c r="B4068">
        <v>518245.97</v>
      </c>
      <c r="C4068">
        <v>0</v>
      </c>
      <c r="D4068">
        <v>48.88</v>
      </c>
      <c r="E4068">
        <v>3.823</v>
      </c>
      <c r="F4068">
        <v>134.2784667</v>
      </c>
      <c r="G4068">
        <v>9.9659999999999993</v>
      </c>
      <c r="N4068" s="8"/>
    </row>
    <row r="4069" spans="1:14" x14ac:dyDescent="0.25">
      <c r="A4069" s="8">
        <v>40655</v>
      </c>
      <c r="B4069">
        <v>589252.68999999994</v>
      </c>
      <c r="C4069">
        <v>0</v>
      </c>
      <c r="D4069">
        <v>47.76</v>
      </c>
      <c r="E4069">
        <v>3.919</v>
      </c>
      <c r="F4069">
        <v>134.3571</v>
      </c>
      <c r="G4069">
        <v>9.9659999999999993</v>
      </c>
      <c r="N4069" s="8"/>
    </row>
    <row r="4070" spans="1:14" x14ac:dyDescent="0.25">
      <c r="A4070" s="8">
        <v>40662</v>
      </c>
      <c r="B4070">
        <v>493078.64</v>
      </c>
      <c r="C4070">
        <v>0</v>
      </c>
      <c r="D4070">
        <v>57.2</v>
      </c>
      <c r="E4070">
        <v>3.988</v>
      </c>
      <c r="F4070">
        <v>134.43573330000001</v>
      </c>
      <c r="G4070">
        <v>9.9659999999999993</v>
      </c>
      <c r="N4070" s="8"/>
    </row>
    <row r="4071" spans="1:14" x14ac:dyDescent="0.25">
      <c r="A4071" s="8">
        <v>40669</v>
      </c>
      <c r="B4071">
        <v>534372.53</v>
      </c>
      <c r="C4071">
        <v>0</v>
      </c>
      <c r="D4071">
        <v>53.63</v>
      </c>
      <c r="E4071">
        <v>4.0780000000000003</v>
      </c>
      <c r="F4071">
        <v>134.51436670000001</v>
      </c>
      <c r="G4071">
        <v>9.9659999999999993</v>
      </c>
      <c r="N4071" s="8"/>
    </row>
    <row r="4072" spans="1:14" x14ac:dyDescent="0.25">
      <c r="A4072" s="8">
        <v>40676</v>
      </c>
      <c r="B4072">
        <v>549551.02</v>
      </c>
      <c r="C4072">
        <v>0</v>
      </c>
      <c r="D4072">
        <v>57.71</v>
      </c>
      <c r="E4072">
        <v>4.0949999999999998</v>
      </c>
      <c r="F4072">
        <v>134.59299999999999</v>
      </c>
      <c r="G4072">
        <v>9.9659999999999993</v>
      </c>
      <c r="N4072" s="8"/>
    </row>
    <row r="4073" spans="1:14" x14ac:dyDescent="0.25">
      <c r="A4073" s="8">
        <v>40683</v>
      </c>
      <c r="B4073">
        <v>492932.51</v>
      </c>
      <c r="C4073">
        <v>0</v>
      </c>
      <c r="D4073">
        <v>58.56</v>
      </c>
      <c r="E4073">
        <v>4.101</v>
      </c>
      <c r="F4073">
        <v>134.68038709999999</v>
      </c>
      <c r="G4073">
        <v>9.9659999999999993</v>
      </c>
      <c r="N4073" s="8"/>
    </row>
    <row r="4074" spans="1:14" x14ac:dyDescent="0.25">
      <c r="A4074" s="8">
        <v>40690</v>
      </c>
      <c r="B4074">
        <v>550735.64</v>
      </c>
      <c r="C4074">
        <v>0</v>
      </c>
      <c r="D4074">
        <v>62.59</v>
      </c>
      <c r="E4074">
        <v>4.0339999999999998</v>
      </c>
      <c r="F4074">
        <v>134.76777419999999</v>
      </c>
      <c r="G4074">
        <v>9.9659999999999993</v>
      </c>
      <c r="N4074" s="8"/>
    </row>
    <row r="4075" spans="1:14" x14ac:dyDescent="0.25">
      <c r="A4075" s="8">
        <v>40697</v>
      </c>
      <c r="B4075">
        <v>598251.56999999995</v>
      </c>
      <c r="C4075">
        <v>0</v>
      </c>
      <c r="D4075">
        <v>70.09</v>
      </c>
      <c r="E4075">
        <v>3.9729999999999999</v>
      </c>
      <c r="F4075">
        <v>134.85516129999999</v>
      </c>
      <c r="G4075">
        <v>9.9659999999999993</v>
      </c>
      <c r="N4075" s="8"/>
    </row>
    <row r="4076" spans="1:14" x14ac:dyDescent="0.25">
      <c r="A4076" s="8">
        <v>40704</v>
      </c>
      <c r="B4076">
        <v>558431.43999999994</v>
      </c>
      <c r="C4076">
        <v>0</v>
      </c>
      <c r="D4076">
        <v>69.53</v>
      </c>
      <c r="E4076">
        <v>3.9239999999999999</v>
      </c>
      <c r="F4076">
        <v>134.94254839999999</v>
      </c>
      <c r="G4076">
        <v>9.9659999999999993</v>
      </c>
      <c r="N4076" s="8"/>
    </row>
    <row r="4077" spans="1:14" x14ac:dyDescent="0.25">
      <c r="A4077" s="8">
        <v>40711</v>
      </c>
      <c r="B4077">
        <v>536914.17000000004</v>
      </c>
      <c r="C4077">
        <v>0</v>
      </c>
      <c r="D4077">
        <v>63.97</v>
      </c>
      <c r="E4077">
        <v>3.8730000000000002</v>
      </c>
      <c r="F4077">
        <v>135.08373330000001</v>
      </c>
      <c r="G4077">
        <v>9.9659999999999993</v>
      </c>
      <c r="N4077" s="8"/>
    </row>
    <row r="4078" spans="1:14" x14ac:dyDescent="0.25">
      <c r="A4078" s="8">
        <v>40718</v>
      </c>
      <c r="B4078">
        <v>545368.17000000004</v>
      </c>
      <c r="C4078">
        <v>0</v>
      </c>
      <c r="D4078">
        <v>68.53</v>
      </c>
      <c r="E4078">
        <v>3.851</v>
      </c>
      <c r="F4078">
        <v>135.26526670000001</v>
      </c>
      <c r="G4078">
        <v>9.9659999999999993</v>
      </c>
      <c r="N4078" s="8"/>
    </row>
    <row r="4079" spans="1:14" x14ac:dyDescent="0.25">
      <c r="A4079" s="8">
        <v>40725</v>
      </c>
      <c r="B4079">
        <v>567114.6</v>
      </c>
      <c r="C4079">
        <v>0</v>
      </c>
      <c r="D4079">
        <v>70.8</v>
      </c>
      <c r="E4079">
        <v>3.8149999999999999</v>
      </c>
      <c r="F4079">
        <v>135.4468</v>
      </c>
      <c r="G4079">
        <v>9.8629999999999995</v>
      </c>
      <c r="N4079" s="8"/>
    </row>
    <row r="4080" spans="1:14" x14ac:dyDescent="0.25">
      <c r="A4080" s="8">
        <v>40732</v>
      </c>
      <c r="B4080">
        <v>547586.06999999995</v>
      </c>
      <c r="C4080">
        <v>0</v>
      </c>
      <c r="D4080">
        <v>74.22</v>
      </c>
      <c r="E4080">
        <v>3.7839999999999998</v>
      </c>
      <c r="F4080">
        <v>135.62833330000001</v>
      </c>
      <c r="G4080">
        <v>9.8629999999999995</v>
      </c>
      <c r="N4080" s="8"/>
    </row>
    <row r="4081" spans="1:14" x14ac:dyDescent="0.25">
      <c r="A4081" s="8">
        <v>40739</v>
      </c>
      <c r="B4081">
        <v>505246.15</v>
      </c>
      <c r="C4081">
        <v>0</v>
      </c>
      <c r="D4081">
        <v>75.2</v>
      </c>
      <c r="E4081">
        <v>3.827</v>
      </c>
      <c r="F4081">
        <v>135.7837419</v>
      </c>
      <c r="G4081">
        <v>9.8629999999999995</v>
      </c>
      <c r="N4081" s="8"/>
    </row>
    <row r="4082" spans="1:14" x14ac:dyDescent="0.25">
      <c r="A4082" s="8">
        <v>40746</v>
      </c>
      <c r="B4082">
        <v>507335.75</v>
      </c>
      <c r="C4082">
        <v>0</v>
      </c>
      <c r="D4082">
        <v>77.790000000000006</v>
      </c>
      <c r="E4082">
        <v>3.8820000000000001</v>
      </c>
      <c r="F4082">
        <v>135.87383869999999</v>
      </c>
      <c r="G4082">
        <v>9.8629999999999995</v>
      </c>
      <c r="N4082" s="8"/>
    </row>
    <row r="4083" spans="1:14" x14ac:dyDescent="0.25">
      <c r="A4083" s="8">
        <v>40753</v>
      </c>
      <c r="B4083">
        <v>474653.06</v>
      </c>
      <c r="C4083">
        <v>0</v>
      </c>
      <c r="D4083">
        <v>75.319999999999993</v>
      </c>
      <c r="E4083">
        <v>3.8980000000000001</v>
      </c>
      <c r="F4083">
        <v>135.96393549999999</v>
      </c>
      <c r="G4083">
        <v>9.8629999999999995</v>
      </c>
      <c r="N4083" s="8"/>
    </row>
    <row r="4084" spans="1:14" x14ac:dyDescent="0.25">
      <c r="A4084" s="8">
        <v>40760</v>
      </c>
      <c r="B4084">
        <v>503486.37</v>
      </c>
      <c r="C4084">
        <v>0</v>
      </c>
      <c r="D4084">
        <v>75.33</v>
      </c>
      <c r="E4084">
        <v>3.903</v>
      </c>
      <c r="F4084">
        <v>136.05403229999999</v>
      </c>
      <c r="G4084">
        <v>9.8629999999999995</v>
      </c>
      <c r="N4084" s="8"/>
    </row>
    <row r="4085" spans="1:14" x14ac:dyDescent="0.25">
      <c r="A4085" s="8">
        <v>40767</v>
      </c>
      <c r="B4085">
        <v>471311.5</v>
      </c>
      <c r="C4085">
        <v>0</v>
      </c>
      <c r="D4085">
        <v>74.69</v>
      </c>
      <c r="E4085">
        <v>3.88</v>
      </c>
      <c r="F4085">
        <v>136.14412899999999</v>
      </c>
      <c r="G4085">
        <v>9.8629999999999995</v>
      </c>
      <c r="N4085" s="8"/>
    </row>
    <row r="4086" spans="1:14" x14ac:dyDescent="0.25">
      <c r="A4086" s="8">
        <v>40774</v>
      </c>
      <c r="B4086">
        <v>498056</v>
      </c>
      <c r="C4086">
        <v>0</v>
      </c>
      <c r="D4086">
        <v>71.3</v>
      </c>
      <c r="E4086">
        <v>3.82</v>
      </c>
      <c r="F4086">
        <v>136.18312900000001</v>
      </c>
      <c r="G4086">
        <v>9.8629999999999995</v>
      </c>
      <c r="N4086" s="8"/>
    </row>
    <row r="4087" spans="1:14" x14ac:dyDescent="0.25">
      <c r="A4087" s="8">
        <v>40781</v>
      </c>
      <c r="B4087">
        <v>608294.98</v>
      </c>
      <c r="C4087">
        <v>0</v>
      </c>
      <c r="D4087">
        <v>72.22</v>
      </c>
      <c r="E4087">
        <v>3.7959999999999998</v>
      </c>
      <c r="F4087">
        <v>136.21361289999999</v>
      </c>
      <c r="G4087">
        <v>9.8629999999999995</v>
      </c>
      <c r="N4087" s="8"/>
    </row>
    <row r="4088" spans="1:14" x14ac:dyDescent="0.25">
      <c r="A4088" s="8">
        <v>40788</v>
      </c>
      <c r="B4088">
        <v>497085.91</v>
      </c>
      <c r="C4088">
        <v>0</v>
      </c>
      <c r="D4088">
        <v>69.16</v>
      </c>
      <c r="E4088">
        <v>3.7839999999999998</v>
      </c>
      <c r="F4088">
        <v>136.24409679999999</v>
      </c>
      <c r="G4088">
        <v>9.8629999999999995</v>
      </c>
      <c r="N4088" s="8"/>
    </row>
    <row r="4089" spans="1:14" x14ac:dyDescent="0.25">
      <c r="A4089" s="8">
        <v>40795</v>
      </c>
      <c r="B4089">
        <v>505406.71999999997</v>
      </c>
      <c r="C4089">
        <v>1</v>
      </c>
      <c r="D4089">
        <v>69.14</v>
      </c>
      <c r="E4089">
        <v>3.8090000000000002</v>
      </c>
      <c r="F4089">
        <v>136.27458060000001</v>
      </c>
      <c r="G4089">
        <v>9.8629999999999995</v>
      </c>
      <c r="N4089" s="8"/>
    </row>
    <row r="4090" spans="1:14" x14ac:dyDescent="0.25">
      <c r="A4090" s="8">
        <v>40802</v>
      </c>
      <c r="B4090">
        <v>474129.35</v>
      </c>
      <c r="C4090">
        <v>0</v>
      </c>
      <c r="D4090">
        <v>68.08</v>
      </c>
      <c r="E4090">
        <v>3.8090000000000002</v>
      </c>
      <c r="F4090">
        <v>136.31450000000001</v>
      </c>
      <c r="G4090">
        <v>9.8629999999999995</v>
      </c>
      <c r="N4090" s="8"/>
    </row>
    <row r="4091" spans="1:14" x14ac:dyDescent="0.25">
      <c r="A4091" s="8">
        <v>40809</v>
      </c>
      <c r="B4091">
        <v>475696.37</v>
      </c>
      <c r="C4091">
        <v>0</v>
      </c>
      <c r="D4091">
        <v>62.36</v>
      </c>
      <c r="E4091">
        <v>3.758</v>
      </c>
      <c r="F4091">
        <v>136.36699999999999</v>
      </c>
      <c r="G4091">
        <v>9.8629999999999995</v>
      </c>
      <c r="N4091" s="8"/>
    </row>
    <row r="4092" spans="1:14" x14ac:dyDescent="0.25">
      <c r="A4092" s="8">
        <v>40816</v>
      </c>
      <c r="B4092">
        <v>446516.26</v>
      </c>
      <c r="C4092">
        <v>0</v>
      </c>
      <c r="D4092">
        <v>69.78</v>
      </c>
      <c r="E4092">
        <v>3.6840000000000002</v>
      </c>
      <c r="F4092">
        <v>136.4195</v>
      </c>
      <c r="G4092">
        <v>9.8629999999999995</v>
      </c>
      <c r="N4092" s="8"/>
    </row>
    <row r="4093" spans="1:14" x14ac:dyDescent="0.25">
      <c r="A4093" s="8">
        <v>40823</v>
      </c>
      <c r="B4093">
        <v>514993</v>
      </c>
      <c r="C4093">
        <v>0</v>
      </c>
      <c r="D4093">
        <v>56.44</v>
      </c>
      <c r="E4093">
        <v>3.633</v>
      </c>
      <c r="F4093">
        <v>136.47200000000001</v>
      </c>
      <c r="G4093">
        <v>9.3569999999999993</v>
      </c>
      <c r="N4093" s="8"/>
    </row>
    <row r="4094" spans="1:14" x14ac:dyDescent="0.25">
      <c r="A4094" s="8">
        <v>40830</v>
      </c>
      <c r="B4094">
        <v>475776.45</v>
      </c>
      <c r="C4094">
        <v>0</v>
      </c>
      <c r="D4094">
        <v>62.63</v>
      </c>
      <c r="E4094">
        <v>3.5830000000000002</v>
      </c>
      <c r="F4094">
        <v>136.51509680000001</v>
      </c>
      <c r="G4094">
        <v>9.3569999999999993</v>
      </c>
      <c r="N4094" s="8"/>
    </row>
    <row r="4095" spans="1:14" x14ac:dyDescent="0.25">
      <c r="A4095" s="8">
        <v>40837</v>
      </c>
      <c r="B4095">
        <v>505068.22</v>
      </c>
      <c r="C4095">
        <v>0</v>
      </c>
      <c r="D4095">
        <v>59.3</v>
      </c>
      <c r="E4095">
        <v>3.6179999999999999</v>
      </c>
      <c r="F4095">
        <v>136.5017742</v>
      </c>
      <c r="G4095">
        <v>9.3569999999999993</v>
      </c>
      <c r="N4095" s="8"/>
    </row>
    <row r="4096" spans="1:14" x14ac:dyDescent="0.25">
      <c r="A4096" s="8">
        <v>40844</v>
      </c>
      <c r="B4096">
        <v>515119.64</v>
      </c>
      <c r="C4096">
        <v>0</v>
      </c>
      <c r="D4096">
        <v>49.31</v>
      </c>
      <c r="E4096">
        <v>3.6040000000000001</v>
      </c>
      <c r="F4096">
        <v>136.48845159999999</v>
      </c>
      <c r="G4096">
        <v>9.3569999999999993</v>
      </c>
      <c r="N4096" s="8"/>
    </row>
    <row r="4097" spans="1:14" x14ac:dyDescent="0.25">
      <c r="A4097" s="8">
        <v>40851</v>
      </c>
      <c r="B4097">
        <v>620735.72</v>
      </c>
      <c r="C4097">
        <v>0</v>
      </c>
      <c r="D4097">
        <v>42.81</v>
      </c>
      <c r="E4097">
        <v>3.5859999999999999</v>
      </c>
      <c r="F4097">
        <v>136.47512900000001</v>
      </c>
      <c r="G4097">
        <v>9.3569999999999993</v>
      </c>
      <c r="N4097" s="8"/>
    </row>
    <row r="4098" spans="1:14" x14ac:dyDescent="0.25">
      <c r="A4098" s="8">
        <v>40858</v>
      </c>
      <c r="B4098">
        <v>531600.62</v>
      </c>
      <c r="C4098">
        <v>0</v>
      </c>
      <c r="D4098">
        <v>47.8</v>
      </c>
      <c r="E4098">
        <v>3.57</v>
      </c>
      <c r="F4098">
        <v>136.46180649999999</v>
      </c>
      <c r="G4098">
        <v>9.3569999999999993</v>
      </c>
      <c r="N4098" s="8"/>
    </row>
    <row r="4099" spans="1:14" x14ac:dyDescent="0.25">
      <c r="A4099" s="8">
        <v>40865</v>
      </c>
      <c r="B4099">
        <v>504601.29</v>
      </c>
      <c r="C4099">
        <v>0</v>
      </c>
      <c r="D4099">
        <v>50.62</v>
      </c>
      <c r="E4099">
        <v>3.5710000000000002</v>
      </c>
      <c r="F4099">
        <v>136.46666669999999</v>
      </c>
      <c r="G4099">
        <v>9.3569999999999993</v>
      </c>
      <c r="N4099" s="8"/>
    </row>
    <row r="4100" spans="1:14" x14ac:dyDescent="0.25">
      <c r="A4100" s="8">
        <v>40872</v>
      </c>
      <c r="B4100">
        <v>913165.19</v>
      </c>
      <c r="C4100">
        <v>1</v>
      </c>
      <c r="D4100">
        <v>46.28</v>
      </c>
      <c r="E4100">
        <v>3.536</v>
      </c>
      <c r="F4100">
        <v>136.47880000000001</v>
      </c>
      <c r="G4100">
        <v>9.3569999999999993</v>
      </c>
      <c r="N4100" s="8"/>
    </row>
    <row r="4101" spans="1:14" x14ac:dyDescent="0.25">
      <c r="A4101" s="8">
        <v>40879</v>
      </c>
      <c r="B4101">
        <v>579874.22</v>
      </c>
      <c r="C4101">
        <v>0</v>
      </c>
      <c r="D4101">
        <v>49.11</v>
      </c>
      <c r="E4101">
        <v>3.5009999999999999</v>
      </c>
      <c r="F4101">
        <v>136.49093329999999</v>
      </c>
      <c r="G4101">
        <v>9.3569999999999993</v>
      </c>
      <c r="N4101" s="8"/>
    </row>
    <row r="4102" spans="1:14" x14ac:dyDescent="0.25">
      <c r="A4102" s="8">
        <v>40886</v>
      </c>
      <c r="B4102">
        <v>633240.53</v>
      </c>
      <c r="C4102">
        <v>0</v>
      </c>
      <c r="D4102">
        <v>45.35</v>
      </c>
      <c r="E4102">
        <v>3.47</v>
      </c>
      <c r="F4102">
        <v>136.50306670000001</v>
      </c>
      <c r="G4102">
        <v>9.3569999999999993</v>
      </c>
      <c r="N4102" s="8"/>
    </row>
    <row r="4103" spans="1:14" x14ac:dyDescent="0.25">
      <c r="A4103" s="8">
        <v>40893</v>
      </c>
      <c r="B4103">
        <v>736805.66</v>
      </c>
      <c r="C4103">
        <v>0</v>
      </c>
      <c r="D4103">
        <v>39.11</v>
      </c>
      <c r="E4103">
        <v>3.4449999999999998</v>
      </c>
      <c r="F4103">
        <v>136.53351610000001</v>
      </c>
      <c r="G4103">
        <v>9.3569999999999993</v>
      </c>
      <c r="N4103" s="8"/>
    </row>
    <row r="4104" spans="1:14" x14ac:dyDescent="0.25">
      <c r="A4104" s="8">
        <v>40900</v>
      </c>
      <c r="B4104">
        <v>1016637.39</v>
      </c>
      <c r="C4104">
        <v>0</v>
      </c>
      <c r="D4104">
        <v>39.83</v>
      </c>
      <c r="E4104">
        <v>3.4129999999999998</v>
      </c>
      <c r="F4104">
        <v>136.58838710000001</v>
      </c>
      <c r="G4104">
        <v>9.3569999999999993</v>
      </c>
      <c r="N4104" s="8"/>
    </row>
    <row r="4105" spans="1:14" x14ac:dyDescent="0.25">
      <c r="A4105" s="8">
        <v>40907</v>
      </c>
      <c r="B4105">
        <v>551743.05000000005</v>
      </c>
      <c r="C4105">
        <v>1</v>
      </c>
      <c r="D4105">
        <v>36.28</v>
      </c>
      <c r="E4105">
        <v>3.4020000000000001</v>
      </c>
      <c r="F4105">
        <v>136.6432581</v>
      </c>
      <c r="G4105">
        <v>9.3569999999999993</v>
      </c>
      <c r="N4105" s="8"/>
    </row>
    <row r="4106" spans="1:14" x14ac:dyDescent="0.25">
      <c r="A4106" s="8">
        <v>40914</v>
      </c>
      <c r="B4106">
        <v>469773.85</v>
      </c>
      <c r="C4106">
        <v>0</v>
      </c>
      <c r="D4106">
        <v>34.61</v>
      </c>
      <c r="E4106">
        <v>3.4390000000000001</v>
      </c>
      <c r="F4106">
        <v>136.69812899999999</v>
      </c>
      <c r="G4106">
        <v>8.9879999999999995</v>
      </c>
      <c r="N4106" s="8"/>
    </row>
    <row r="4107" spans="1:14" x14ac:dyDescent="0.25">
      <c r="A4107" s="8">
        <v>40921</v>
      </c>
      <c r="B4107">
        <v>444756.37</v>
      </c>
      <c r="C4107">
        <v>0</v>
      </c>
      <c r="D4107">
        <v>39</v>
      </c>
      <c r="E4107">
        <v>3.5230000000000001</v>
      </c>
      <c r="F4107">
        <v>136.75299999999999</v>
      </c>
      <c r="G4107">
        <v>8.9879999999999995</v>
      </c>
      <c r="N4107" s="8"/>
    </row>
    <row r="4108" spans="1:14" x14ac:dyDescent="0.25">
      <c r="A4108" s="8">
        <v>40928</v>
      </c>
      <c r="B4108">
        <v>446863.31</v>
      </c>
      <c r="C4108">
        <v>0</v>
      </c>
      <c r="D4108">
        <v>29.16</v>
      </c>
      <c r="E4108">
        <v>3.5419999999999998</v>
      </c>
      <c r="F4108">
        <v>136.85641939999999</v>
      </c>
      <c r="G4108">
        <v>8.9879999999999995</v>
      </c>
      <c r="N4108" s="8"/>
    </row>
    <row r="4109" spans="1:14" x14ac:dyDescent="0.25">
      <c r="A4109" s="8">
        <v>40935</v>
      </c>
      <c r="B4109">
        <v>395987.24</v>
      </c>
      <c r="C4109">
        <v>0</v>
      </c>
      <c r="D4109">
        <v>35.68</v>
      </c>
      <c r="E4109">
        <v>3.5680000000000001</v>
      </c>
      <c r="F4109">
        <v>136.95983870000001</v>
      </c>
      <c r="G4109">
        <v>8.9879999999999995</v>
      </c>
      <c r="N4109" s="8"/>
    </row>
    <row r="4110" spans="1:14" x14ac:dyDescent="0.25">
      <c r="A4110" s="8">
        <v>40942</v>
      </c>
      <c r="B4110">
        <v>493159.35</v>
      </c>
      <c r="C4110">
        <v>0</v>
      </c>
      <c r="D4110">
        <v>40.58</v>
      </c>
      <c r="E4110">
        <v>3.633</v>
      </c>
      <c r="F4110">
        <v>137.06325810000001</v>
      </c>
      <c r="G4110">
        <v>8.9879999999999995</v>
      </c>
      <c r="N4110" s="8"/>
    </row>
    <row r="4111" spans="1:14" x14ac:dyDescent="0.25">
      <c r="A4111" s="8">
        <v>40949</v>
      </c>
      <c r="B4111">
        <v>545840.05000000005</v>
      </c>
      <c r="C4111">
        <v>1</v>
      </c>
      <c r="D4111">
        <v>35.68</v>
      </c>
      <c r="E4111">
        <v>3.6549999999999998</v>
      </c>
      <c r="F4111">
        <v>137.1666774</v>
      </c>
      <c r="G4111">
        <v>8.9879999999999995</v>
      </c>
      <c r="N4111" s="8"/>
    </row>
    <row r="4112" spans="1:14" x14ac:dyDescent="0.25">
      <c r="A4112" s="8">
        <v>40956</v>
      </c>
      <c r="B4112">
        <v>559606.91</v>
      </c>
      <c r="C4112">
        <v>0</v>
      </c>
      <c r="D4112">
        <v>36.25</v>
      </c>
      <c r="E4112">
        <v>3.7029999999999998</v>
      </c>
      <c r="F4112">
        <v>137.25831030000001</v>
      </c>
      <c r="G4112">
        <v>8.9879999999999995</v>
      </c>
      <c r="N4112" s="8"/>
    </row>
    <row r="4113" spans="1:14" x14ac:dyDescent="0.25">
      <c r="A4113" s="8">
        <v>40963</v>
      </c>
      <c r="B4113">
        <v>488782.63</v>
      </c>
      <c r="C4113">
        <v>0</v>
      </c>
      <c r="D4113">
        <v>39</v>
      </c>
      <c r="E4113">
        <v>3.7509999999999999</v>
      </c>
      <c r="F4113">
        <v>137.34110340000001</v>
      </c>
      <c r="G4113">
        <v>8.9879999999999995</v>
      </c>
      <c r="N4113" s="8"/>
    </row>
    <row r="4114" spans="1:14" x14ac:dyDescent="0.25">
      <c r="A4114" s="8">
        <v>40970</v>
      </c>
      <c r="B4114">
        <v>500801.72</v>
      </c>
      <c r="C4114">
        <v>0</v>
      </c>
      <c r="D4114">
        <v>37.47</v>
      </c>
      <c r="E4114">
        <v>3.827</v>
      </c>
      <c r="F4114">
        <v>137.42389660000001</v>
      </c>
      <c r="G4114">
        <v>8.9879999999999995</v>
      </c>
      <c r="N4114" s="8"/>
    </row>
    <row r="4115" spans="1:14" x14ac:dyDescent="0.25">
      <c r="A4115" s="8">
        <v>40977</v>
      </c>
      <c r="B4115">
        <v>504750.35</v>
      </c>
      <c r="C4115">
        <v>0</v>
      </c>
      <c r="D4115">
        <v>41.72</v>
      </c>
      <c r="E4115">
        <v>3.8759999999999999</v>
      </c>
      <c r="F4115">
        <v>137.50668970000001</v>
      </c>
      <c r="G4115">
        <v>8.9879999999999995</v>
      </c>
      <c r="N4115" s="8"/>
    </row>
    <row r="4116" spans="1:14" x14ac:dyDescent="0.25">
      <c r="A4116" s="8">
        <v>40984</v>
      </c>
      <c r="B4116">
        <v>489293.72</v>
      </c>
      <c r="C4116">
        <v>0</v>
      </c>
      <c r="D4116">
        <v>46.06</v>
      </c>
      <c r="E4116">
        <v>3.867</v>
      </c>
      <c r="F4116">
        <v>137.58438709999999</v>
      </c>
      <c r="G4116">
        <v>8.9879999999999995</v>
      </c>
      <c r="N4116" s="8"/>
    </row>
    <row r="4117" spans="1:14" x14ac:dyDescent="0.25">
      <c r="A4117" s="8">
        <v>40991</v>
      </c>
      <c r="B4117">
        <v>517408.48</v>
      </c>
      <c r="C4117">
        <v>0</v>
      </c>
      <c r="D4117">
        <v>54.68</v>
      </c>
      <c r="E4117">
        <v>3.8889999999999998</v>
      </c>
      <c r="F4117">
        <v>137.65529029999999</v>
      </c>
      <c r="G4117">
        <v>8.9879999999999995</v>
      </c>
      <c r="N4117" s="8"/>
    </row>
    <row r="4118" spans="1:14" x14ac:dyDescent="0.25">
      <c r="A4118" s="8">
        <v>40998</v>
      </c>
      <c r="B4118">
        <v>504566.28</v>
      </c>
      <c r="C4118">
        <v>0</v>
      </c>
      <c r="D4118">
        <v>46.4</v>
      </c>
      <c r="E4118">
        <v>3.9209999999999998</v>
      </c>
      <c r="F4118">
        <v>137.72619349999999</v>
      </c>
      <c r="G4118">
        <v>8.9879999999999995</v>
      </c>
      <c r="N4118" s="8"/>
    </row>
    <row r="4119" spans="1:14" x14ac:dyDescent="0.25">
      <c r="A4119" s="8">
        <v>41005</v>
      </c>
      <c r="B4119">
        <v>633826.55000000005</v>
      </c>
      <c r="C4119">
        <v>0</v>
      </c>
      <c r="D4119">
        <v>46.38</v>
      </c>
      <c r="E4119">
        <v>3.9569999999999999</v>
      </c>
      <c r="F4119">
        <v>137.79709679999999</v>
      </c>
      <c r="G4119">
        <v>9.14</v>
      </c>
      <c r="N4119" s="8"/>
    </row>
    <row r="4120" spans="1:14" x14ac:dyDescent="0.25">
      <c r="A4120" s="8">
        <v>41012</v>
      </c>
      <c r="B4120">
        <v>520493.83</v>
      </c>
      <c r="C4120">
        <v>0</v>
      </c>
      <c r="D4120">
        <v>49.89</v>
      </c>
      <c r="E4120">
        <v>4.0250000000000004</v>
      </c>
      <c r="F4120">
        <v>137.86799999999999</v>
      </c>
      <c r="G4120">
        <v>9.14</v>
      </c>
      <c r="N4120" s="8"/>
    </row>
    <row r="4121" spans="1:14" x14ac:dyDescent="0.25">
      <c r="A4121" s="8">
        <v>41019</v>
      </c>
      <c r="B4121">
        <v>525200.59</v>
      </c>
      <c r="C4121">
        <v>0</v>
      </c>
      <c r="D4121">
        <v>58.81</v>
      </c>
      <c r="E4121">
        <v>4.0460000000000003</v>
      </c>
      <c r="F4121">
        <v>137.92306669999999</v>
      </c>
      <c r="G4121">
        <v>9.14</v>
      </c>
      <c r="N4121" s="8"/>
    </row>
    <row r="4122" spans="1:14" x14ac:dyDescent="0.25">
      <c r="A4122" s="8">
        <v>41026</v>
      </c>
      <c r="B4122">
        <v>497250.22</v>
      </c>
      <c r="C4122">
        <v>0</v>
      </c>
      <c r="D4122">
        <v>51.42</v>
      </c>
      <c r="E4122">
        <v>4.0229999999999997</v>
      </c>
      <c r="F4122">
        <v>137.9781333</v>
      </c>
      <c r="G4122">
        <v>9.14</v>
      </c>
      <c r="N4122" s="8"/>
    </row>
    <row r="4123" spans="1:14" x14ac:dyDescent="0.25">
      <c r="A4123" s="8">
        <v>41033</v>
      </c>
      <c r="B4123">
        <v>504963.84000000003</v>
      </c>
      <c r="C4123">
        <v>0</v>
      </c>
      <c r="D4123">
        <v>50.75</v>
      </c>
      <c r="E4123">
        <v>3.9910000000000001</v>
      </c>
      <c r="F4123">
        <v>138.03319999999999</v>
      </c>
      <c r="G4123">
        <v>9.14</v>
      </c>
      <c r="N4123" s="8"/>
    </row>
    <row r="4124" spans="1:14" x14ac:dyDescent="0.25">
      <c r="A4124" s="8">
        <v>41040</v>
      </c>
      <c r="B4124">
        <v>529707.87</v>
      </c>
      <c r="C4124">
        <v>0</v>
      </c>
      <c r="D4124">
        <v>56.72</v>
      </c>
      <c r="E4124">
        <v>3.9470000000000001</v>
      </c>
      <c r="F4124">
        <v>138.08826669999999</v>
      </c>
      <c r="G4124">
        <v>9.14</v>
      </c>
      <c r="N4124" s="8"/>
    </row>
    <row r="4125" spans="1:14" x14ac:dyDescent="0.25">
      <c r="A4125" s="8">
        <v>41047</v>
      </c>
      <c r="B4125">
        <v>543706.04</v>
      </c>
      <c r="C4125">
        <v>0</v>
      </c>
      <c r="D4125">
        <v>61.9</v>
      </c>
      <c r="E4125">
        <v>3.899</v>
      </c>
      <c r="F4125">
        <v>138.1065806</v>
      </c>
      <c r="G4125">
        <v>9.14</v>
      </c>
      <c r="N4125" s="8"/>
    </row>
    <row r="4126" spans="1:14" x14ac:dyDescent="0.25">
      <c r="A4126" s="8">
        <v>41054</v>
      </c>
      <c r="B4126">
        <v>549665.67000000004</v>
      </c>
      <c r="C4126">
        <v>0</v>
      </c>
      <c r="D4126">
        <v>62.39</v>
      </c>
      <c r="E4126">
        <v>3.85</v>
      </c>
      <c r="F4126">
        <v>138.11019350000001</v>
      </c>
      <c r="G4126">
        <v>9.14</v>
      </c>
      <c r="N4126" s="8"/>
    </row>
    <row r="4127" spans="1:14" x14ac:dyDescent="0.25">
      <c r="A4127" s="8">
        <v>41061</v>
      </c>
      <c r="B4127">
        <v>576252.35</v>
      </c>
      <c r="C4127">
        <v>0</v>
      </c>
      <c r="D4127">
        <v>70.010000000000005</v>
      </c>
      <c r="E4127">
        <v>3.798</v>
      </c>
      <c r="F4127">
        <v>138.11380650000001</v>
      </c>
      <c r="G4127">
        <v>9.14</v>
      </c>
      <c r="N4127" s="8"/>
    </row>
    <row r="4128" spans="1:14" x14ac:dyDescent="0.25">
      <c r="A4128" s="8">
        <v>41068</v>
      </c>
      <c r="B4128">
        <v>554093.15</v>
      </c>
      <c r="C4128">
        <v>0</v>
      </c>
      <c r="D4128">
        <v>61.71</v>
      </c>
      <c r="E4128">
        <v>3.746</v>
      </c>
      <c r="F4128">
        <v>138.11741939999999</v>
      </c>
      <c r="G4128">
        <v>9.14</v>
      </c>
      <c r="N4128" s="8"/>
    </row>
    <row r="4129" spans="1:14" x14ac:dyDescent="0.25">
      <c r="A4129" s="8">
        <v>41075</v>
      </c>
      <c r="B4129">
        <v>552338.76</v>
      </c>
      <c r="C4129">
        <v>0</v>
      </c>
      <c r="D4129">
        <v>66.56</v>
      </c>
      <c r="E4129">
        <v>3.6829999999999998</v>
      </c>
      <c r="F4129">
        <v>138.12953329999999</v>
      </c>
      <c r="G4129">
        <v>9.14</v>
      </c>
      <c r="N4129" s="8"/>
    </row>
    <row r="4130" spans="1:14" x14ac:dyDescent="0.25">
      <c r="A4130" s="8">
        <v>41082</v>
      </c>
      <c r="B4130">
        <v>581854.5</v>
      </c>
      <c r="C4130">
        <v>0</v>
      </c>
      <c r="D4130">
        <v>70.61</v>
      </c>
      <c r="E4130">
        <v>3.629</v>
      </c>
      <c r="F4130">
        <v>138.16290000000001</v>
      </c>
      <c r="G4130">
        <v>9.14</v>
      </c>
      <c r="N4130" s="8"/>
    </row>
    <row r="4131" spans="1:14" x14ac:dyDescent="0.25">
      <c r="A4131" s="8">
        <v>41089</v>
      </c>
      <c r="B4131">
        <v>555954.13</v>
      </c>
      <c r="C4131">
        <v>0</v>
      </c>
      <c r="D4131">
        <v>70.989999999999995</v>
      </c>
      <c r="E4131">
        <v>3.577</v>
      </c>
      <c r="F4131">
        <v>138.1962667</v>
      </c>
      <c r="G4131">
        <v>9.14</v>
      </c>
      <c r="N4131" s="8"/>
    </row>
    <row r="4132" spans="1:14" x14ac:dyDescent="0.25">
      <c r="A4132" s="8">
        <v>41096</v>
      </c>
      <c r="B4132">
        <v>578832.41</v>
      </c>
      <c r="C4132">
        <v>0</v>
      </c>
      <c r="D4132">
        <v>77.41</v>
      </c>
      <c r="E4132">
        <v>3.5379999999999998</v>
      </c>
      <c r="F4132">
        <v>138.22963329999999</v>
      </c>
      <c r="G4132">
        <v>9.4190000000000005</v>
      </c>
      <c r="N4132" s="8"/>
    </row>
    <row r="4133" spans="1:14" x14ac:dyDescent="0.25">
      <c r="A4133" s="8">
        <v>41103</v>
      </c>
      <c r="B4133">
        <v>514709.76000000001</v>
      </c>
      <c r="C4133">
        <v>0</v>
      </c>
      <c r="D4133">
        <v>75.81</v>
      </c>
      <c r="E4133">
        <v>3.5609999999999999</v>
      </c>
      <c r="F4133">
        <v>138.26300000000001</v>
      </c>
      <c r="G4133">
        <v>9.4190000000000005</v>
      </c>
      <c r="N4133" s="8"/>
    </row>
    <row r="4134" spans="1:14" x14ac:dyDescent="0.25">
      <c r="A4134" s="8">
        <v>41110</v>
      </c>
      <c r="B4134">
        <v>506705.36</v>
      </c>
      <c r="C4134">
        <v>0</v>
      </c>
      <c r="D4134">
        <v>76.569999999999993</v>
      </c>
      <c r="E4134">
        <v>3.61</v>
      </c>
      <c r="F4134">
        <v>138.2331935</v>
      </c>
      <c r="G4134">
        <v>9.4190000000000005</v>
      </c>
      <c r="N4134" s="8"/>
    </row>
    <row r="4135" spans="1:14" x14ac:dyDescent="0.25">
      <c r="A4135" s="8">
        <v>41117</v>
      </c>
      <c r="B4135">
        <v>475158.24</v>
      </c>
      <c r="C4135">
        <v>0</v>
      </c>
      <c r="D4135">
        <v>73.52</v>
      </c>
      <c r="E4135">
        <v>3.7010000000000001</v>
      </c>
      <c r="F4135">
        <v>138.20338709999999</v>
      </c>
      <c r="G4135">
        <v>9.4190000000000005</v>
      </c>
      <c r="N4135" s="8"/>
    </row>
    <row r="4136" spans="1:14" x14ac:dyDescent="0.25">
      <c r="A4136" s="8">
        <v>41124</v>
      </c>
      <c r="B4136">
        <v>504754.74</v>
      </c>
      <c r="C4136">
        <v>0</v>
      </c>
      <c r="D4136">
        <v>72.989999999999995</v>
      </c>
      <c r="E4136">
        <v>3.698</v>
      </c>
      <c r="F4136">
        <v>138.17358060000001</v>
      </c>
      <c r="G4136">
        <v>9.4190000000000005</v>
      </c>
      <c r="N4136" s="8"/>
    </row>
    <row r="4137" spans="1:14" x14ac:dyDescent="0.25">
      <c r="A4137" s="8">
        <v>41131</v>
      </c>
      <c r="B4137">
        <v>518628.42</v>
      </c>
      <c r="C4137">
        <v>0</v>
      </c>
      <c r="D4137">
        <v>76.739999999999995</v>
      </c>
      <c r="E4137">
        <v>3.7719999999999998</v>
      </c>
      <c r="F4137">
        <v>138.1437742</v>
      </c>
      <c r="G4137">
        <v>9.4190000000000005</v>
      </c>
      <c r="N4137" s="8"/>
    </row>
    <row r="4138" spans="1:14" x14ac:dyDescent="0.25">
      <c r="A4138" s="8">
        <v>41138</v>
      </c>
      <c r="B4138">
        <v>416881.66</v>
      </c>
      <c r="C4138">
        <v>0</v>
      </c>
      <c r="D4138">
        <v>74.92</v>
      </c>
      <c r="E4138">
        <v>3.84</v>
      </c>
      <c r="F4138">
        <v>138.18570969999999</v>
      </c>
      <c r="G4138">
        <v>9.4190000000000005</v>
      </c>
      <c r="N4138" s="8"/>
    </row>
    <row r="4139" spans="1:14" x14ac:dyDescent="0.25">
      <c r="A4139" s="8">
        <v>41145</v>
      </c>
      <c r="B4139">
        <v>615026.15</v>
      </c>
      <c r="C4139">
        <v>0</v>
      </c>
      <c r="D4139">
        <v>70.42</v>
      </c>
      <c r="E4139">
        <v>3.8740000000000001</v>
      </c>
      <c r="F4139">
        <v>138.2814516</v>
      </c>
      <c r="G4139">
        <v>9.4190000000000005</v>
      </c>
      <c r="N4139" s="8"/>
    </row>
    <row r="4140" spans="1:14" x14ac:dyDescent="0.25">
      <c r="A4140" s="8">
        <v>41152</v>
      </c>
      <c r="B4140">
        <v>545844.91</v>
      </c>
      <c r="C4140">
        <v>0</v>
      </c>
      <c r="D4140">
        <v>71.930000000000007</v>
      </c>
      <c r="E4140">
        <v>3.8839999999999999</v>
      </c>
      <c r="F4140">
        <v>138.3771935</v>
      </c>
      <c r="G4140">
        <v>9.4190000000000005</v>
      </c>
      <c r="N4140" s="8"/>
    </row>
    <row r="4141" spans="1:14" x14ac:dyDescent="0.25">
      <c r="A4141" s="8">
        <v>41159</v>
      </c>
      <c r="B4141">
        <v>540811.85</v>
      </c>
      <c r="C4141">
        <v>1</v>
      </c>
      <c r="D4141">
        <v>73.3</v>
      </c>
      <c r="E4141">
        <v>3.9209999999999998</v>
      </c>
      <c r="F4141">
        <v>138.47293550000001</v>
      </c>
      <c r="G4141">
        <v>9.4190000000000005</v>
      </c>
      <c r="N4141" s="8"/>
    </row>
    <row r="4142" spans="1:14" x14ac:dyDescent="0.25">
      <c r="A4142" s="8">
        <v>41166</v>
      </c>
      <c r="B4142">
        <v>475127.18</v>
      </c>
      <c r="C4142">
        <v>0</v>
      </c>
      <c r="D4142">
        <v>66.42</v>
      </c>
      <c r="E4142">
        <v>3.988</v>
      </c>
      <c r="F4142">
        <v>138.56729999999999</v>
      </c>
      <c r="G4142">
        <v>9.4190000000000005</v>
      </c>
      <c r="N4142" s="8"/>
    </row>
    <row r="4143" spans="1:14" x14ac:dyDescent="0.25">
      <c r="A4143" s="8">
        <v>41173</v>
      </c>
      <c r="B4143">
        <v>489079.23</v>
      </c>
      <c r="C4143">
        <v>0</v>
      </c>
      <c r="D4143">
        <v>63.38</v>
      </c>
      <c r="E4143">
        <v>4.056</v>
      </c>
      <c r="F4143">
        <v>138.6534</v>
      </c>
      <c r="G4143">
        <v>9.4190000000000005</v>
      </c>
      <c r="N4143" s="8"/>
    </row>
    <row r="4144" spans="1:14" x14ac:dyDescent="0.25">
      <c r="A4144" s="8">
        <v>41180</v>
      </c>
      <c r="B4144">
        <v>489674.23</v>
      </c>
      <c r="C4144">
        <v>0</v>
      </c>
      <c r="D4144">
        <v>62.17</v>
      </c>
      <c r="E4144">
        <v>4.0179999999999998</v>
      </c>
      <c r="F4144">
        <v>138.73949999999999</v>
      </c>
      <c r="G4144">
        <v>9.4190000000000005</v>
      </c>
      <c r="N4144" s="8"/>
    </row>
    <row r="4145" spans="1:14" x14ac:dyDescent="0.25">
      <c r="A4145" s="8">
        <v>41187</v>
      </c>
      <c r="B4145">
        <v>520632.8</v>
      </c>
      <c r="C4145">
        <v>0</v>
      </c>
      <c r="D4145">
        <v>62.09</v>
      </c>
      <c r="E4145">
        <v>4.0270000000000001</v>
      </c>
      <c r="F4145">
        <v>138.82560000000001</v>
      </c>
      <c r="G4145">
        <v>9.1509999999999998</v>
      </c>
      <c r="N4145" s="8"/>
    </row>
    <row r="4146" spans="1:14" x14ac:dyDescent="0.25">
      <c r="A4146" s="8">
        <v>41194</v>
      </c>
      <c r="B4146">
        <v>513737</v>
      </c>
      <c r="C4146">
        <v>0</v>
      </c>
      <c r="D4146">
        <v>54.18</v>
      </c>
      <c r="E4146">
        <v>4.0289999999999999</v>
      </c>
      <c r="F4146">
        <v>138.9117</v>
      </c>
      <c r="G4146">
        <v>9.1509999999999998</v>
      </c>
      <c r="N4146" s="8"/>
    </row>
    <row r="4147" spans="1:14" x14ac:dyDescent="0.25">
      <c r="A4147" s="8">
        <v>41201</v>
      </c>
      <c r="B4147">
        <v>516909.24</v>
      </c>
      <c r="C4147">
        <v>0</v>
      </c>
      <c r="D4147">
        <v>55.28</v>
      </c>
      <c r="E4147">
        <v>4</v>
      </c>
      <c r="F4147">
        <v>138.83361289999999</v>
      </c>
      <c r="G4147">
        <v>9.1509999999999998</v>
      </c>
      <c r="N4147" s="8"/>
    </row>
    <row r="4148" spans="1:14" x14ac:dyDescent="0.25">
      <c r="A4148" s="8">
        <v>41208</v>
      </c>
      <c r="B4148">
        <v>534970.68000000005</v>
      </c>
      <c r="C4148">
        <v>0</v>
      </c>
      <c r="D4148">
        <v>57.58</v>
      </c>
      <c r="E4148">
        <v>3.9169999999999998</v>
      </c>
      <c r="F4148">
        <v>138.72816130000001</v>
      </c>
      <c r="G4148">
        <v>9.1509999999999998</v>
      </c>
      <c r="N4148" s="8"/>
    </row>
    <row r="4149" spans="1:14" x14ac:dyDescent="0.25">
      <c r="A4149" s="8">
        <v>40214</v>
      </c>
      <c r="B4149">
        <v>465108.52</v>
      </c>
      <c r="C4149">
        <v>0</v>
      </c>
      <c r="D4149">
        <v>39.049999999999997</v>
      </c>
      <c r="E4149">
        <v>2.5720000000000001</v>
      </c>
      <c r="F4149">
        <v>210.7526053</v>
      </c>
      <c r="G4149">
        <v>8.3239999999999998</v>
      </c>
      <c r="N4149" s="8"/>
    </row>
    <row r="4150" spans="1:14" x14ac:dyDescent="0.25">
      <c r="A4150" s="8">
        <v>40221</v>
      </c>
      <c r="B4150">
        <v>497374.57</v>
      </c>
      <c r="C4150">
        <v>1</v>
      </c>
      <c r="D4150">
        <v>37.770000000000003</v>
      </c>
      <c r="E4150">
        <v>2.548</v>
      </c>
      <c r="F4150">
        <v>210.89799350000001</v>
      </c>
      <c r="G4150">
        <v>8.3239999999999998</v>
      </c>
      <c r="N4150" s="8"/>
    </row>
    <row r="4151" spans="1:14" x14ac:dyDescent="0.25">
      <c r="A4151" s="8">
        <v>40228</v>
      </c>
      <c r="B4151">
        <v>463513.26</v>
      </c>
      <c r="C4151">
        <v>0</v>
      </c>
      <c r="D4151">
        <v>39.75</v>
      </c>
      <c r="E4151">
        <v>2.5139999999999998</v>
      </c>
      <c r="F4151">
        <v>210.94516049999999</v>
      </c>
      <c r="G4151">
        <v>8.3239999999999998</v>
      </c>
      <c r="N4151" s="8"/>
    </row>
    <row r="4152" spans="1:14" x14ac:dyDescent="0.25">
      <c r="A4152" s="8">
        <v>40235</v>
      </c>
      <c r="B4152">
        <v>472330.71</v>
      </c>
      <c r="C4152">
        <v>0</v>
      </c>
      <c r="D4152">
        <v>45.31</v>
      </c>
      <c r="E4152">
        <v>2.5609999999999999</v>
      </c>
      <c r="F4152">
        <v>210.9759573</v>
      </c>
      <c r="G4152">
        <v>8.3239999999999998</v>
      </c>
      <c r="N4152" s="8"/>
    </row>
    <row r="4153" spans="1:14" x14ac:dyDescent="0.25">
      <c r="A4153" s="8">
        <v>40242</v>
      </c>
      <c r="B4153">
        <v>472591.07</v>
      </c>
      <c r="C4153">
        <v>0</v>
      </c>
      <c r="D4153">
        <v>48.61</v>
      </c>
      <c r="E4153">
        <v>2.625</v>
      </c>
      <c r="F4153">
        <v>211.00675419999999</v>
      </c>
      <c r="G4153">
        <v>8.3239999999999998</v>
      </c>
      <c r="N4153" s="8"/>
    </row>
    <row r="4154" spans="1:14" x14ac:dyDescent="0.25">
      <c r="A4154" s="8">
        <v>40249</v>
      </c>
      <c r="B4154">
        <v>468189.93</v>
      </c>
      <c r="C4154">
        <v>0</v>
      </c>
      <c r="D4154">
        <v>57.1</v>
      </c>
      <c r="E4154">
        <v>2.6669999999999998</v>
      </c>
      <c r="F4154">
        <v>211.03755100000001</v>
      </c>
      <c r="G4154">
        <v>8.3239999999999998</v>
      </c>
      <c r="N4154" s="8"/>
    </row>
    <row r="4155" spans="1:14" x14ac:dyDescent="0.25">
      <c r="A4155" s="8">
        <v>40256</v>
      </c>
      <c r="B4155">
        <v>445736.36</v>
      </c>
      <c r="C4155">
        <v>0</v>
      </c>
      <c r="D4155">
        <v>54.68</v>
      </c>
      <c r="E4155">
        <v>2.72</v>
      </c>
      <c r="F4155">
        <v>210.8733316</v>
      </c>
      <c r="G4155">
        <v>8.3239999999999998</v>
      </c>
      <c r="N4155" s="8"/>
    </row>
    <row r="4156" spans="1:14" x14ac:dyDescent="0.25">
      <c r="A4156" s="8">
        <v>40263</v>
      </c>
      <c r="B4156">
        <v>442457.35</v>
      </c>
      <c r="C4156">
        <v>0</v>
      </c>
      <c r="D4156">
        <v>51.66</v>
      </c>
      <c r="E4156">
        <v>2.7320000000000002</v>
      </c>
      <c r="F4156">
        <v>210.67660950000001</v>
      </c>
      <c r="G4156">
        <v>8.3239999999999998</v>
      </c>
      <c r="N4156" s="8"/>
    </row>
    <row r="4157" spans="1:14" x14ac:dyDescent="0.25">
      <c r="A4157" s="8">
        <v>40270</v>
      </c>
      <c r="B4157">
        <v>457884.06</v>
      </c>
      <c r="C4157">
        <v>0</v>
      </c>
      <c r="D4157">
        <v>64.12</v>
      </c>
      <c r="E4157">
        <v>2.7189999999999999</v>
      </c>
      <c r="F4157">
        <v>210.4798874</v>
      </c>
      <c r="G4157">
        <v>8.1999999999999993</v>
      </c>
      <c r="N4157" s="8"/>
    </row>
    <row r="4158" spans="1:14" x14ac:dyDescent="0.25">
      <c r="A4158" s="8">
        <v>40277</v>
      </c>
      <c r="B4158">
        <v>454800.96</v>
      </c>
      <c r="C4158">
        <v>0</v>
      </c>
      <c r="D4158">
        <v>65.739999999999995</v>
      </c>
      <c r="E4158">
        <v>2.77</v>
      </c>
      <c r="F4158">
        <v>210.28316530000001</v>
      </c>
      <c r="G4158">
        <v>8.1999999999999993</v>
      </c>
      <c r="N4158" s="8"/>
    </row>
    <row r="4159" spans="1:14" x14ac:dyDescent="0.25">
      <c r="A4159" s="8">
        <v>40284</v>
      </c>
      <c r="B4159">
        <v>471054.16</v>
      </c>
      <c r="C4159">
        <v>0</v>
      </c>
      <c r="D4159">
        <v>67.87</v>
      </c>
      <c r="E4159">
        <v>2.8079999999999998</v>
      </c>
      <c r="F4159">
        <v>210.1495463</v>
      </c>
      <c r="G4159">
        <v>8.1999999999999993</v>
      </c>
      <c r="N4159" s="8"/>
    </row>
    <row r="4160" spans="1:14" x14ac:dyDescent="0.25">
      <c r="A4160" s="8">
        <v>40291</v>
      </c>
      <c r="B4160">
        <v>462454.39</v>
      </c>
      <c r="C4160">
        <v>0</v>
      </c>
      <c r="D4160">
        <v>64.209999999999994</v>
      </c>
      <c r="E4160">
        <v>2.7949999999999999</v>
      </c>
      <c r="F4160">
        <v>210.10006480000001</v>
      </c>
      <c r="G4160">
        <v>8.1999999999999993</v>
      </c>
      <c r="N4160" s="8"/>
    </row>
    <row r="4161" spans="1:14" x14ac:dyDescent="0.25">
      <c r="A4161" s="8">
        <v>40298</v>
      </c>
      <c r="B4161">
        <v>456140.34</v>
      </c>
      <c r="C4161">
        <v>0</v>
      </c>
      <c r="D4161">
        <v>66.930000000000007</v>
      </c>
      <c r="E4161">
        <v>2.78</v>
      </c>
      <c r="F4161">
        <v>210.0505833</v>
      </c>
      <c r="G4161">
        <v>8.1999999999999993</v>
      </c>
      <c r="N4161" s="8"/>
    </row>
    <row r="4162" spans="1:14" x14ac:dyDescent="0.25">
      <c r="A4162" s="8">
        <v>40305</v>
      </c>
      <c r="B4162">
        <v>457883.94</v>
      </c>
      <c r="C4162">
        <v>0</v>
      </c>
      <c r="D4162">
        <v>70.87</v>
      </c>
      <c r="E4162">
        <v>2.835</v>
      </c>
      <c r="F4162">
        <v>210.00110179999999</v>
      </c>
      <c r="G4162">
        <v>8.1999999999999993</v>
      </c>
      <c r="N4162" s="8"/>
    </row>
    <row r="4163" spans="1:14" x14ac:dyDescent="0.25">
      <c r="A4163" s="8">
        <v>40312</v>
      </c>
      <c r="B4163">
        <v>461868.09</v>
      </c>
      <c r="C4163">
        <v>0</v>
      </c>
      <c r="D4163">
        <v>73.08</v>
      </c>
      <c r="E4163">
        <v>2.8540000000000001</v>
      </c>
      <c r="F4163">
        <v>209.9984585</v>
      </c>
      <c r="G4163">
        <v>8.1999999999999993</v>
      </c>
      <c r="N4163" s="8"/>
    </row>
    <row r="4164" spans="1:14" x14ac:dyDescent="0.25">
      <c r="A4164" s="8">
        <v>40319</v>
      </c>
      <c r="B4164">
        <v>455751.84</v>
      </c>
      <c r="C4164">
        <v>0</v>
      </c>
      <c r="D4164">
        <v>74.239999999999995</v>
      </c>
      <c r="E4164">
        <v>2.8260000000000001</v>
      </c>
      <c r="F4164">
        <v>210.27684429999999</v>
      </c>
      <c r="G4164">
        <v>8.1999999999999993</v>
      </c>
      <c r="N4164" s="8"/>
    </row>
    <row r="4165" spans="1:14" x14ac:dyDescent="0.25">
      <c r="A4165" s="8">
        <v>40326</v>
      </c>
      <c r="B4165">
        <v>462474.16</v>
      </c>
      <c r="C4165">
        <v>0</v>
      </c>
      <c r="D4165">
        <v>80.94</v>
      </c>
      <c r="E4165">
        <v>2.7589999999999999</v>
      </c>
      <c r="F4165">
        <v>210.55523009999999</v>
      </c>
      <c r="G4165">
        <v>8.1999999999999993</v>
      </c>
      <c r="N4165" s="8"/>
    </row>
    <row r="4166" spans="1:14" x14ac:dyDescent="0.25">
      <c r="A4166" s="8">
        <v>40333</v>
      </c>
      <c r="B4166">
        <v>458343.7</v>
      </c>
      <c r="C4166">
        <v>0</v>
      </c>
      <c r="D4166">
        <v>82.68</v>
      </c>
      <c r="E4166">
        <v>2.7050000000000001</v>
      </c>
      <c r="F4166">
        <v>210.83361600000001</v>
      </c>
      <c r="G4166">
        <v>8.1999999999999993</v>
      </c>
      <c r="N4166" s="8"/>
    </row>
    <row r="4167" spans="1:14" x14ac:dyDescent="0.25">
      <c r="A4167" s="8">
        <v>40340</v>
      </c>
      <c r="B4167">
        <v>445530.16</v>
      </c>
      <c r="C4167">
        <v>0</v>
      </c>
      <c r="D4167">
        <v>83.51</v>
      </c>
      <c r="E4167">
        <v>2.6680000000000001</v>
      </c>
      <c r="F4167">
        <v>211.1120018</v>
      </c>
      <c r="G4167">
        <v>8.1999999999999993</v>
      </c>
      <c r="N4167" s="8"/>
    </row>
    <row r="4168" spans="1:14" x14ac:dyDescent="0.25">
      <c r="A4168" s="8">
        <v>40347</v>
      </c>
      <c r="B4168">
        <v>447727.52</v>
      </c>
      <c r="C4168">
        <v>0</v>
      </c>
      <c r="D4168">
        <v>86.18</v>
      </c>
      <c r="E4168">
        <v>2.637</v>
      </c>
      <c r="F4168">
        <v>211.10965429999999</v>
      </c>
      <c r="G4168">
        <v>8.1999999999999993</v>
      </c>
      <c r="N4168" s="8"/>
    </row>
    <row r="4169" spans="1:14" x14ac:dyDescent="0.25">
      <c r="A4169" s="8">
        <v>40354</v>
      </c>
      <c r="B4169">
        <v>453210.24</v>
      </c>
      <c r="C4169">
        <v>0</v>
      </c>
      <c r="D4169">
        <v>87.01</v>
      </c>
      <c r="E4169">
        <v>2.653</v>
      </c>
      <c r="F4169">
        <v>210.9950134</v>
      </c>
      <c r="G4169">
        <v>8.1999999999999993</v>
      </c>
      <c r="N4169" s="8"/>
    </row>
    <row r="4170" spans="1:14" x14ac:dyDescent="0.25">
      <c r="A4170" s="8">
        <v>40361</v>
      </c>
      <c r="B4170">
        <v>450337.47</v>
      </c>
      <c r="C4170">
        <v>0</v>
      </c>
      <c r="D4170">
        <v>82.29</v>
      </c>
      <c r="E4170">
        <v>2.669</v>
      </c>
      <c r="F4170">
        <v>210.88037259999999</v>
      </c>
      <c r="G4170">
        <v>8.0990000000000002</v>
      </c>
      <c r="N4170" s="8"/>
    </row>
    <row r="4171" spans="1:14" x14ac:dyDescent="0.25">
      <c r="A4171" s="8">
        <v>40368</v>
      </c>
      <c r="B4171">
        <v>436293.4</v>
      </c>
      <c r="C4171">
        <v>0</v>
      </c>
      <c r="D4171">
        <v>81.67</v>
      </c>
      <c r="E4171">
        <v>2.6419999999999999</v>
      </c>
      <c r="F4171">
        <v>210.7657317</v>
      </c>
      <c r="G4171">
        <v>8.0990000000000002</v>
      </c>
      <c r="N4171" s="8"/>
    </row>
    <row r="4172" spans="1:14" x14ac:dyDescent="0.25">
      <c r="A4172" s="8">
        <v>40375</v>
      </c>
      <c r="B4172">
        <v>438068.71</v>
      </c>
      <c r="C4172">
        <v>0</v>
      </c>
      <c r="D4172">
        <v>85.61</v>
      </c>
      <c r="E4172">
        <v>2.6230000000000002</v>
      </c>
      <c r="F4172">
        <v>210.75779539999999</v>
      </c>
      <c r="G4172">
        <v>8.0990000000000002</v>
      </c>
      <c r="N4172" s="8"/>
    </row>
    <row r="4173" spans="1:14" x14ac:dyDescent="0.25">
      <c r="A4173" s="8">
        <v>40382</v>
      </c>
      <c r="B4173">
        <v>440491.33</v>
      </c>
      <c r="C4173">
        <v>0</v>
      </c>
      <c r="D4173">
        <v>87.17</v>
      </c>
      <c r="E4173">
        <v>2.6080000000000001</v>
      </c>
      <c r="F4173">
        <v>210.89213190000001</v>
      </c>
      <c r="G4173">
        <v>8.0990000000000002</v>
      </c>
      <c r="N4173" s="8"/>
    </row>
    <row r="4174" spans="1:14" x14ac:dyDescent="0.25">
      <c r="A4174" s="8">
        <v>40389</v>
      </c>
      <c r="B4174">
        <v>437893.76</v>
      </c>
      <c r="C4174">
        <v>0</v>
      </c>
      <c r="D4174">
        <v>83.59</v>
      </c>
      <c r="E4174">
        <v>2.64</v>
      </c>
      <c r="F4174">
        <v>211.0264684</v>
      </c>
      <c r="G4174">
        <v>8.0990000000000002</v>
      </c>
      <c r="N4174" s="8"/>
    </row>
    <row r="4175" spans="1:14" x14ac:dyDescent="0.25">
      <c r="A4175" s="8">
        <v>40396</v>
      </c>
      <c r="B4175">
        <v>441407.06</v>
      </c>
      <c r="C4175">
        <v>0</v>
      </c>
      <c r="D4175">
        <v>90.3</v>
      </c>
      <c r="E4175">
        <v>2.6269999999999998</v>
      </c>
      <c r="F4175">
        <v>211.16080489999999</v>
      </c>
      <c r="G4175">
        <v>8.0990000000000002</v>
      </c>
      <c r="N4175" s="8"/>
    </row>
    <row r="4176" spans="1:14" x14ac:dyDescent="0.25">
      <c r="A4176" s="8">
        <v>40403</v>
      </c>
      <c r="B4176">
        <v>444160.07</v>
      </c>
      <c r="C4176">
        <v>0</v>
      </c>
      <c r="D4176">
        <v>89.65</v>
      </c>
      <c r="E4176">
        <v>2.6920000000000002</v>
      </c>
      <c r="F4176">
        <v>211.29514130000001</v>
      </c>
      <c r="G4176">
        <v>8.0990000000000002</v>
      </c>
      <c r="N4176" s="8"/>
    </row>
    <row r="4177" spans="1:14" x14ac:dyDescent="0.25">
      <c r="A4177" s="8">
        <v>40410</v>
      </c>
      <c r="B4177">
        <v>447139.8</v>
      </c>
      <c r="C4177">
        <v>0</v>
      </c>
      <c r="D4177">
        <v>89.58</v>
      </c>
      <c r="E4177">
        <v>2.6640000000000001</v>
      </c>
      <c r="F4177">
        <v>211.25965859999999</v>
      </c>
      <c r="G4177">
        <v>8.0990000000000002</v>
      </c>
      <c r="N4177" s="8"/>
    </row>
    <row r="4178" spans="1:14" x14ac:dyDescent="0.25">
      <c r="A4178" s="8">
        <v>40417</v>
      </c>
      <c r="B4178">
        <v>443810.78</v>
      </c>
      <c r="C4178">
        <v>0</v>
      </c>
      <c r="D4178">
        <v>86.2</v>
      </c>
      <c r="E4178">
        <v>2.6190000000000002</v>
      </c>
      <c r="F4178">
        <v>211.22417590000001</v>
      </c>
      <c r="G4178">
        <v>8.0990000000000002</v>
      </c>
      <c r="N4178" s="8"/>
    </row>
    <row r="4179" spans="1:14" x14ac:dyDescent="0.25">
      <c r="A4179" s="8">
        <v>40424</v>
      </c>
      <c r="B4179">
        <v>461548.98</v>
      </c>
      <c r="C4179">
        <v>0</v>
      </c>
      <c r="D4179">
        <v>82.57</v>
      </c>
      <c r="E4179">
        <v>2.577</v>
      </c>
      <c r="F4179">
        <v>211.18869309999999</v>
      </c>
      <c r="G4179">
        <v>8.0990000000000002</v>
      </c>
      <c r="N4179" s="8"/>
    </row>
    <row r="4180" spans="1:14" x14ac:dyDescent="0.25">
      <c r="A4180" s="8">
        <v>40431</v>
      </c>
      <c r="B4180">
        <v>455162.92</v>
      </c>
      <c r="C4180">
        <v>1</v>
      </c>
      <c r="D4180">
        <v>79.3</v>
      </c>
      <c r="E4180">
        <v>2.5649999999999999</v>
      </c>
      <c r="F4180">
        <v>211.15321040000001</v>
      </c>
      <c r="G4180">
        <v>8.0990000000000002</v>
      </c>
      <c r="N4180" s="8"/>
    </row>
    <row r="4181" spans="1:14" x14ac:dyDescent="0.25">
      <c r="A4181" s="8">
        <v>40438</v>
      </c>
      <c r="B4181">
        <v>462058.19</v>
      </c>
      <c r="C4181">
        <v>0</v>
      </c>
      <c r="D4181">
        <v>83.03</v>
      </c>
      <c r="E4181">
        <v>2.5819999999999999</v>
      </c>
      <c r="F4181">
        <v>211.18064150000001</v>
      </c>
      <c r="G4181">
        <v>8.0990000000000002</v>
      </c>
      <c r="N4181" s="8"/>
    </row>
    <row r="4182" spans="1:14" x14ac:dyDescent="0.25">
      <c r="A4182" s="8">
        <v>40445</v>
      </c>
      <c r="B4182">
        <v>448392.17</v>
      </c>
      <c r="C4182">
        <v>0</v>
      </c>
      <c r="D4182">
        <v>80.790000000000006</v>
      </c>
      <c r="E4182">
        <v>2.6240000000000001</v>
      </c>
      <c r="F4182">
        <v>211.25525780000001</v>
      </c>
      <c r="G4182">
        <v>8.0990000000000002</v>
      </c>
      <c r="N4182" s="8"/>
    </row>
    <row r="4183" spans="1:14" x14ac:dyDescent="0.25">
      <c r="A4183" s="8">
        <v>40452</v>
      </c>
      <c r="B4183">
        <v>445475.3</v>
      </c>
      <c r="C4183">
        <v>0</v>
      </c>
      <c r="D4183">
        <v>70.28</v>
      </c>
      <c r="E4183">
        <v>2.6030000000000002</v>
      </c>
      <c r="F4183">
        <v>211.32987420000001</v>
      </c>
      <c r="G4183">
        <v>8.1630000000000003</v>
      </c>
      <c r="N4183" s="8"/>
    </row>
    <row r="4184" spans="1:14" x14ac:dyDescent="0.25">
      <c r="A4184" s="8">
        <v>40459</v>
      </c>
      <c r="B4184">
        <v>462080.47</v>
      </c>
      <c r="C4184">
        <v>0</v>
      </c>
      <c r="D4184">
        <v>65.760000000000005</v>
      </c>
      <c r="E4184">
        <v>2.633</v>
      </c>
      <c r="F4184">
        <v>211.4044906</v>
      </c>
      <c r="G4184">
        <v>8.1630000000000003</v>
      </c>
      <c r="N4184" s="8"/>
    </row>
    <row r="4185" spans="1:14" x14ac:dyDescent="0.25">
      <c r="A4185" s="8">
        <v>40466</v>
      </c>
      <c r="B4185">
        <v>453943.89</v>
      </c>
      <c r="C4185">
        <v>0</v>
      </c>
      <c r="D4185">
        <v>68.61</v>
      </c>
      <c r="E4185">
        <v>2.72</v>
      </c>
      <c r="F4185">
        <v>211.47132859999999</v>
      </c>
      <c r="G4185">
        <v>8.1630000000000003</v>
      </c>
      <c r="N4185" s="8"/>
    </row>
    <row r="4186" spans="1:14" x14ac:dyDescent="0.25">
      <c r="A4186" s="8">
        <v>40473</v>
      </c>
      <c r="B4186">
        <v>459631.74</v>
      </c>
      <c r="C4186">
        <v>0</v>
      </c>
      <c r="D4186">
        <v>70.72</v>
      </c>
      <c r="E4186">
        <v>2.7250000000000001</v>
      </c>
      <c r="F4186">
        <v>211.51872080000001</v>
      </c>
      <c r="G4186">
        <v>8.1630000000000003</v>
      </c>
      <c r="N4186" s="8"/>
    </row>
    <row r="4187" spans="1:14" x14ac:dyDescent="0.25">
      <c r="A4187" s="8">
        <v>40480</v>
      </c>
      <c r="B4187">
        <v>438334.39</v>
      </c>
      <c r="C4187">
        <v>0</v>
      </c>
      <c r="D4187">
        <v>67.510000000000005</v>
      </c>
      <c r="E4187">
        <v>2.7160000000000002</v>
      </c>
      <c r="F4187">
        <v>211.5661131</v>
      </c>
      <c r="G4187">
        <v>8.1630000000000003</v>
      </c>
      <c r="N4187" s="8"/>
    </row>
    <row r="4188" spans="1:14" x14ac:dyDescent="0.25">
      <c r="A4188" s="8">
        <v>40487</v>
      </c>
      <c r="B4188">
        <v>484661.87</v>
      </c>
      <c r="C4188">
        <v>0</v>
      </c>
      <c r="D4188">
        <v>58.71</v>
      </c>
      <c r="E4188">
        <v>2.6890000000000001</v>
      </c>
      <c r="F4188">
        <v>211.61350530000001</v>
      </c>
      <c r="G4188">
        <v>8.1630000000000003</v>
      </c>
      <c r="N4188" s="8"/>
    </row>
    <row r="4189" spans="1:14" x14ac:dyDescent="0.25">
      <c r="A4189" s="8">
        <v>40494</v>
      </c>
      <c r="B4189">
        <v>431266.64</v>
      </c>
      <c r="C4189">
        <v>0</v>
      </c>
      <c r="D4189">
        <v>60.95</v>
      </c>
      <c r="E4189">
        <v>2.7280000000000002</v>
      </c>
      <c r="F4189">
        <v>211.6608975</v>
      </c>
      <c r="G4189">
        <v>8.1630000000000003</v>
      </c>
      <c r="N4189" s="8"/>
    </row>
    <row r="4190" spans="1:14" x14ac:dyDescent="0.25">
      <c r="A4190" s="8">
        <v>40501</v>
      </c>
      <c r="B4190">
        <v>423707.69</v>
      </c>
      <c r="C4190">
        <v>0</v>
      </c>
      <c r="D4190">
        <v>51.71</v>
      </c>
      <c r="E4190">
        <v>2.7709999999999999</v>
      </c>
      <c r="F4190">
        <v>211.54703040000001</v>
      </c>
      <c r="G4190">
        <v>8.1630000000000003</v>
      </c>
      <c r="N4190" s="8"/>
    </row>
    <row r="4191" spans="1:14" x14ac:dyDescent="0.25">
      <c r="A4191" s="8">
        <v>40508</v>
      </c>
      <c r="B4191">
        <v>462732.36</v>
      </c>
      <c r="C4191">
        <v>1</v>
      </c>
      <c r="D4191">
        <v>62.96</v>
      </c>
      <c r="E4191">
        <v>2.7349999999999999</v>
      </c>
      <c r="F4191">
        <v>211.40628670000001</v>
      </c>
      <c r="G4191">
        <v>8.1630000000000003</v>
      </c>
      <c r="N4191" s="8"/>
    </row>
    <row r="4192" spans="1:14" x14ac:dyDescent="0.25">
      <c r="A4192" s="8">
        <v>40515</v>
      </c>
      <c r="B4192">
        <v>407112.22</v>
      </c>
      <c r="C4192">
        <v>0</v>
      </c>
      <c r="D4192">
        <v>50.43</v>
      </c>
      <c r="E4192">
        <v>2.7080000000000002</v>
      </c>
      <c r="F4192">
        <v>211.26554300000001</v>
      </c>
      <c r="G4192">
        <v>8.1630000000000003</v>
      </c>
      <c r="N4192" s="8"/>
    </row>
    <row r="4193" spans="1:14" x14ac:dyDescent="0.25">
      <c r="A4193" s="8">
        <v>40522</v>
      </c>
      <c r="B4193">
        <v>428631.91</v>
      </c>
      <c r="C4193">
        <v>0</v>
      </c>
      <c r="D4193">
        <v>46.35</v>
      </c>
      <c r="E4193">
        <v>2.843</v>
      </c>
      <c r="F4193">
        <v>211.12479930000001</v>
      </c>
      <c r="G4193">
        <v>8.1630000000000003</v>
      </c>
      <c r="N4193" s="8"/>
    </row>
    <row r="4194" spans="1:14" x14ac:dyDescent="0.25">
      <c r="A4194" s="8">
        <v>40529</v>
      </c>
      <c r="B4194">
        <v>445332.28</v>
      </c>
      <c r="C4194">
        <v>0</v>
      </c>
      <c r="D4194">
        <v>48.63</v>
      </c>
      <c r="E4194">
        <v>2.8690000000000002</v>
      </c>
      <c r="F4194">
        <v>211.06454579999999</v>
      </c>
      <c r="G4194">
        <v>8.1630000000000003</v>
      </c>
      <c r="N4194" s="8"/>
    </row>
    <row r="4195" spans="1:14" x14ac:dyDescent="0.25">
      <c r="A4195" s="8">
        <v>40536</v>
      </c>
      <c r="B4195">
        <v>519354.88</v>
      </c>
      <c r="C4195">
        <v>0</v>
      </c>
      <c r="D4195">
        <v>51.29</v>
      </c>
      <c r="E4195">
        <v>2.8860000000000001</v>
      </c>
      <c r="F4195">
        <v>211.06465990000001</v>
      </c>
      <c r="G4195">
        <v>8.1630000000000003</v>
      </c>
      <c r="N4195" s="8"/>
    </row>
    <row r="4196" spans="1:14" x14ac:dyDescent="0.25">
      <c r="A4196" s="8">
        <v>40543</v>
      </c>
      <c r="B4196">
        <v>397631.02</v>
      </c>
      <c r="C4196">
        <v>1</v>
      </c>
      <c r="D4196">
        <v>47.19</v>
      </c>
      <c r="E4196">
        <v>2.9430000000000001</v>
      </c>
      <c r="F4196">
        <v>211.064774</v>
      </c>
      <c r="G4196">
        <v>8.1630000000000003</v>
      </c>
      <c r="N4196" s="8"/>
    </row>
    <row r="4197" spans="1:14" x14ac:dyDescent="0.25">
      <c r="A4197" s="8">
        <v>40550</v>
      </c>
      <c r="B4197">
        <v>451077.21</v>
      </c>
      <c r="C4197">
        <v>0</v>
      </c>
      <c r="D4197">
        <v>44.24</v>
      </c>
      <c r="E4197">
        <v>2.976</v>
      </c>
      <c r="F4197">
        <v>211.06488809999999</v>
      </c>
      <c r="G4197">
        <v>8.0280000000000005</v>
      </c>
      <c r="N4197" s="8"/>
    </row>
    <row r="4198" spans="1:14" x14ac:dyDescent="0.25">
      <c r="A4198" s="8">
        <v>40557</v>
      </c>
      <c r="B4198">
        <v>465408.72</v>
      </c>
      <c r="C4198">
        <v>0</v>
      </c>
      <c r="D4198">
        <v>34.14</v>
      </c>
      <c r="E4198">
        <v>2.9830000000000001</v>
      </c>
      <c r="F4198">
        <v>211.11767130000001</v>
      </c>
      <c r="G4198">
        <v>8.0280000000000005</v>
      </c>
      <c r="N4198" s="8"/>
    </row>
    <row r="4199" spans="1:14" x14ac:dyDescent="0.25">
      <c r="A4199" s="8">
        <v>40564</v>
      </c>
      <c r="B4199">
        <v>439132.62</v>
      </c>
      <c r="C4199">
        <v>0</v>
      </c>
      <c r="D4199">
        <v>42.72</v>
      </c>
      <c r="E4199">
        <v>3.016</v>
      </c>
      <c r="F4199">
        <v>211.48646909999999</v>
      </c>
      <c r="G4199">
        <v>8.0280000000000005</v>
      </c>
      <c r="N4199" s="8"/>
    </row>
    <row r="4200" spans="1:14" x14ac:dyDescent="0.25">
      <c r="A4200" s="8">
        <v>40571</v>
      </c>
      <c r="B4200">
        <v>425989.04</v>
      </c>
      <c r="C4200">
        <v>0</v>
      </c>
      <c r="D4200">
        <v>44.04</v>
      </c>
      <c r="E4200">
        <v>3.01</v>
      </c>
      <c r="F4200">
        <v>211.85526680000001</v>
      </c>
      <c r="G4200">
        <v>8.0280000000000005</v>
      </c>
      <c r="N4200" s="8"/>
    </row>
    <row r="4201" spans="1:14" x14ac:dyDescent="0.25">
      <c r="A4201" s="8">
        <v>40578</v>
      </c>
      <c r="B4201">
        <v>490970.95</v>
      </c>
      <c r="C4201">
        <v>0</v>
      </c>
      <c r="D4201">
        <v>36.33</v>
      </c>
      <c r="E4201">
        <v>2.9889999999999999</v>
      </c>
      <c r="F4201">
        <v>212.22406459999999</v>
      </c>
      <c r="G4201">
        <v>8.0280000000000005</v>
      </c>
      <c r="N4201" s="8"/>
    </row>
    <row r="4202" spans="1:14" x14ac:dyDescent="0.25">
      <c r="A4202" s="8">
        <v>40585</v>
      </c>
      <c r="B4202">
        <v>470921.24</v>
      </c>
      <c r="C4202">
        <v>1</v>
      </c>
      <c r="D4202">
        <v>34.61</v>
      </c>
      <c r="E4202">
        <v>3.0219999999999998</v>
      </c>
      <c r="F4202">
        <v>212.5928624</v>
      </c>
      <c r="G4202">
        <v>8.0280000000000005</v>
      </c>
      <c r="N4202" s="8"/>
    </row>
    <row r="4203" spans="1:14" x14ac:dyDescent="0.25">
      <c r="A4203" s="8">
        <v>40592</v>
      </c>
      <c r="B4203">
        <v>417070.51</v>
      </c>
      <c r="C4203">
        <v>0</v>
      </c>
      <c r="D4203">
        <v>59.87</v>
      </c>
      <c r="E4203">
        <v>3.0449999999999999</v>
      </c>
      <c r="F4203">
        <v>212.9033115</v>
      </c>
      <c r="G4203">
        <v>8.0280000000000005</v>
      </c>
      <c r="N4203" s="8"/>
    </row>
    <row r="4204" spans="1:14" x14ac:dyDescent="0.25">
      <c r="A4204" s="8">
        <v>40599</v>
      </c>
      <c r="B4204">
        <v>432687.97</v>
      </c>
      <c r="C4204">
        <v>0</v>
      </c>
      <c r="D4204">
        <v>61.27</v>
      </c>
      <c r="E4204">
        <v>3.0649999999999999</v>
      </c>
      <c r="F4204">
        <v>213.19042099999999</v>
      </c>
      <c r="G4204">
        <v>8.0280000000000005</v>
      </c>
      <c r="N4204" s="8"/>
    </row>
    <row r="4205" spans="1:14" x14ac:dyDescent="0.25">
      <c r="A4205" s="8">
        <v>40606</v>
      </c>
      <c r="B4205">
        <v>443334.71</v>
      </c>
      <c r="C4205">
        <v>0</v>
      </c>
      <c r="D4205">
        <v>59.52</v>
      </c>
      <c r="E4205">
        <v>3.2879999999999998</v>
      </c>
      <c r="F4205">
        <v>213.4775305</v>
      </c>
      <c r="G4205">
        <v>8.0280000000000005</v>
      </c>
      <c r="N4205" s="8"/>
    </row>
    <row r="4206" spans="1:14" x14ac:dyDescent="0.25">
      <c r="A4206" s="8">
        <v>40613</v>
      </c>
      <c r="B4206">
        <v>438529.81</v>
      </c>
      <c r="C4206">
        <v>0</v>
      </c>
      <c r="D4206">
        <v>54.69</v>
      </c>
      <c r="E4206">
        <v>3.4590000000000001</v>
      </c>
      <c r="F4206">
        <v>213.76464010000001</v>
      </c>
      <c r="G4206">
        <v>8.0280000000000005</v>
      </c>
      <c r="N4206" s="8"/>
    </row>
    <row r="4207" spans="1:14" x14ac:dyDescent="0.25">
      <c r="A4207" s="8">
        <v>40620</v>
      </c>
      <c r="B4207">
        <v>425470.84</v>
      </c>
      <c r="C4207">
        <v>0</v>
      </c>
      <c r="D4207">
        <v>63.26</v>
      </c>
      <c r="E4207">
        <v>3.488</v>
      </c>
      <c r="F4207">
        <v>214.01562379999999</v>
      </c>
      <c r="G4207">
        <v>8.0280000000000005</v>
      </c>
      <c r="N4207" s="8"/>
    </row>
    <row r="4208" spans="1:14" x14ac:dyDescent="0.25">
      <c r="A4208" s="8">
        <v>40627</v>
      </c>
      <c r="B4208">
        <v>431754.01</v>
      </c>
      <c r="C4208">
        <v>0</v>
      </c>
      <c r="D4208">
        <v>70.33</v>
      </c>
      <c r="E4208">
        <v>3.4729999999999999</v>
      </c>
      <c r="F4208">
        <v>214.25215729999999</v>
      </c>
      <c r="G4208">
        <v>8.0280000000000005</v>
      </c>
      <c r="N4208" s="8"/>
    </row>
    <row r="4209" spans="1:14" x14ac:dyDescent="0.25">
      <c r="A4209" s="8">
        <v>40634</v>
      </c>
      <c r="B4209">
        <v>437926.79</v>
      </c>
      <c r="C4209">
        <v>0</v>
      </c>
      <c r="D4209">
        <v>56.36</v>
      </c>
      <c r="E4209">
        <v>3.524</v>
      </c>
      <c r="F4209">
        <v>214.4886908</v>
      </c>
      <c r="G4209">
        <v>7.931</v>
      </c>
      <c r="N4209" s="8"/>
    </row>
    <row r="4210" spans="1:14" x14ac:dyDescent="0.25">
      <c r="A4210" s="8">
        <v>40641</v>
      </c>
      <c r="B4210">
        <v>443889.5</v>
      </c>
      <c r="C4210">
        <v>0</v>
      </c>
      <c r="D4210">
        <v>68.62</v>
      </c>
      <c r="E4210">
        <v>3.6219999999999999</v>
      </c>
      <c r="F4210">
        <v>214.72522420000001</v>
      </c>
      <c r="G4210">
        <v>7.931</v>
      </c>
      <c r="N4210" s="8"/>
    </row>
    <row r="4211" spans="1:14" x14ac:dyDescent="0.25">
      <c r="A4211" s="8">
        <v>40648</v>
      </c>
      <c r="B4211">
        <v>426666.92</v>
      </c>
      <c r="C4211">
        <v>0</v>
      </c>
      <c r="D4211">
        <v>71.010000000000005</v>
      </c>
      <c r="E4211">
        <v>3.7429999999999999</v>
      </c>
      <c r="F4211">
        <v>214.94206310000001</v>
      </c>
      <c r="G4211">
        <v>7.931</v>
      </c>
      <c r="N4211" s="8"/>
    </row>
    <row r="4212" spans="1:14" x14ac:dyDescent="0.25">
      <c r="A4212" s="8">
        <v>40655</v>
      </c>
      <c r="B4212">
        <v>445358.73</v>
      </c>
      <c r="C4212">
        <v>0</v>
      </c>
      <c r="D4212">
        <v>70.790000000000006</v>
      </c>
      <c r="E4212">
        <v>3.8069999999999999</v>
      </c>
      <c r="F4212">
        <v>215.10966569999999</v>
      </c>
      <c r="G4212">
        <v>7.931</v>
      </c>
      <c r="N4212" s="8"/>
    </row>
    <row r="4213" spans="1:14" x14ac:dyDescent="0.25">
      <c r="A4213" s="8">
        <v>40662</v>
      </c>
      <c r="B4213">
        <v>423687.2</v>
      </c>
      <c r="C4213">
        <v>0</v>
      </c>
      <c r="D4213">
        <v>70.19</v>
      </c>
      <c r="E4213">
        <v>3.81</v>
      </c>
      <c r="F4213">
        <v>215.2772683</v>
      </c>
      <c r="G4213">
        <v>7.931</v>
      </c>
      <c r="N4213" s="8"/>
    </row>
    <row r="4214" spans="1:14" x14ac:dyDescent="0.25">
      <c r="A4214" s="8">
        <v>40669</v>
      </c>
      <c r="B4214">
        <v>438789.52</v>
      </c>
      <c r="C4214">
        <v>0</v>
      </c>
      <c r="D4214">
        <v>61.87</v>
      </c>
      <c r="E4214">
        <v>3.9060000000000001</v>
      </c>
      <c r="F4214">
        <v>215.44487090000001</v>
      </c>
      <c r="G4214">
        <v>7.931</v>
      </c>
      <c r="N4214" s="8"/>
    </row>
    <row r="4215" spans="1:14" x14ac:dyDescent="0.25">
      <c r="A4215" s="8">
        <v>40676</v>
      </c>
      <c r="B4215">
        <v>424614.59</v>
      </c>
      <c r="C4215">
        <v>0</v>
      </c>
      <c r="D4215">
        <v>75.040000000000006</v>
      </c>
      <c r="E4215">
        <v>3.899</v>
      </c>
      <c r="F4215">
        <v>215.61247349999999</v>
      </c>
      <c r="G4215">
        <v>7.931</v>
      </c>
      <c r="N4215" s="8"/>
    </row>
    <row r="4216" spans="1:14" x14ac:dyDescent="0.25">
      <c r="A4216" s="8">
        <v>40683</v>
      </c>
      <c r="B4216">
        <v>435102.2</v>
      </c>
      <c r="C4216">
        <v>0</v>
      </c>
      <c r="D4216">
        <v>68.36</v>
      </c>
      <c r="E4216">
        <v>3.907</v>
      </c>
      <c r="F4216">
        <v>215.38347780000001</v>
      </c>
      <c r="G4216">
        <v>7.931</v>
      </c>
      <c r="N4216" s="8"/>
    </row>
    <row r="4217" spans="1:14" x14ac:dyDescent="0.25">
      <c r="A4217" s="8">
        <v>40690</v>
      </c>
      <c r="B4217">
        <v>429305.82</v>
      </c>
      <c r="C4217">
        <v>0</v>
      </c>
      <c r="D4217">
        <v>76.86</v>
      </c>
      <c r="E4217">
        <v>3.786</v>
      </c>
      <c r="F4217">
        <v>215.15448219999999</v>
      </c>
      <c r="G4217">
        <v>7.931</v>
      </c>
      <c r="N4217" s="8"/>
    </row>
    <row r="4218" spans="1:14" x14ac:dyDescent="0.25">
      <c r="A4218" s="8">
        <v>40697</v>
      </c>
      <c r="B4218">
        <v>432808.48</v>
      </c>
      <c r="C4218">
        <v>0</v>
      </c>
      <c r="D4218">
        <v>83.82</v>
      </c>
      <c r="E4218">
        <v>3.6989999999999998</v>
      </c>
      <c r="F4218">
        <v>214.92548650000001</v>
      </c>
      <c r="G4218">
        <v>7.931</v>
      </c>
      <c r="N4218" s="8"/>
    </row>
    <row r="4219" spans="1:14" x14ac:dyDescent="0.25">
      <c r="A4219" s="8">
        <v>40704</v>
      </c>
      <c r="B4219">
        <v>424697.05</v>
      </c>
      <c r="C4219">
        <v>0</v>
      </c>
      <c r="D4219">
        <v>84.71</v>
      </c>
      <c r="E4219">
        <v>3.6480000000000001</v>
      </c>
      <c r="F4219">
        <v>214.69649079999999</v>
      </c>
      <c r="G4219">
        <v>7.931</v>
      </c>
      <c r="N4219" s="8"/>
    </row>
    <row r="4220" spans="1:14" x14ac:dyDescent="0.25">
      <c r="A4220" s="8">
        <v>40711</v>
      </c>
      <c r="B4220">
        <v>435481.03</v>
      </c>
      <c r="C4220">
        <v>0</v>
      </c>
      <c r="D4220">
        <v>87.54</v>
      </c>
      <c r="E4220">
        <v>3.637</v>
      </c>
      <c r="F4220">
        <v>214.65135380000001</v>
      </c>
      <c r="G4220">
        <v>7.931</v>
      </c>
      <c r="N4220" s="8"/>
    </row>
    <row r="4221" spans="1:14" x14ac:dyDescent="0.25">
      <c r="A4221" s="8">
        <v>40718</v>
      </c>
      <c r="B4221">
        <v>422715.74</v>
      </c>
      <c r="C4221">
        <v>0</v>
      </c>
      <c r="D4221">
        <v>85.72</v>
      </c>
      <c r="E4221">
        <v>3.5939999999999999</v>
      </c>
      <c r="F4221">
        <v>214.74411079999999</v>
      </c>
      <c r="G4221">
        <v>7.931</v>
      </c>
      <c r="N4221" s="8"/>
    </row>
    <row r="4222" spans="1:14" x14ac:dyDescent="0.25">
      <c r="A4222" s="8">
        <v>40725</v>
      </c>
      <c r="B4222">
        <v>428782.38</v>
      </c>
      <c r="C4222">
        <v>0</v>
      </c>
      <c r="D4222">
        <v>87.57</v>
      </c>
      <c r="E4222">
        <v>3.524</v>
      </c>
      <c r="F4222">
        <v>214.83686779999999</v>
      </c>
      <c r="G4222">
        <v>7.8520000000000003</v>
      </c>
      <c r="N4222" s="8"/>
    </row>
    <row r="4223" spans="1:14" x14ac:dyDescent="0.25">
      <c r="A4223" s="8">
        <v>40732</v>
      </c>
      <c r="B4223">
        <v>419764.37</v>
      </c>
      <c r="C4223">
        <v>0</v>
      </c>
      <c r="D4223">
        <v>89.16</v>
      </c>
      <c r="E4223">
        <v>3.48</v>
      </c>
      <c r="F4223">
        <v>214.92962489999999</v>
      </c>
      <c r="G4223">
        <v>7.8520000000000003</v>
      </c>
      <c r="N4223" s="8"/>
    </row>
    <row r="4224" spans="1:14" x14ac:dyDescent="0.25">
      <c r="A4224" s="8">
        <v>40739</v>
      </c>
      <c r="B4224">
        <v>420515.63</v>
      </c>
      <c r="C4224">
        <v>0</v>
      </c>
      <c r="D4224">
        <v>91.05</v>
      </c>
      <c r="E4224">
        <v>3.5750000000000002</v>
      </c>
      <c r="F4224">
        <v>215.01344259999999</v>
      </c>
      <c r="G4224">
        <v>7.8520000000000003</v>
      </c>
      <c r="N4224" s="8"/>
    </row>
    <row r="4225" spans="1:14" x14ac:dyDescent="0.25">
      <c r="A4225" s="8">
        <v>40746</v>
      </c>
      <c r="B4225">
        <v>423441.76</v>
      </c>
      <c r="C4225">
        <v>0</v>
      </c>
      <c r="D4225">
        <v>90.27</v>
      </c>
      <c r="E4225">
        <v>3.6509999999999998</v>
      </c>
      <c r="F4225">
        <v>215.0749122</v>
      </c>
      <c r="G4225">
        <v>7.8520000000000003</v>
      </c>
      <c r="N4225" s="8"/>
    </row>
    <row r="4226" spans="1:14" x14ac:dyDescent="0.25">
      <c r="A4226" s="8">
        <v>40753</v>
      </c>
      <c r="B4226">
        <v>414245.96</v>
      </c>
      <c r="C4226">
        <v>0</v>
      </c>
      <c r="D4226">
        <v>91.56</v>
      </c>
      <c r="E4226">
        <v>3.6819999999999999</v>
      </c>
      <c r="F4226">
        <v>215.1363819</v>
      </c>
      <c r="G4226">
        <v>7.8520000000000003</v>
      </c>
      <c r="N4226" s="8"/>
    </row>
    <row r="4227" spans="1:14" x14ac:dyDescent="0.25">
      <c r="A4227" s="8">
        <v>40760</v>
      </c>
      <c r="B4227">
        <v>431798.64</v>
      </c>
      <c r="C4227">
        <v>0</v>
      </c>
      <c r="D4227">
        <v>94.22</v>
      </c>
      <c r="E4227">
        <v>3.6840000000000002</v>
      </c>
      <c r="F4227">
        <v>215.19785150000001</v>
      </c>
      <c r="G4227">
        <v>7.8520000000000003</v>
      </c>
      <c r="N4227" s="8"/>
    </row>
    <row r="4228" spans="1:14" x14ac:dyDescent="0.25">
      <c r="A4228" s="8">
        <v>40767</v>
      </c>
      <c r="B4228">
        <v>412224.67</v>
      </c>
      <c r="C4228">
        <v>0</v>
      </c>
      <c r="D4228">
        <v>92.32</v>
      </c>
      <c r="E4228">
        <v>3.6379999999999999</v>
      </c>
      <c r="F4228">
        <v>215.25932109999999</v>
      </c>
      <c r="G4228">
        <v>7.8520000000000003</v>
      </c>
      <c r="N4228" s="8"/>
    </row>
    <row r="4229" spans="1:14" x14ac:dyDescent="0.25">
      <c r="A4229" s="8">
        <v>40774</v>
      </c>
      <c r="B4229">
        <v>414450.61</v>
      </c>
      <c r="C4229">
        <v>0</v>
      </c>
      <c r="D4229">
        <v>90.11</v>
      </c>
      <c r="E4229">
        <v>3.5539999999999998</v>
      </c>
      <c r="F4229">
        <v>215.3229307</v>
      </c>
      <c r="G4229">
        <v>7.8520000000000003</v>
      </c>
      <c r="N4229" s="8"/>
    </row>
    <row r="4230" spans="1:14" x14ac:dyDescent="0.25">
      <c r="A4230" s="8">
        <v>40781</v>
      </c>
      <c r="B4230">
        <v>387944.83</v>
      </c>
      <c r="C4230">
        <v>0</v>
      </c>
      <c r="D4230">
        <v>92.07</v>
      </c>
      <c r="E4230">
        <v>3.5230000000000001</v>
      </c>
      <c r="F4230">
        <v>215.386897</v>
      </c>
      <c r="G4230">
        <v>7.8520000000000003</v>
      </c>
      <c r="N4230" s="8"/>
    </row>
    <row r="4231" spans="1:14" x14ac:dyDescent="0.25">
      <c r="A4231" s="8">
        <v>40788</v>
      </c>
      <c r="B4231">
        <v>369722.32</v>
      </c>
      <c r="C4231">
        <v>0</v>
      </c>
      <c r="D4231">
        <v>91.94</v>
      </c>
      <c r="E4231">
        <v>3.5329999999999999</v>
      </c>
      <c r="F4231">
        <v>215.45086319999999</v>
      </c>
      <c r="G4231">
        <v>7.8520000000000003</v>
      </c>
      <c r="N4231" s="8"/>
    </row>
    <row r="4232" spans="1:14" x14ac:dyDescent="0.25">
      <c r="A4232" s="8">
        <v>40795</v>
      </c>
      <c r="B4232">
        <v>370897.82</v>
      </c>
      <c r="C4232">
        <v>1</v>
      </c>
      <c r="D4232">
        <v>78.87</v>
      </c>
      <c r="E4232">
        <v>3.5459999999999998</v>
      </c>
      <c r="F4232">
        <v>215.51482949999999</v>
      </c>
      <c r="G4232">
        <v>7.8520000000000003</v>
      </c>
      <c r="N4232" s="8"/>
    </row>
    <row r="4233" spans="1:14" x14ac:dyDescent="0.25">
      <c r="A4233" s="8">
        <v>40802</v>
      </c>
      <c r="B4233">
        <v>382914.66</v>
      </c>
      <c r="C4233">
        <v>0</v>
      </c>
      <c r="D4233">
        <v>80.62</v>
      </c>
      <c r="E4233">
        <v>3.5259999999999998</v>
      </c>
      <c r="F4233">
        <v>215.6944378</v>
      </c>
      <c r="G4233">
        <v>7.8520000000000003</v>
      </c>
      <c r="N4233" s="8"/>
    </row>
    <row r="4234" spans="1:14" x14ac:dyDescent="0.25">
      <c r="A4234" s="8">
        <v>40809</v>
      </c>
      <c r="B4234">
        <v>391837.56</v>
      </c>
      <c r="C4234">
        <v>0</v>
      </c>
      <c r="D4234">
        <v>75.680000000000007</v>
      </c>
      <c r="E4234">
        <v>3.4670000000000001</v>
      </c>
      <c r="F4234">
        <v>216.02823559999999</v>
      </c>
      <c r="G4234">
        <v>7.8520000000000003</v>
      </c>
      <c r="N4234" s="8"/>
    </row>
    <row r="4235" spans="1:14" x14ac:dyDescent="0.25">
      <c r="A4235" s="8">
        <v>40816</v>
      </c>
      <c r="B4235">
        <v>387001.13</v>
      </c>
      <c r="C4235">
        <v>0</v>
      </c>
      <c r="D4235">
        <v>78.91</v>
      </c>
      <c r="E4235">
        <v>3.355</v>
      </c>
      <c r="F4235">
        <v>216.36203330000001</v>
      </c>
      <c r="G4235">
        <v>7.8520000000000003</v>
      </c>
      <c r="N4235" s="8"/>
    </row>
    <row r="4236" spans="1:14" x14ac:dyDescent="0.25">
      <c r="A4236" s="8">
        <v>40823</v>
      </c>
      <c r="B4236">
        <v>417528.26</v>
      </c>
      <c r="C4236">
        <v>0</v>
      </c>
      <c r="D4236">
        <v>71.64</v>
      </c>
      <c r="E4236">
        <v>3.2850000000000001</v>
      </c>
      <c r="F4236">
        <v>216.69583109999999</v>
      </c>
      <c r="G4236">
        <v>7.4409999999999998</v>
      </c>
      <c r="N4236" s="8"/>
    </row>
    <row r="4237" spans="1:14" x14ac:dyDescent="0.25">
      <c r="A4237" s="8">
        <v>40830</v>
      </c>
      <c r="B4237">
        <v>410711.99</v>
      </c>
      <c r="C4237">
        <v>0</v>
      </c>
      <c r="D4237">
        <v>69.790000000000006</v>
      </c>
      <c r="E4237">
        <v>3.274</v>
      </c>
      <c r="F4237">
        <v>217.0048261</v>
      </c>
      <c r="G4237">
        <v>7.4409999999999998</v>
      </c>
      <c r="N4237" s="8"/>
    </row>
    <row r="4238" spans="1:14" x14ac:dyDescent="0.25">
      <c r="A4238" s="8">
        <v>40837</v>
      </c>
      <c r="B4238">
        <v>428958.53</v>
      </c>
      <c r="C4238">
        <v>0</v>
      </c>
      <c r="D4238">
        <v>65.16</v>
      </c>
      <c r="E4238">
        <v>3.3530000000000002</v>
      </c>
      <c r="F4238">
        <v>217.1650042</v>
      </c>
      <c r="G4238">
        <v>7.4409999999999998</v>
      </c>
      <c r="N4238" s="8"/>
    </row>
    <row r="4239" spans="1:14" x14ac:dyDescent="0.25">
      <c r="A4239" s="8">
        <v>40844</v>
      </c>
      <c r="B4239">
        <v>426151.88</v>
      </c>
      <c r="C4239">
        <v>0</v>
      </c>
      <c r="D4239">
        <v>65.459999999999994</v>
      </c>
      <c r="E4239">
        <v>3.3719999999999999</v>
      </c>
      <c r="F4239">
        <v>217.32518239999999</v>
      </c>
      <c r="G4239">
        <v>7.4409999999999998</v>
      </c>
      <c r="N4239" s="8"/>
    </row>
    <row r="4240" spans="1:14" x14ac:dyDescent="0.25">
      <c r="A4240" s="8">
        <v>40851</v>
      </c>
      <c r="B4240">
        <v>432359.04</v>
      </c>
      <c r="C4240">
        <v>0</v>
      </c>
      <c r="D4240">
        <v>56.01</v>
      </c>
      <c r="E4240">
        <v>3.3319999999999999</v>
      </c>
      <c r="F4240">
        <v>217.48536050000001</v>
      </c>
      <c r="G4240">
        <v>7.4409999999999998</v>
      </c>
      <c r="N4240" s="8"/>
    </row>
    <row r="4241" spans="1:14" x14ac:dyDescent="0.25">
      <c r="A4241" s="8">
        <v>40858</v>
      </c>
      <c r="B4241">
        <v>409686.63</v>
      </c>
      <c r="C4241">
        <v>0</v>
      </c>
      <c r="D4241">
        <v>59.8</v>
      </c>
      <c r="E4241">
        <v>3.2970000000000002</v>
      </c>
      <c r="F4241">
        <v>217.6455387</v>
      </c>
      <c r="G4241">
        <v>7.4409999999999998</v>
      </c>
      <c r="N4241" s="8"/>
    </row>
    <row r="4242" spans="1:14" x14ac:dyDescent="0.25">
      <c r="A4242" s="8">
        <v>40865</v>
      </c>
      <c r="B4242">
        <v>436462.63</v>
      </c>
      <c r="C4242">
        <v>0</v>
      </c>
      <c r="D4242">
        <v>61.9</v>
      </c>
      <c r="E4242">
        <v>3.3079999999999998</v>
      </c>
      <c r="F4242">
        <v>217.8670218</v>
      </c>
      <c r="G4242">
        <v>7.4409999999999998</v>
      </c>
      <c r="N4242" s="8"/>
    </row>
    <row r="4243" spans="1:14" x14ac:dyDescent="0.25">
      <c r="A4243" s="8">
        <v>40872</v>
      </c>
      <c r="B4243">
        <v>452163.93</v>
      </c>
      <c r="C4243">
        <v>1</v>
      </c>
      <c r="D4243">
        <v>56.43</v>
      </c>
      <c r="E4243">
        <v>3.2360000000000002</v>
      </c>
      <c r="F4243">
        <v>218.11302689999999</v>
      </c>
      <c r="G4243">
        <v>7.4409999999999998</v>
      </c>
      <c r="N4243" s="8"/>
    </row>
    <row r="4244" spans="1:14" x14ac:dyDescent="0.25">
      <c r="A4244" s="8">
        <v>40879</v>
      </c>
      <c r="B4244">
        <v>412385.75</v>
      </c>
      <c r="C4244">
        <v>0</v>
      </c>
      <c r="D4244">
        <v>48.72</v>
      </c>
      <c r="E4244">
        <v>3.1720000000000002</v>
      </c>
      <c r="F4244">
        <v>218.35903189999999</v>
      </c>
      <c r="G4244">
        <v>7.4409999999999998</v>
      </c>
      <c r="N4244" s="8"/>
    </row>
    <row r="4245" spans="1:14" x14ac:dyDescent="0.25">
      <c r="A4245" s="8">
        <v>40886</v>
      </c>
      <c r="B4245">
        <v>436741.02</v>
      </c>
      <c r="C4245">
        <v>0</v>
      </c>
      <c r="D4245">
        <v>41.44</v>
      </c>
      <c r="E4245">
        <v>3.1579999999999999</v>
      </c>
      <c r="F4245">
        <v>218.60503700000001</v>
      </c>
      <c r="G4245">
        <v>7.4409999999999998</v>
      </c>
      <c r="N4245" s="8"/>
    </row>
    <row r="4246" spans="1:14" x14ac:dyDescent="0.25">
      <c r="A4246" s="8">
        <v>40893</v>
      </c>
      <c r="B4246">
        <v>441265.08</v>
      </c>
      <c r="C4246">
        <v>0</v>
      </c>
      <c r="D4246">
        <v>50.56</v>
      </c>
      <c r="E4246">
        <v>3.1589999999999998</v>
      </c>
      <c r="F4246">
        <v>218.8217928</v>
      </c>
      <c r="G4246">
        <v>7.4409999999999998</v>
      </c>
      <c r="N4246" s="8"/>
    </row>
    <row r="4247" spans="1:14" x14ac:dyDescent="0.25">
      <c r="A4247" s="8">
        <v>40900</v>
      </c>
      <c r="B4247">
        <v>492022.68</v>
      </c>
      <c r="C4247">
        <v>0</v>
      </c>
      <c r="D4247">
        <v>46.54</v>
      </c>
      <c r="E4247">
        <v>3.1120000000000001</v>
      </c>
      <c r="F4247">
        <v>218.9995495</v>
      </c>
      <c r="G4247">
        <v>7.4409999999999998</v>
      </c>
      <c r="N4247" s="8"/>
    </row>
    <row r="4248" spans="1:14" x14ac:dyDescent="0.25">
      <c r="A4248" s="8">
        <v>40907</v>
      </c>
      <c r="B4248">
        <v>376777.45</v>
      </c>
      <c r="C4248">
        <v>1</v>
      </c>
      <c r="D4248">
        <v>45.16</v>
      </c>
      <c r="E4248">
        <v>3.129</v>
      </c>
      <c r="F4248">
        <v>219.1773063</v>
      </c>
      <c r="G4248">
        <v>7.4409999999999998</v>
      </c>
      <c r="N4248" s="8"/>
    </row>
    <row r="4249" spans="1:14" x14ac:dyDescent="0.25">
      <c r="A4249" s="8">
        <v>40914</v>
      </c>
      <c r="B4249">
        <v>457030.86</v>
      </c>
      <c r="C4249">
        <v>0</v>
      </c>
      <c r="D4249">
        <v>48.1</v>
      </c>
      <c r="E4249">
        <v>3.157</v>
      </c>
      <c r="F4249">
        <v>219.355063</v>
      </c>
      <c r="G4249">
        <v>7.0570000000000004</v>
      </c>
      <c r="N4249" s="8"/>
    </row>
    <row r="4250" spans="1:14" x14ac:dyDescent="0.25">
      <c r="A4250" s="8">
        <v>40921</v>
      </c>
      <c r="B4250">
        <v>447023.91</v>
      </c>
      <c r="C4250">
        <v>0</v>
      </c>
      <c r="D4250">
        <v>45</v>
      </c>
      <c r="E4250">
        <v>3.2610000000000001</v>
      </c>
      <c r="F4250">
        <v>219.5328198</v>
      </c>
      <c r="G4250">
        <v>7.0570000000000004</v>
      </c>
      <c r="N4250" s="8"/>
    </row>
    <row r="4251" spans="1:14" x14ac:dyDescent="0.25">
      <c r="A4251" s="8">
        <v>40928</v>
      </c>
      <c r="B4251">
        <v>438760.62</v>
      </c>
      <c r="C4251">
        <v>0</v>
      </c>
      <c r="D4251">
        <v>52.21</v>
      </c>
      <c r="E4251">
        <v>3.2679999999999998</v>
      </c>
      <c r="F4251">
        <v>219.6258417</v>
      </c>
      <c r="G4251">
        <v>7.0570000000000004</v>
      </c>
      <c r="N4251" s="8"/>
    </row>
    <row r="4252" spans="1:14" x14ac:dyDescent="0.25">
      <c r="A4252" s="8">
        <v>40935</v>
      </c>
      <c r="B4252">
        <v>433037.66</v>
      </c>
      <c r="C4252">
        <v>0</v>
      </c>
      <c r="D4252">
        <v>50.79</v>
      </c>
      <c r="E4252">
        <v>3.29</v>
      </c>
      <c r="F4252">
        <v>219.71886359999999</v>
      </c>
      <c r="G4252">
        <v>7.0570000000000004</v>
      </c>
      <c r="N4252" s="8"/>
    </row>
    <row r="4253" spans="1:14" x14ac:dyDescent="0.25">
      <c r="A4253" s="8">
        <v>40942</v>
      </c>
      <c r="B4253">
        <v>434080.74</v>
      </c>
      <c r="C4253">
        <v>0</v>
      </c>
      <c r="D4253">
        <v>55.83</v>
      </c>
      <c r="E4253">
        <v>3.36</v>
      </c>
      <c r="F4253">
        <v>219.81188539999999</v>
      </c>
      <c r="G4253">
        <v>7.0570000000000004</v>
      </c>
      <c r="N4253" s="8"/>
    </row>
    <row r="4254" spans="1:14" x14ac:dyDescent="0.25">
      <c r="A4254" s="8">
        <v>40949</v>
      </c>
      <c r="B4254">
        <v>451365.99</v>
      </c>
      <c r="C4254">
        <v>1</v>
      </c>
      <c r="D4254">
        <v>46.52</v>
      </c>
      <c r="E4254">
        <v>3.4089999999999998</v>
      </c>
      <c r="F4254">
        <v>219.90490729999999</v>
      </c>
      <c r="G4254">
        <v>7.0570000000000004</v>
      </c>
      <c r="N4254" s="8"/>
    </row>
    <row r="4255" spans="1:14" x14ac:dyDescent="0.25">
      <c r="A4255" s="8">
        <v>40956</v>
      </c>
      <c r="B4255">
        <v>435109.11</v>
      </c>
      <c r="C4255">
        <v>0</v>
      </c>
      <c r="D4255">
        <v>45.03</v>
      </c>
      <c r="E4255">
        <v>3.51</v>
      </c>
      <c r="F4255">
        <v>220.06519929999999</v>
      </c>
      <c r="G4255">
        <v>7.0570000000000004</v>
      </c>
      <c r="N4255" s="8"/>
    </row>
    <row r="4256" spans="1:14" x14ac:dyDescent="0.25">
      <c r="A4256" s="8">
        <v>40963</v>
      </c>
      <c r="B4256">
        <v>425215.71</v>
      </c>
      <c r="C4256">
        <v>0</v>
      </c>
      <c r="D4256">
        <v>54.81</v>
      </c>
      <c r="E4256">
        <v>3.5550000000000002</v>
      </c>
      <c r="F4256">
        <v>220.27594400000001</v>
      </c>
      <c r="G4256">
        <v>7.0570000000000004</v>
      </c>
      <c r="N4256" s="8"/>
    </row>
    <row r="4257" spans="1:14" x14ac:dyDescent="0.25">
      <c r="A4257" s="8">
        <v>40970</v>
      </c>
      <c r="B4257">
        <v>438640.61</v>
      </c>
      <c r="C4257">
        <v>0</v>
      </c>
      <c r="D4257">
        <v>59.3</v>
      </c>
      <c r="E4257">
        <v>3.63</v>
      </c>
      <c r="F4257">
        <v>220.48668860000001</v>
      </c>
      <c r="G4257">
        <v>7.0570000000000004</v>
      </c>
      <c r="N4257" s="8"/>
    </row>
    <row r="4258" spans="1:14" x14ac:dyDescent="0.25">
      <c r="A4258" s="8">
        <v>40977</v>
      </c>
      <c r="B4258">
        <v>446617.89</v>
      </c>
      <c r="C4258">
        <v>0</v>
      </c>
      <c r="D4258">
        <v>57.16</v>
      </c>
      <c r="E4258">
        <v>3.669</v>
      </c>
      <c r="F4258">
        <v>220.69743320000001</v>
      </c>
      <c r="G4258">
        <v>7.0570000000000004</v>
      </c>
      <c r="N4258" s="8"/>
    </row>
    <row r="4259" spans="1:14" x14ac:dyDescent="0.25">
      <c r="A4259" s="8">
        <v>40984</v>
      </c>
      <c r="B4259">
        <v>413617.45</v>
      </c>
      <c r="C4259">
        <v>0</v>
      </c>
      <c r="D4259">
        <v>63.39</v>
      </c>
      <c r="E4259">
        <v>3.734</v>
      </c>
      <c r="F4259">
        <v>220.84984679999999</v>
      </c>
      <c r="G4259">
        <v>7.0570000000000004</v>
      </c>
      <c r="N4259" s="8"/>
    </row>
    <row r="4260" spans="1:14" x14ac:dyDescent="0.25">
      <c r="A4260" s="8">
        <v>40991</v>
      </c>
      <c r="B4260">
        <v>430222.97</v>
      </c>
      <c r="C4260">
        <v>0</v>
      </c>
      <c r="D4260">
        <v>62.96</v>
      </c>
      <c r="E4260">
        <v>3.7869999999999999</v>
      </c>
      <c r="F4260">
        <v>220.92448580000001</v>
      </c>
      <c r="G4260">
        <v>7.0570000000000004</v>
      </c>
      <c r="N4260" s="8"/>
    </row>
    <row r="4261" spans="1:14" x14ac:dyDescent="0.25">
      <c r="A4261" s="8">
        <v>40998</v>
      </c>
      <c r="B4261">
        <v>449603.91</v>
      </c>
      <c r="C4261">
        <v>0</v>
      </c>
      <c r="D4261">
        <v>67.87</v>
      </c>
      <c r="E4261">
        <v>3.8450000000000002</v>
      </c>
      <c r="F4261">
        <v>220.9991248</v>
      </c>
      <c r="G4261">
        <v>7.0570000000000004</v>
      </c>
      <c r="N4261" s="8"/>
    </row>
    <row r="4262" spans="1:14" x14ac:dyDescent="0.25">
      <c r="A4262" s="8">
        <v>41005</v>
      </c>
      <c r="B4262">
        <v>461511.92</v>
      </c>
      <c r="C4262">
        <v>0</v>
      </c>
      <c r="D4262">
        <v>69.02</v>
      </c>
      <c r="E4262">
        <v>3.891</v>
      </c>
      <c r="F4262">
        <v>221.07376379999999</v>
      </c>
      <c r="G4262">
        <v>6.891</v>
      </c>
      <c r="N4262" s="8"/>
    </row>
    <row r="4263" spans="1:14" x14ac:dyDescent="0.25">
      <c r="A4263" s="8">
        <v>41012</v>
      </c>
      <c r="B4263">
        <v>428784.7</v>
      </c>
      <c r="C4263">
        <v>0</v>
      </c>
      <c r="D4263">
        <v>69.03</v>
      </c>
      <c r="E4263">
        <v>3.891</v>
      </c>
      <c r="F4263">
        <v>221.14840280000001</v>
      </c>
      <c r="G4263">
        <v>6.891</v>
      </c>
      <c r="N4263" s="8"/>
    </row>
    <row r="4264" spans="1:14" x14ac:dyDescent="0.25">
      <c r="A4264" s="8">
        <v>41019</v>
      </c>
      <c r="B4264">
        <v>462909.41</v>
      </c>
      <c r="C4264">
        <v>0</v>
      </c>
      <c r="D4264">
        <v>66.97</v>
      </c>
      <c r="E4264">
        <v>3.8769999999999998</v>
      </c>
      <c r="F4264">
        <v>221.20210739999999</v>
      </c>
      <c r="G4264">
        <v>6.891</v>
      </c>
      <c r="N4264" s="8"/>
    </row>
    <row r="4265" spans="1:14" x14ac:dyDescent="0.25">
      <c r="A4265" s="8">
        <v>41026</v>
      </c>
      <c r="B4265">
        <v>433744.83</v>
      </c>
      <c r="C4265">
        <v>0</v>
      </c>
      <c r="D4265">
        <v>69.209999999999994</v>
      </c>
      <c r="E4265">
        <v>3.8140000000000001</v>
      </c>
      <c r="F4265">
        <v>221.25581199999999</v>
      </c>
      <c r="G4265">
        <v>6.891</v>
      </c>
      <c r="N4265" s="8"/>
    </row>
    <row r="4266" spans="1:14" x14ac:dyDescent="0.25">
      <c r="A4266" s="8">
        <v>41033</v>
      </c>
      <c r="B4266">
        <v>454477.54</v>
      </c>
      <c r="C4266">
        <v>0</v>
      </c>
      <c r="D4266">
        <v>77.53</v>
      </c>
      <c r="E4266">
        <v>3.7490000000000001</v>
      </c>
      <c r="F4266">
        <v>221.30951659999999</v>
      </c>
      <c r="G4266">
        <v>6.891</v>
      </c>
      <c r="N4266" s="8"/>
    </row>
    <row r="4267" spans="1:14" x14ac:dyDescent="0.25">
      <c r="A4267" s="8">
        <v>41040</v>
      </c>
      <c r="B4267">
        <v>436070.45</v>
      </c>
      <c r="C4267">
        <v>0</v>
      </c>
      <c r="D4267">
        <v>74.14</v>
      </c>
      <c r="E4267">
        <v>3.6880000000000002</v>
      </c>
      <c r="F4267">
        <v>221.3632212</v>
      </c>
      <c r="G4267">
        <v>6.891</v>
      </c>
      <c r="N4267" s="8"/>
    </row>
    <row r="4268" spans="1:14" x14ac:dyDescent="0.25">
      <c r="A4268" s="8">
        <v>41047</v>
      </c>
      <c r="B4268">
        <v>460945.14</v>
      </c>
      <c r="C4268">
        <v>0</v>
      </c>
      <c r="D4268">
        <v>72.42</v>
      </c>
      <c r="E4268">
        <v>3.63</v>
      </c>
      <c r="F4268">
        <v>221.38033100000001</v>
      </c>
      <c r="G4268">
        <v>6.891</v>
      </c>
      <c r="N4268" s="8"/>
    </row>
    <row r="4269" spans="1:14" x14ac:dyDescent="0.25">
      <c r="A4269" s="8">
        <v>41054</v>
      </c>
      <c r="B4269">
        <v>449355.91</v>
      </c>
      <c r="C4269">
        <v>0</v>
      </c>
      <c r="D4269">
        <v>79.489999999999995</v>
      </c>
      <c r="E4269">
        <v>3.5609999999999999</v>
      </c>
      <c r="F4269">
        <v>221.3828029</v>
      </c>
      <c r="G4269">
        <v>6.891</v>
      </c>
      <c r="N4269" s="8"/>
    </row>
    <row r="4270" spans="1:14" x14ac:dyDescent="0.25">
      <c r="A4270" s="8">
        <v>41061</v>
      </c>
      <c r="B4270">
        <v>427021.18</v>
      </c>
      <c r="C4270">
        <v>0</v>
      </c>
      <c r="D4270">
        <v>79.239999999999995</v>
      </c>
      <c r="E4270">
        <v>3.5009999999999999</v>
      </c>
      <c r="F4270">
        <v>221.38527479999999</v>
      </c>
      <c r="G4270">
        <v>6.891</v>
      </c>
      <c r="N4270" s="8"/>
    </row>
    <row r="4271" spans="1:14" x14ac:dyDescent="0.25">
      <c r="A4271" s="8">
        <v>41068</v>
      </c>
      <c r="B4271">
        <v>437222.94</v>
      </c>
      <c r="C4271">
        <v>0</v>
      </c>
      <c r="D4271">
        <v>79.47</v>
      </c>
      <c r="E4271">
        <v>3.452</v>
      </c>
      <c r="F4271">
        <v>221.38774670000001</v>
      </c>
      <c r="G4271">
        <v>6.891</v>
      </c>
      <c r="N4271" s="8"/>
    </row>
    <row r="4272" spans="1:14" x14ac:dyDescent="0.25">
      <c r="A4272" s="8">
        <v>41075</v>
      </c>
      <c r="B4272">
        <v>438523.24</v>
      </c>
      <c r="C4272">
        <v>0</v>
      </c>
      <c r="D4272">
        <v>81.510000000000005</v>
      </c>
      <c r="E4272">
        <v>3.3929999999999998</v>
      </c>
      <c r="F4272">
        <v>221.4009901</v>
      </c>
      <c r="G4272">
        <v>6.891</v>
      </c>
      <c r="N4272" s="8"/>
    </row>
    <row r="4273" spans="1:14" x14ac:dyDescent="0.25">
      <c r="A4273" s="8">
        <v>41082</v>
      </c>
      <c r="B4273">
        <v>428554.63</v>
      </c>
      <c r="C4273">
        <v>0</v>
      </c>
      <c r="D4273">
        <v>81.78</v>
      </c>
      <c r="E4273">
        <v>3.3460000000000001</v>
      </c>
      <c r="F4273">
        <v>221.44116220000001</v>
      </c>
      <c r="G4273">
        <v>6.891</v>
      </c>
      <c r="N4273" s="8"/>
    </row>
    <row r="4274" spans="1:14" x14ac:dyDescent="0.25">
      <c r="A4274" s="8">
        <v>41089</v>
      </c>
      <c r="B4274">
        <v>423192.4</v>
      </c>
      <c r="C4274">
        <v>0</v>
      </c>
      <c r="D4274">
        <v>88.05</v>
      </c>
      <c r="E4274">
        <v>3.286</v>
      </c>
      <c r="F4274">
        <v>221.48133429999999</v>
      </c>
      <c r="G4274">
        <v>6.891</v>
      </c>
      <c r="N4274" s="8"/>
    </row>
    <row r="4275" spans="1:14" x14ac:dyDescent="0.25">
      <c r="A4275" s="8">
        <v>41096</v>
      </c>
      <c r="B4275">
        <v>440553.42</v>
      </c>
      <c r="C4275">
        <v>0</v>
      </c>
      <c r="D4275">
        <v>85.26</v>
      </c>
      <c r="E4275">
        <v>3.2269999999999999</v>
      </c>
      <c r="F4275">
        <v>221.52150639999999</v>
      </c>
      <c r="G4275">
        <v>6.5650000000000004</v>
      </c>
      <c r="N4275" s="8"/>
    </row>
    <row r="4276" spans="1:14" x14ac:dyDescent="0.25">
      <c r="A4276" s="8">
        <v>41103</v>
      </c>
      <c r="B4276">
        <v>417640.34</v>
      </c>
      <c r="C4276">
        <v>0</v>
      </c>
      <c r="D4276">
        <v>82.51</v>
      </c>
      <c r="E4276">
        <v>3.2559999999999998</v>
      </c>
      <c r="F4276">
        <v>221.56167840000001</v>
      </c>
      <c r="G4276">
        <v>6.5650000000000004</v>
      </c>
      <c r="N4276" s="8"/>
    </row>
    <row r="4277" spans="1:14" x14ac:dyDescent="0.25">
      <c r="A4277" s="8">
        <v>41110</v>
      </c>
      <c r="B4277">
        <v>427491.04</v>
      </c>
      <c r="C4277">
        <v>0</v>
      </c>
      <c r="D4277">
        <v>84.25</v>
      </c>
      <c r="E4277">
        <v>3.3109999999999999</v>
      </c>
      <c r="F4277">
        <v>221.57011230000001</v>
      </c>
      <c r="G4277">
        <v>6.5650000000000004</v>
      </c>
      <c r="N4277" s="8"/>
    </row>
    <row r="4278" spans="1:14" x14ac:dyDescent="0.25">
      <c r="A4278" s="8">
        <v>41117</v>
      </c>
      <c r="B4278">
        <v>424581.17</v>
      </c>
      <c r="C4278">
        <v>0</v>
      </c>
      <c r="D4278">
        <v>88.09</v>
      </c>
      <c r="E4278">
        <v>3.407</v>
      </c>
      <c r="F4278">
        <v>221.57854610000001</v>
      </c>
      <c r="G4278">
        <v>6.5650000000000004</v>
      </c>
      <c r="N4278" s="8"/>
    </row>
    <row r="4279" spans="1:14" x14ac:dyDescent="0.25">
      <c r="A4279" s="8">
        <v>41124</v>
      </c>
      <c r="B4279">
        <v>425136.55</v>
      </c>
      <c r="C4279">
        <v>0</v>
      </c>
      <c r="D4279">
        <v>91.57</v>
      </c>
      <c r="E4279">
        <v>3.4169999999999998</v>
      </c>
      <c r="F4279">
        <v>221.58697989999999</v>
      </c>
      <c r="G4279">
        <v>6.5650000000000004</v>
      </c>
      <c r="N4279" s="8"/>
    </row>
    <row r="4280" spans="1:14" x14ac:dyDescent="0.25">
      <c r="A4280" s="8">
        <v>41131</v>
      </c>
      <c r="B4280">
        <v>430878.28</v>
      </c>
      <c r="C4280">
        <v>0</v>
      </c>
      <c r="D4280">
        <v>89.57</v>
      </c>
      <c r="E4280">
        <v>3.4940000000000002</v>
      </c>
      <c r="F4280">
        <v>221.59541379999999</v>
      </c>
      <c r="G4280">
        <v>6.5650000000000004</v>
      </c>
      <c r="N4280" s="8"/>
    </row>
    <row r="4281" spans="1:14" x14ac:dyDescent="0.25">
      <c r="A4281" s="8">
        <v>41138</v>
      </c>
      <c r="B4281">
        <v>423351.15</v>
      </c>
      <c r="C4281">
        <v>0</v>
      </c>
      <c r="D4281">
        <v>85.55</v>
      </c>
      <c r="E4281">
        <v>3.5710000000000002</v>
      </c>
      <c r="F4281">
        <v>221.67514589999999</v>
      </c>
      <c r="G4281">
        <v>6.5650000000000004</v>
      </c>
      <c r="N4281" s="8"/>
    </row>
    <row r="4282" spans="1:14" x14ac:dyDescent="0.25">
      <c r="A4282" s="8">
        <v>41145</v>
      </c>
      <c r="B4282">
        <v>425296.65</v>
      </c>
      <c r="C4282">
        <v>0</v>
      </c>
      <c r="D4282">
        <v>77.72</v>
      </c>
      <c r="E4282">
        <v>3.62</v>
      </c>
      <c r="F4282">
        <v>221.8083518</v>
      </c>
      <c r="G4282">
        <v>6.5650000000000004</v>
      </c>
      <c r="N4282" s="8"/>
    </row>
    <row r="4283" spans="1:14" x14ac:dyDescent="0.25">
      <c r="A4283" s="8">
        <v>41152</v>
      </c>
      <c r="B4283">
        <v>439132.5</v>
      </c>
      <c r="C4283">
        <v>0</v>
      </c>
      <c r="D4283">
        <v>83.58</v>
      </c>
      <c r="E4283">
        <v>3.6379999999999999</v>
      </c>
      <c r="F4283">
        <v>221.94155760000001</v>
      </c>
      <c r="G4283">
        <v>6.5650000000000004</v>
      </c>
      <c r="N4283" s="8"/>
    </row>
    <row r="4284" spans="1:14" x14ac:dyDescent="0.25">
      <c r="A4284" s="8">
        <v>41159</v>
      </c>
      <c r="B4284">
        <v>433565.77</v>
      </c>
      <c r="C4284">
        <v>1</v>
      </c>
      <c r="D4284">
        <v>88.4</v>
      </c>
      <c r="E4284">
        <v>3.73</v>
      </c>
      <c r="F4284">
        <v>222.07476349999999</v>
      </c>
      <c r="G4284">
        <v>6.5650000000000004</v>
      </c>
      <c r="N4284" s="8"/>
    </row>
    <row r="4285" spans="1:14" x14ac:dyDescent="0.25">
      <c r="A4285" s="8">
        <v>41166</v>
      </c>
      <c r="B4285">
        <v>437773.31</v>
      </c>
      <c r="C4285">
        <v>0</v>
      </c>
      <c r="D4285">
        <v>76.099999999999994</v>
      </c>
      <c r="E4285">
        <v>3.7170000000000001</v>
      </c>
      <c r="F4285">
        <v>222.21743950000001</v>
      </c>
      <c r="G4285">
        <v>6.5650000000000004</v>
      </c>
      <c r="N4285" s="8"/>
    </row>
    <row r="4286" spans="1:14" x14ac:dyDescent="0.25">
      <c r="A4286" s="8">
        <v>41173</v>
      </c>
      <c r="B4286">
        <v>443891.64</v>
      </c>
      <c r="C4286">
        <v>0</v>
      </c>
      <c r="D4286">
        <v>71.540000000000006</v>
      </c>
      <c r="E4286">
        <v>3.7210000000000001</v>
      </c>
      <c r="F4286">
        <v>222.41693620000001</v>
      </c>
      <c r="G4286">
        <v>6.5650000000000004</v>
      </c>
      <c r="N4286" s="8"/>
    </row>
    <row r="4287" spans="1:14" x14ac:dyDescent="0.25">
      <c r="A4287" s="8">
        <v>41180</v>
      </c>
      <c r="B4287">
        <v>425410.04</v>
      </c>
      <c r="C4287">
        <v>0</v>
      </c>
      <c r="D4287">
        <v>80.38</v>
      </c>
      <c r="E4287">
        <v>3.6659999999999999</v>
      </c>
      <c r="F4287">
        <v>222.61643290000001</v>
      </c>
      <c r="G4287">
        <v>6.5650000000000004</v>
      </c>
      <c r="N4287" s="8"/>
    </row>
    <row r="4288" spans="1:14" x14ac:dyDescent="0.25">
      <c r="A4288" s="8">
        <v>41187</v>
      </c>
      <c r="B4288">
        <v>446751.45</v>
      </c>
      <c r="C4288">
        <v>0</v>
      </c>
      <c r="D4288">
        <v>70.28</v>
      </c>
      <c r="E4288">
        <v>3.617</v>
      </c>
      <c r="F4288">
        <v>222.8159296</v>
      </c>
      <c r="G4288">
        <v>6.17</v>
      </c>
      <c r="N4288" s="8"/>
    </row>
    <row r="4289" spans="1:14" x14ac:dyDescent="0.25">
      <c r="A4289" s="8">
        <v>41194</v>
      </c>
      <c r="B4289">
        <v>434593.26</v>
      </c>
      <c r="C4289">
        <v>0</v>
      </c>
      <c r="D4289">
        <v>61.53</v>
      </c>
      <c r="E4289">
        <v>3.601</v>
      </c>
      <c r="F4289">
        <v>223.0154263</v>
      </c>
      <c r="G4289">
        <v>6.17</v>
      </c>
      <c r="N4289" s="8"/>
    </row>
    <row r="4290" spans="1:14" x14ac:dyDescent="0.25">
      <c r="A4290" s="8">
        <v>41201</v>
      </c>
      <c r="B4290">
        <v>437537.29</v>
      </c>
      <c r="C4290">
        <v>0</v>
      </c>
      <c r="D4290">
        <v>68.52</v>
      </c>
      <c r="E4290">
        <v>3.5939999999999999</v>
      </c>
      <c r="F4290">
        <v>223.05980769999999</v>
      </c>
      <c r="G4290">
        <v>6.17</v>
      </c>
      <c r="N4290" s="8"/>
    </row>
    <row r="4291" spans="1:14" x14ac:dyDescent="0.25">
      <c r="A4291" s="8">
        <v>41208</v>
      </c>
      <c r="B4291">
        <v>439424.5</v>
      </c>
      <c r="C4291">
        <v>0</v>
      </c>
      <c r="D4291">
        <v>70.5</v>
      </c>
      <c r="E4291">
        <v>3.5059999999999998</v>
      </c>
      <c r="F4291">
        <v>223.0783366</v>
      </c>
      <c r="G4291">
        <v>6.17</v>
      </c>
      <c r="N4291" s="8"/>
    </row>
    <row r="4292" spans="1:14" x14ac:dyDescent="0.25">
      <c r="A4292" s="8">
        <v>40214</v>
      </c>
      <c r="B4292">
        <v>1469252.05</v>
      </c>
      <c r="C4292">
        <v>0</v>
      </c>
      <c r="D4292">
        <v>39.049999999999997</v>
      </c>
      <c r="E4292">
        <v>2.5720000000000001</v>
      </c>
      <c r="F4292">
        <v>210.7526053</v>
      </c>
      <c r="G4292">
        <v>8.3239999999999998</v>
      </c>
      <c r="N4292" s="8"/>
    </row>
    <row r="4293" spans="1:14" x14ac:dyDescent="0.25">
      <c r="A4293" s="8">
        <v>40221</v>
      </c>
      <c r="B4293">
        <v>1543947.23</v>
      </c>
      <c r="C4293">
        <v>1</v>
      </c>
      <c r="D4293">
        <v>37.770000000000003</v>
      </c>
      <c r="E4293">
        <v>2.548</v>
      </c>
      <c r="F4293">
        <v>210.89799350000001</v>
      </c>
      <c r="G4293">
        <v>8.3239999999999998</v>
      </c>
      <c r="N4293" s="8"/>
    </row>
    <row r="4294" spans="1:14" x14ac:dyDescent="0.25">
      <c r="A4294" s="8">
        <v>40228</v>
      </c>
      <c r="B4294">
        <v>1473386.75</v>
      </c>
      <c r="C4294">
        <v>0</v>
      </c>
      <c r="D4294">
        <v>39.75</v>
      </c>
      <c r="E4294">
        <v>2.5139999999999998</v>
      </c>
      <c r="F4294">
        <v>210.94516049999999</v>
      </c>
      <c r="G4294">
        <v>8.3239999999999998</v>
      </c>
      <c r="N4294" s="8"/>
    </row>
    <row r="4295" spans="1:14" x14ac:dyDescent="0.25">
      <c r="A4295" s="8">
        <v>40235</v>
      </c>
      <c r="B4295">
        <v>1344354.41</v>
      </c>
      <c r="C4295">
        <v>0</v>
      </c>
      <c r="D4295">
        <v>45.31</v>
      </c>
      <c r="E4295">
        <v>2.5609999999999999</v>
      </c>
      <c r="F4295">
        <v>210.9759573</v>
      </c>
      <c r="G4295">
        <v>8.3239999999999998</v>
      </c>
      <c r="N4295" s="8"/>
    </row>
    <row r="4296" spans="1:14" x14ac:dyDescent="0.25">
      <c r="A4296" s="8">
        <v>40242</v>
      </c>
      <c r="B4296">
        <v>1384870.51</v>
      </c>
      <c r="C4296">
        <v>0</v>
      </c>
      <c r="D4296">
        <v>48.61</v>
      </c>
      <c r="E4296">
        <v>2.625</v>
      </c>
      <c r="F4296">
        <v>211.00675419999999</v>
      </c>
      <c r="G4296">
        <v>8.3239999999999998</v>
      </c>
      <c r="N4296" s="8"/>
    </row>
    <row r="4297" spans="1:14" x14ac:dyDescent="0.25">
      <c r="A4297" s="8">
        <v>40249</v>
      </c>
      <c r="B4297">
        <v>1366193.35</v>
      </c>
      <c r="C4297">
        <v>0</v>
      </c>
      <c r="D4297">
        <v>57.1</v>
      </c>
      <c r="E4297">
        <v>2.6669999999999998</v>
      </c>
      <c r="F4297">
        <v>211.03755100000001</v>
      </c>
      <c r="G4297">
        <v>8.3239999999999998</v>
      </c>
      <c r="N4297" s="8"/>
    </row>
    <row r="4298" spans="1:14" x14ac:dyDescent="0.25">
      <c r="A4298" s="8">
        <v>40256</v>
      </c>
      <c r="B4298">
        <v>1332261.01</v>
      </c>
      <c r="C4298">
        <v>0</v>
      </c>
      <c r="D4298">
        <v>54.68</v>
      </c>
      <c r="E4298">
        <v>2.72</v>
      </c>
      <c r="F4298">
        <v>210.8733316</v>
      </c>
      <c r="G4298">
        <v>8.3239999999999998</v>
      </c>
      <c r="N4298" s="8"/>
    </row>
    <row r="4299" spans="1:14" x14ac:dyDescent="0.25">
      <c r="A4299" s="8">
        <v>40263</v>
      </c>
      <c r="B4299">
        <v>1229635.7</v>
      </c>
      <c r="C4299">
        <v>0</v>
      </c>
      <c r="D4299">
        <v>51.66</v>
      </c>
      <c r="E4299">
        <v>2.7320000000000002</v>
      </c>
      <c r="F4299">
        <v>210.67660950000001</v>
      </c>
      <c r="G4299">
        <v>8.3239999999999998</v>
      </c>
      <c r="N4299" s="8"/>
    </row>
    <row r="4300" spans="1:14" x14ac:dyDescent="0.25">
      <c r="A4300" s="8">
        <v>40270</v>
      </c>
      <c r="B4300">
        <v>1357600.68</v>
      </c>
      <c r="C4300">
        <v>0</v>
      </c>
      <c r="D4300">
        <v>64.12</v>
      </c>
      <c r="E4300">
        <v>2.7189999999999999</v>
      </c>
      <c r="F4300">
        <v>210.4798874</v>
      </c>
      <c r="G4300">
        <v>8.1999999999999993</v>
      </c>
      <c r="N4300" s="8"/>
    </row>
    <row r="4301" spans="1:14" x14ac:dyDescent="0.25">
      <c r="A4301" s="8">
        <v>40277</v>
      </c>
      <c r="B4301">
        <v>1395710.09</v>
      </c>
      <c r="C4301">
        <v>0</v>
      </c>
      <c r="D4301">
        <v>65.739999999999995</v>
      </c>
      <c r="E4301">
        <v>2.77</v>
      </c>
      <c r="F4301">
        <v>210.28316530000001</v>
      </c>
      <c r="G4301">
        <v>8.1999999999999993</v>
      </c>
      <c r="N4301" s="8"/>
    </row>
    <row r="4302" spans="1:14" x14ac:dyDescent="0.25">
      <c r="A4302" s="8">
        <v>40284</v>
      </c>
      <c r="B4302">
        <v>1367448.28</v>
      </c>
      <c r="C4302">
        <v>0</v>
      </c>
      <c r="D4302">
        <v>67.87</v>
      </c>
      <c r="E4302">
        <v>2.8079999999999998</v>
      </c>
      <c r="F4302">
        <v>210.1495463</v>
      </c>
      <c r="G4302">
        <v>8.1999999999999993</v>
      </c>
      <c r="N4302" s="8"/>
    </row>
    <row r="4303" spans="1:14" x14ac:dyDescent="0.25">
      <c r="A4303" s="8">
        <v>40291</v>
      </c>
      <c r="B4303">
        <v>1280465.8</v>
      </c>
      <c r="C4303">
        <v>0</v>
      </c>
      <c r="D4303">
        <v>64.209999999999994</v>
      </c>
      <c r="E4303">
        <v>2.7949999999999999</v>
      </c>
      <c r="F4303">
        <v>210.10006480000001</v>
      </c>
      <c r="G4303">
        <v>8.1999999999999993</v>
      </c>
      <c r="N4303" s="8"/>
    </row>
    <row r="4304" spans="1:14" x14ac:dyDescent="0.25">
      <c r="A4304" s="8">
        <v>40298</v>
      </c>
      <c r="B4304">
        <v>1243200.24</v>
      </c>
      <c r="C4304">
        <v>0</v>
      </c>
      <c r="D4304">
        <v>66.930000000000007</v>
      </c>
      <c r="E4304">
        <v>2.78</v>
      </c>
      <c r="F4304">
        <v>210.0505833</v>
      </c>
      <c r="G4304">
        <v>8.1999999999999993</v>
      </c>
      <c r="N4304" s="8"/>
    </row>
    <row r="4305" spans="1:14" x14ac:dyDescent="0.25">
      <c r="A4305" s="8">
        <v>40305</v>
      </c>
      <c r="B4305">
        <v>1381796.8</v>
      </c>
      <c r="C4305">
        <v>0</v>
      </c>
      <c r="D4305">
        <v>70.87</v>
      </c>
      <c r="E4305">
        <v>2.835</v>
      </c>
      <c r="F4305">
        <v>210.00110179999999</v>
      </c>
      <c r="G4305">
        <v>8.1999999999999993</v>
      </c>
      <c r="N4305" s="8"/>
    </row>
    <row r="4306" spans="1:14" x14ac:dyDescent="0.25">
      <c r="A4306" s="8">
        <v>40312</v>
      </c>
      <c r="B4306">
        <v>1287288.5900000001</v>
      </c>
      <c r="C4306">
        <v>0</v>
      </c>
      <c r="D4306">
        <v>73.08</v>
      </c>
      <c r="E4306">
        <v>2.8540000000000001</v>
      </c>
      <c r="F4306">
        <v>209.9984585</v>
      </c>
      <c r="G4306">
        <v>8.1999999999999993</v>
      </c>
      <c r="N4306" s="8"/>
    </row>
    <row r="4307" spans="1:14" x14ac:dyDescent="0.25">
      <c r="A4307" s="8">
        <v>40319</v>
      </c>
      <c r="B4307">
        <v>1337405.6000000001</v>
      </c>
      <c r="C4307">
        <v>0</v>
      </c>
      <c r="D4307">
        <v>74.239999999999995</v>
      </c>
      <c r="E4307">
        <v>2.8260000000000001</v>
      </c>
      <c r="F4307">
        <v>210.27684429999999</v>
      </c>
      <c r="G4307">
        <v>8.1999999999999993</v>
      </c>
      <c r="N4307" s="8"/>
    </row>
    <row r="4308" spans="1:14" x14ac:dyDescent="0.25">
      <c r="A4308" s="8">
        <v>40326</v>
      </c>
      <c r="B4308">
        <v>1309437.17</v>
      </c>
      <c r="C4308">
        <v>0</v>
      </c>
      <c r="D4308">
        <v>80.94</v>
      </c>
      <c r="E4308">
        <v>2.7589999999999999</v>
      </c>
      <c r="F4308">
        <v>210.55523009999999</v>
      </c>
      <c r="G4308">
        <v>8.1999999999999993</v>
      </c>
      <c r="N4308" s="8"/>
    </row>
    <row r="4309" spans="1:14" x14ac:dyDescent="0.25">
      <c r="A4309" s="8">
        <v>40333</v>
      </c>
      <c r="B4309">
        <v>1427624.5</v>
      </c>
      <c r="C4309">
        <v>0</v>
      </c>
      <c r="D4309">
        <v>82.68</v>
      </c>
      <c r="E4309">
        <v>2.7050000000000001</v>
      </c>
      <c r="F4309">
        <v>210.83361600000001</v>
      </c>
      <c r="G4309">
        <v>8.1999999999999993</v>
      </c>
      <c r="N4309" s="8"/>
    </row>
    <row r="4310" spans="1:14" x14ac:dyDescent="0.25">
      <c r="A4310" s="8">
        <v>40340</v>
      </c>
      <c r="B4310">
        <v>1377092.33</v>
      </c>
      <c r="C4310">
        <v>0</v>
      </c>
      <c r="D4310">
        <v>83.51</v>
      </c>
      <c r="E4310">
        <v>2.6680000000000001</v>
      </c>
      <c r="F4310">
        <v>211.1120018</v>
      </c>
      <c r="G4310">
        <v>8.1999999999999993</v>
      </c>
      <c r="N4310" s="8"/>
    </row>
    <row r="4311" spans="1:14" x14ac:dyDescent="0.25">
      <c r="A4311" s="8">
        <v>40347</v>
      </c>
      <c r="B4311">
        <v>1368090.08</v>
      </c>
      <c r="C4311">
        <v>0</v>
      </c>
      <c r="D4311">
        <v>86.18</v>
      </c>
      <c r="E4311">
        <v>2.637</v>
      </c>
      <c r="F4311">
        <v>211.10965429999999</v>
      </c>
      <c r="G4311">
        <v>8.1999999999999993</v>
      </c>
      <c r="N4311" s="8"/>
    </row>
    <row r="4312" spans="1:14" x14ac:dyDescent="0.25">
      <c r="A4312" s="8">
        <v>40354</v>
      </c>
      <c r="B4312">
        <v>1303523.73</v>
      </c>
      <c r="C4312">
        <v>0</v>
      </c>
      <c r="D4312">
        <v>87.01</v>
      </c>
      <c r="E4312">
        <v>2.653</v>
      </c>
      <c r="F4312">
        <v>210.9950134</v>
      </c>
      <c r="G4312">
        <v>8.1999999999999993</v>
      </c>
      <c r="N4312" s="8"/>
    </row>
    <row r="4313" spans="1:14" x14ac:dyDescent="0.25">
      <c r="A4313" s="8">
        <v>40361</v>
      </c>
      <c r="B4313">
        <v>1311704.92</v>
      </c>
      <c r="C4313">
        <v>0</v>
      </c>
      <c r="D4313">
        <v>82.29</v>
      </c>
      <c r="E4313">
        <v>2.669</v>
      </c>
      <c r="F4313">
        <v>210.88037259999999</v>
      </c>
      <c r="G4313">
        <v>8.0990000000000002</v>
      </c>
      <c r="N4313" s="8"/>
    </row>
    <row r="4314" spans="1:14" x14ac:dyDescent="0.25">
      <c r="A4314" s="8">
        <v>40368</v>
      </c>
      <c r="B4314">
        <v>1315118.3999999999</v>
      </c>
      <c r="C4314">
        <v>0</v>
      </c>
      <c r="D4314">
        <v>81.67</v>
      </c>
      <c r="E4314">
        <v>2.6419999999999999</v>
      </c>
      <c r="F4314">
        <v>210.7657317</v>
      </c>
      <c r="G4314">
        <v>8.0990000000000002</v>
      </c>
      <c r="N4314" s="8"/>
    </row>
    <row r="4315" spans="1:14" x14ac:dyDescent="0.25">
      <c r="A4315" s="8">
        <v>40375</v>
      </c>
      <c r="B4315">
        <v>1335433.72</v>
      </c>
      <c r="C4315">
        <v>0</v>
      </c>
      <c r="D4315">
        <v>85.61</v>
      </c>
      <c r="E4315">
        <v>2.6230000000000002</v>
      </c>
      <c r="F4315">
        <v>210.75779539999999</v>
      </c>
      <c r="G4315">
        <v>8.0990000000000002</v>
      </c>
      <c r="N4315" s="8"/>
    </row>
    <row r="4316" spans="1:14" x14ac:dyDescent="0.25">
      <c r="A4316" s="8">
        <v>40382</v>
      </c>
      <c r="B4316">
        <v>1276031.8400000001</v>
      </c>
      <c r="C4316">
        <v>0</v>
      </c>
      <c r="D4316">
        <v>87.17</v>
      </c>
      <c r="E4316">
        <v>2.6080000000000001</v>
      </c>
      <c r="F4316">
        <v>210.89213190000001</v>
      </c>
      <c r="G4316">
        <v>8.0990000000000002</v>
      </c>
      <c r="N4316" s="8"/>
    </row>
    <row r="4317" spans="1:14" x14ac:dyDescent="0.25">
      <c r="A4317" s="8">
        <v>40389</v>
      </c>
      <c r="B4317">
        <v>1231993.1399999999</v>
      </c>
      <c r="C4317">
        <v>0</v>
      </c>
      <c r="D4317">
        <v>83.59</v>
      </c>
      <c r="E4317">
        <v>2.64</v>
      </c>
      <c r="F4317">
        <v>211.0264684</v>
      </c>
      <c r="G4317">
        <v>8.0990000000000002</v>
      </c>
      <c r="N4317" s="8"/>
    </row>
    <row r="4318" spans="1:14" x14ac:dyDescent="0.25">
      <c r="A4318" s="8">
        <v>40396</v>
      </c>
      <c r="B4318">
        <v>1352401.08</v>
      </c>
      <c r="C4318">
        <v>0</v>
      </c>
      <c r="D4318">
        <v>90.3</v>
      </c>
      <c r="E4318">
        <v>2.6269999999999998</v>
      </c>
      <c r="F4318">
        <v>211.16080489999999</v>
      </c>
      <c r="G4318">
        <v>8.0990000000000002</v>
      </c>
      <c r="N4318" s="8"/>
    </row>
    <row r="4319" spans="1:14" x14ac:dyDescent="0.25">
      <c r="A4319" s="8">
        <v>40403</v>
      </c>
      <c r="B4319">
        <v>1327719.3400000001</v>
      </c>
      <c r="C4319">
        <v>0</v>
      </c>
      <c r="D4319">
        <v>89.65</v>
      </c>
      <c r="E4319">
        <v>2.6920000000000002</v>
      </c>
      <c r="F4319">
        <v>211.29514130000001</v>
      </c>
      <c r="G4319">
        <v>8.0990000000000002</v>
      </c>
      <c r="N4319" s="8"/>
    </row>
    <row r="4320" spans="1:14" x14ac:dyDescent="0.25">
      <c r="A4320" s="8">
        <v>40410</v>
      </c>
      <c r="B4320">
        <v>1376571.21</v>
      </c>
      <c r="C4320">
        <v>0</v>
      </c>
      <c r="D4320">
        <v>89.58</v>
      </c>
      <c r="E4320">
        <v>2.6640000000000001</v>
      </c>
      <c r="F4320">
        <v>211.25965859999999</v>
      </c>
      <c r="G4320">
        <v>8.0990000000000002</v>
      </c>
      <c r="N4320" s="8"/>
    </row>
    <row r="4321" spans="1:14" x14ac:dyDescent="0.25">
      <c r="A4321" s="8">
        <v>40417</v>
      </c>
      <c r="B4321">
        <v>1326621.98</v>
      </c>
      <c r="C4321">
        <v>0</v>
      </c>
      <c r="D4321">
        <v>86.2</v>
      </c>
      <c r="E4321">
        <v>2.6190000000000002</v>
      </c>
      <c r="F4321">
        <v>211.22417590000001</v>
      </c>
      <c r="G4321">
        <v>8.0990000000000002</v>
      </c>
      <c r="N4321" s="8"/>
    </row>
    <row r="4322" spans="1:14" x14ac:dyDescent="0.25">
      <c r="A4322" s="8">
        <v>40424</v>
      </c>
      <c r="B4322">
        <v>1302047.48</v>
      </c>
      <c r="C4322">
        <v>0</v>
      </c>
      <c r="D4322">
        <v>82.57</v>
      </c>
      <c r="E4322">
        <v>2.577</v>
      </c>
      <c r="F4322">
        <v>211.18869309999999</v>
      </c>
      <c r="G4322">
        <v>8.0990000000000002</v>
      </c>
      <c r="N4322" s="8"/>
    </row>
    <row r="4323" spans="1:14" x14ac:dyDescent="0.25">
      <c r="A4323" s="8">
        <v>40431</v>
      </c>
      <c r="B4323">
        <v>1308179.02</v>
      </c>
      <c r="C4323">
        <v>1</v>
      </c>
      <c r="D4323">
        <v>79.3</v>
      </c>
      <c r="E4323">
        <v>2.5649999999999999</v>
      </c>
      <c r="F4323">
        <v>211.15321040000001</v>
      </c>
      <c r="G4323">
        <v>8.0990000000000002</v>
      </c>
      <c r="N4323" s="8"/>
    </row>
    <row r="4324" spans="1:14" x14ac:dyDescent="0.25">
      <c r="A4324" s="8">
        <v>40438</v>
      </c>
      <c r="B4324">
        <v>1294105.01</v>
      </c>
      <c r="C4324">
        <v>0</v>
      </c>
      <c r="D4324">
        <v>83.03</v>
      </c>
      <c r="E4324">
        <v>2.5819999999999999</v>
      </c>
      <c r="F4324">
        <v>211.18064150000001</v>
      </c>
      <c r="G4324">
        <v>8.0990000000000002</v>
      </c>
      <c r="N4324" s="8"/>
    </row>
    <row r="4325" spans="1:14" x14ac:dyDescent="0.25">
      <c r="A4325" s="8">
        <v>40445</v>
      </c>
      <c r="B4325">
        <v>1230250.25</v>
      </c>
      <c r="C4325">
        <v>0</v>
      </c>
      <c r="D4325">
        <v>80.790000000000006</v>
      </c>
      <c r="E4325">
        <v>2.6240000000000001</v>
      </c>
      <c r="F4325">
        <v>211.25525780000001</v>
      </c>
      <c r="G4325">
        <v>8.0990000000000002</v>
      </c>
      <c r="N4325" s="8"/>
    </row>
    <row r="4326" spans="1:14" x14ac:dyDescent="0.25">
      <c r="A4326" s="8">
        <v>40452</v>
      </c>
      <c r="B4326">
        <v>1213981.6399999999</v>
      </c>
      <c r="C4326">
        <v>0</v>
      </c>
      <c r="D4326">
        <v>70.28</v>
      </c>
      <c r="E4326">
        <v>2.6030000000000002</v>
      </c>
      <c r="F4326">
        <v>211.32987420000001</v>
      </c>
      <c r="G4326">
        <v>8.1630000000000003</v>
      </c>
      <c r="N4326" s="8"/>
    </row>
    <row r="4327" spans="1:14" x14ac:dyDescent="0.25">
      <c r="A4327" s="8">
        <v>40459</v>
      </c>
      <c r="B4327">
        <v>1300131.68</v>
      </c>
      <c r="C4327">
        <v>0</v>
      </c>
      <c r="D4327">
        <v>65.760000000000005</v>
      </c>
      <c r="E4327">
        <v>2.633</v>
      </c>
      <c r="F4327">
        <v>211.4044906</v>
      </c>
      <c r="G4327">
        <v>8.1630000000000003</v>
      </c>
      <c r="N4327" s="8"/>
    </row>
    <row r="4328" spans="1:14" x14ac:dyDescent="0.25">
      <c r="A4328" s="8">
        <v>40466</v>
      </c>
      <c r="B4328">
        <v>1265852.43</v>
      </c>
      <c r="C4328">
        <v>0</v>
      </c>
      <c r="D4328">
        <v>68.61</v>
      </c>
      <c r="E4328">
        <v>2.72</v>
      </c>
      <c r="F4328">
        <v>211.47132859999999</v>
      </c>
      <c r="G4328">
        <v>8.1630000000000003</v>
      </c>
      <c r="N4328" s="8"/>
    </row>
    <row r="4329" spans="1:14" x14ac:dyDescent="0.25">
      <c r="A4329" s="8">
        <v>40473</v>
      </c>
      <c r="B4329">
        <v>1262289.29</v>
      </c>
      <c r="C4329">
        <v>0</v>
      </c>
      <c r="D4329">
        <v>70.72</v>
      </c>
      <c r="E4329">
        <v>2.7250000000000001</v>
      </c>
      <c r="F4329">
        <v>211.51872080000001</v>
      </c>
      <c r="G4329">
        <v>8.1630000000000003</v>
      </c>
      <c r="N4329" s="8"/>
    </row>
    <row r="4330" spans="1:14" x14ac:dyDescent="0.25">
      <c r="A4330" s="8">
        <v>40480</v>
      </c>
      <c r="B4330">
        <v>1257921.28</v>
      </c>
      <c r="C4330">
        <v>0</v>
      </c>
      <c r="D4330">
        <v>67.510000000000005</v>
      </c>
      <c r="E4330">
        <v>2.7160000000000002</v>
      </c>
      <c r="F4330">
        <v>211.5661131</v>
      </c>
      <c r="G4330">
        <v>8.1630000000000003</v>
      </c>
      <c r="N4330" s="8"/>
    </row>
    <row r="4331" spans="1:14" x14ac:dyDescent="0.25">
      <c r="A4331" s="8">
        <v>40487</v>
      </c>
      <c r="B4331">
        <v>1324455.72</v>
      </c>
      <c r="C4331">
        <v>0</v>
      </c>
      <c r="D4331">
        <v>58.71</v>
      </c>
      <c r="E4331">
        <v>2.6890000000000001</v>
      </c>
      <c r="F4331">
        <v>211.61350530000001</v>
      </c>
      <c r="G4331">
        <v>8.1630000000000003</v>
      </c>
      <c r="N4331" s="8"/>
    </row>
    <row r="4332" spans="1:14" x14ac:dyDescent="0.25">
      <c r="A4332" s="8">
        <v>40494</v>
      </c>
      <c r="B4332">
        <v>1352780.76</v>
      </c>
      <c r="C4332">
        <v>0</v>
      </c>
      <c r="D4332">
        <v>60.95</v>
      </c>
      <c r="E4332">
        <v>2.7280000000000002</v>
      </c>
      <c r="F4332">
        <v>211.6608975</v>
      </c>
      <c r="G4332">
        <v>8.1630000000000003</v>
      </c>
      <c r="N4332" s="8"/>
    </row>
    <row r="4333" spans="1:14" x14ac:dyDescent="0.25">
      <c r="A4333" s="8">
        <v>40501</v>
      </c>
      <c r="B4333">
        <v>1359158.57</v>
      </c>
      <c r="C4333">
        <v>0</v>
      </c>
      <c r="D4333">
        <v>51.71</v>
      </c>
      <c r="E4333">
        <v>2.7709999999999999</v>
      </c>
      <c r="F4333">
        <v>211.54703040000001</v>
      </c>
      <c r="G4333">
        <v>8.1630000000000003</v>
      </c>
      <c r="N4333" s="8"/>
    </row>
    <row r="4334" spans="1:14" x14ac:dyDescent="0.25">
      <c r="A4334" s="8">
        <v>40508</v>
      </c>
      <c r="B4334">
        <v>1858856.06</v>
      </c>
      <c r="C4334">
        <v>1</v>
      </c>
      <c r="D4334">
        <v>62.96</v>
      </c>
      <c r="E4334">
        <v>2.7349999999999999</v>
      </c>
      <c r="F4334">
        <v>211.40628670000001</v>
      </c>
      <c r="G4334">
        <v>8.1630000000000003</v>
      </c>
      <c r="N4334" s="8"/>
    </row>
    <row r="4335" spans="1:14" x14ac:dyDescent="0.25">
      <c r="A4335" s="8">
        <v>40515</v>
      </c>
      <c r="B4335">
        <v>1338716.3700000001</v>
      </c>
      <c r="C4335">
        <v>0</v>
      </c>
      <c r="D4335">
        <v>50.43</v>
      </c>
      <c r="E4335">
        <v>2.7080000000000002</v>
      </c>
      <c r="F4335">
        <v>211.26554300000001</v>
      </c>
      <c r="G4335">
        <v>8.1630000000000003</v>
      </c>
      <c r="N4335" s="8"/>
    </row>
    <row r="4336" spans="1:14" x14ac:dyDescent="0.25">
      <c r="A4336" s="8">
        <v>40522</v>
      </c>
      <c r="B4336">
        <v>1475685.1</v>
      </c>
      <c r="C4336">
        <v>0</v>
      </c>
      <c r="D4336">
        <v>46.35</v>
      </c>
      <c r="E4336">
        <v>2.843</v>
      </c>
      <c r="F4336">
        <v>211.12479930000001</v>
      </c>
      <c r="G4336">
        <v>8.1630000000000003</v>
      </c>
      <c r="N4336" s="8"/>
    </row>
    <row r="4337" spans="1:14" x14ac:dyDescent="0.25">
      <c r="A4337" s="8">
        <v>40529</v>
      </c>
      <c r="B4337">
        <v>1714667</v>
      </c>
      <c r="C4337">
        <v>0</v>
      </c>
      <c r="D4337">
        <v>48.63</v>
      </c>
      <c r="E4337">
        <v>2.8690000000000002</v>
      </c>
      <c r="F4337">
        <v>211.06454579999999</v>
      </c>
      <c r="G4337">
        <v>8.1630000000000003</v>
      </c>
      <c r="N4337" s="8"/>
    </row>
    <row r="4338" spans="1:14" x14ac:dyDescent="0.25">
      <c r="A4338" s="8">
        <v>40536</v>
      </c>
      <c r="B4338">
        <v>2068942.97</v>
      </c>
      <c r="C4338">
        <v>0</v>
      </c>
      <c r="D4338">
        <v>51.29</v>
      </c>
      <c r="E4338">
        <v>2.8860000000000001</v>
      </c>
      <c r="F4338">
        <v>211.06465990000001</v>
      </c>
      <c r="G4338">
        <v>8.1630000000000003</v>
      </c>
      <c r="N4338" s="8"/>
    </row>
    <row r="4339" spans="1:14" x14ac:dyDescent="0.25">
      <c r="A4339" s="8">
        <v>40543</v>
      </c>
      <c r="B4339">
        <v>1198071.6000000001</v>
      </c>
      <c r="C4339">
        <v>1</v>
      </c>
      <c r="D4339">
        <v>47.19</v>
      </c>
      <c r="E4339">
        <v>2.9430000000000001</v>
      </c>
      <c r="F4339">
        <v>211.064774</v>
      </c>
      <c r="G4339">
        <v>8.1630000000000003</v>
      </c>
      <c r="N4339" s="8"/>
    </row>
    <row r="4340" spans="1:14" x14ac:dyDescent="0.25">
      <c r="A4340" s="8">
        <v>40550</v>
      </c>
      <c r="B4340">
        <v>1311986.8700000001</v>
      </c>
      <c r="C4340">
        <v>0</v>
      </c>
      <c r="D4340">
        <v>44.24</v>
      </c>
      <c r="E4340">
        <v>2.976</v>
      </c>
      <c r="F4340">
        <v>211.06488809999999</v>
      </c>
      <c r="G4340">
        <v>8.0280000000000005</v>
      </c>
      <c r="N4340" s="8"/>
    </row>
    <row r="4341" spans="1:14" x14ac:dyDescent="0.25">
      <c r="A4341" s="8">
        <v>40557</v>
      </c>
      <c r="B4341">
        <v>1350730.31</v>
      </c>
      <c r="C4341">
        <v>0</v>
      </c>
      <c r="D4341">
        <v>34.14</v>
      </c>
      <c r="E4341">
        <v>2.9830000000000001</v>
      </c>
      <c r="F4341">
        <v>211.11767130000001</v>
      </c>
      <c r="G4341">
        <v>8.0280000000000005</v>
      </c>
      <c r="N4341" s="8"/>
    </row>
    <row r="4342" spans="1:14" x14ac:dyDescent="0.25">
      <c r="A4342" s="8">
        <v>40564</v>
      </c>
      <c r="B4342">
        <v>1344167.13</v>
      </c>
      <c r="C4342">
        <v>0</v>
      </c>
      <c r="D4342">
        <v>42.72</v>
      </c>
      <c r="E4342">
        <v>3.016</v>
      </c>
      <c r="F4342">
        <v>211.48646909999999</v>
      </c>
      <c r="G4342">
        <v>8.0280000000000005</v>
      </c>
      <c r="N4342" s="8"/>
    </row>
    <row r="4343" spans="1:14" x14ac:dyDescent="0.25">
      <c r="A4343" s="8">
        <v>40571</v>
      </c>
      <c r="B4343">
        <v>1254955.68</v>
      </c>
      <c r="C4343">
        <v>0</v>
      </c>
      <c r="D4343">
        <v>44.04</v>
      </c>
      <c r="E4343">
        <v>3.01</v>
      </c>
      <c r="F4343">
        <v>211.85526680000001</v>
      </c>
      <c r="G4343">
        <v>8.0280000000000005</v>
      </c>
      <c r="N4343" s="8"/>
    </row>
    <row r="4344" spans="1:14" x14ac:dyDescent="0.25">
      <c r="A4344" s="8">
        <v>40578</v>
      </c>
      <c r="B4344">
        <v>1443206.46</v>
      </c>
      <c r="C4344">
        <v>0</v>
      </c>
      <c r="D4344">
        <v>36.33</v>
      </c>
      <c r="E4344">
        <v>2.9889999999999999</v>
      </c>
      <c r="F4344">
        <v>212.22406459999999</v>
      </c>
      <c r="G4344">
        <v>8.0280000000000005</v>
      </c>
      <c r="N4344" s="8"/>
    </row>
    <row r="4345" spans="1:14" x14ac:dyDescent="0.25">
      <c r="A4345" s="8">
        <v>40585</v>
      </c>
      <c r="B4345">
        <v>1539230.32</v>
      </c>
      <c r="C4345">
        <v>1</v>
      </c>
      <c r="D4345">
        <v>34.61</v>
      </c>
      <c r="E4345">
        <v>3.0219999999999998</v>
      </c>
      <c r="F4345">
        <v>212.5928624</v>
      </c>
      <c r="G4345">
        <v>8.0280000000000005</v>
      </c>
      <c r="N4345" s="8"/>
    </row>
    <row r="4346" spans="1:14" x14ac:dyDescent="0.25">
      <c r="A4346" s="8">
        <v>40592</v>
      </c>
      <c r="B4346">
        <v>1539063.91</v>
      </c>
      <c r="C4346">
        <v>0</v>
      </c>
      <c r="D4346">
        <v>59.87</v>
      </c>
      <c r="E4346">
        <v>3.0449999999999999</v>
      </c>
      <c r="F4346">
        <v>212.9033115</v>
      </c>
      <c r="G4346">
        <v>8.0280000000000005</v>
      </c>
      <c r="N4346" s="8"/>
    </row>
    <row r="4347" spans="1:14" x14ac:dyDescent="0.25">
      <c r="A4347" s="8">
        <v>40599</v>
      </c>
      <c r="B4347">
        <v>1365678.22</v>
      </c>
      <c r="C4347">
        <v>0</v>
      </c>
      <c r="D4347">
        <v>61.27</v>
      </c>
      <c r="E4347">
        <v>3.0649999999999999</v>
      </c>
      <c r="F4347">
        <v>213.19042099999999</v>
      </c>
      <c r="G4347">
        <v>8.0280000000000005</v>
      </c>
      <c r="N4347" s="8"/>
    </row>
    <row r="4348" spans="1:14" x14ac:dyDescent="0.25">
      <c r="A4348" s="8">
        <v>40606</v>
      </c>
      <c r="B4348">
        <v>1412721.18</v>
      </c>
      <c r="C4348">
        <v>0</v>
      </c>
      <c r="D4348">
        <v>59.52</v>
      </c>
      <c r="E4348">
        <v>3.2879999999999998</v>
      </c>
      <c r="F4348">
        <v>213.4775305</v>
      </c>
      <c r="G4348">
        <v>8.0280000000000005</v>
      </c>
      <c r="N4348" s="8"/>
    </row>
    <row r="4349" spans="1:14" x14ac:dyDescent="0.25">
      <c r="A4349" s="8">
        <v>40613</v>
      </c>
      <c r="B4349">
        <v>1405572.93</v>
      </c>
      <c r="C4349">
        <v>0</v>
      </c>
      <c r="D4349">
        <v>54.69</v>
      </c>
      <c r="E4349">
        <v>3.4590000000000001</v>
      </c>
      <c r="F4349">
        <v>213.76464010000001</v>
      </c>
      <c r="G4349">
        <v>8.0280000000000005</v>
      </c>
      <c r="N4349" s="8"/>
    </row>
    <row r="4350" spans="1:14" x14ac:dyDescent="0.25">
      <c r="A4350" s="8">
        <v>40620</v>
      </c>
      <c r="B4350">
        <v>1425559.02</v>
      </c>
      <c r="C4350">
        <v>0</v>
      </c>
      <c r="D4350">
        <v>63.26</v>
      </c>
      <c r="E4350">
        <v>3.488</v>
      </c>
      <c r="F4350">
        <v>214.01562379999999</v>
      </c>
      <c r="G4350">
        <v>8.0280000000000005</v>
      </c>
      <c r="N4350" s="8"/>
    </row>
    <row r="4351" spans="1:14" x14ac:dyDescent="0.25">
      <c r="A4351" s="8">
        <v>40627</v>
      </c>
      <c r="B4351">
        <v>1357036.1</v>
      </c>
      <c r="C4351">
        <v>0</v>
      </c>
      <c r="D4351">
        <v>70.33</v>
      </c>
      <c r="E4351">
        <v>3.4729999999999999</v>
      </c>
      <c r="F4351">
        <v>214.25215729999999</v>
      </c>
      <c r="G4351">
        <v>8.0280000000000005</v>
      </c>
      <c r="N4351" s="8"/>
    </row>
    <row r="4352" spans="1:14" x14ac:dyDescent="0.25">
      <c r="A4352" s="8">
        <v>40634</v>
      </c>
      <c r="B4352">
        <v>1344890.73</v>
      </c>
      <c r="C4352">
        <v>0</v>
      </c>
      <c r="D4352">
        <v>56.36</v>
      </c>
      <c r="E4352">
        <v>3.524</v>
      </c>
      <c r="F4352">
        <v>214.4886908</v>
      </c>
      <c r="G4352">
        <v>7.931</v>
      </c>
      <c r="N4352" s="8"/>
    </row>
    <row r="4353" spans="1:14" x14ac:dyDescent="0.25">
      <c r="A4353" s="8">
        <v>40641</v>
      </c>
      <c r="B4353">
        <v>1416790.17</v>
      </c>
      <c r="C4353">
        <v>0</v>
      </c>
      <c r="D4353">
        <v>68.62</v>
      </c>
      <c r="E4353">
        <v>3.6219999999999999</v>
      </c>
      <c r="F4353">
        <v>214.72522420000001</v>
      </c>
      <c r="G4353">
        <v>7.931</v>
      </c>
      <c r="N4353" s="8"/>
    </row>
    <row r="4354" spans="1:14" x14ac:dyDescent="0.25">
      <c r="A4354" s="8">
        <v>40648</v>
      </c>
      <c r="B4354">
        <v>1408464.08</v>
      </c>
      <c r="C4354">
        <v>0</v>
      </c>
      <c r="D4354">
        <v>71.010000000000005</v>
      </c>
      <c r="E4354">
        <v>3.7429999999999999</v>
      </c>
      <c r="F4354">
        <v>214.94206310000001</v>
      </c>
      <c r="G4354">
        <v>7.931</v>
      </c>
      <c r="N4354" s="8"/>
    </row>
    <row r="4355" spans="1:14" x14ac:dyDescent="0.25">
      <c r="A4355" s="8">
        <v>40655</v>
      </c>
      <c r="B4355">
        <v>1461393.91</v>
      </c>
      <c r="C4355">
        <v>0</v>
      </c>
      <c r="D4355">
        <v>70.790000000000006</v>
      </c>
      <c r="E4355">
        <v>3.8069999999999999</v>
      </c>
      <c r="F4355">
        <v>215.10966569999999</v>
      </c>
      <c r="G4355">
        <v>7.931</v>
      </c>
      <c r="N4355" s="8"/>
    </row>
    <row r="4356" spans="1:14" x14ac:dyDescent="0.25">
      <c r="A4356" s="8">
        <v>40662</v>
      </c>
      <c r="B4356">
        <v>1331137.96</v>
      </c>
      <c r="C4356">
        <v>0</v>
      </c>
      <c r="D4356">
        <v>70.19</v>
      </c>
      <c r="E4356">
        <v>3.81</v>
      </c>
      <c r="F4356">
        <v>215.2772683</v>
      </c>
      <c r="G4356">
        <v>7.931</v>
      </c>
      <c r="N4356" s="8"/>
    </row>
    <row r="4357" spans="1:14" x14ac:dyDescent="0.25">
      <c r="A4357" s="8">
        <v>40669</v>
      </c>
      <c r="B4357">
        <v>1388755.61</v>
      </c>
      <c r="C4357">
        <v>0</v>
      </c>
      <c r="D4357">
        <v>61.87</v>
      </c>
      <c r="E4357">
        <v>3.9060000000000001</v>
      </c>
      <c r="F4357">
        <v>215.44487090000001</v>
      </c>
      <c r="G4357">
        <v>7.931</v>
      </c>
      <c r="N4357" s="8"/>
    </row>
    <row r="4358" spans="1:14" x14ac:dyDescent="0.25">
      <c r="A4358" s="8">
        <v>40676</v>
      </c>
      <c r="B4358">
        <v>1408118.22</v>
      </c>
      <c r="C4358">
        <v>0</v>
      </c>
      <c r="D4358">
        <v>75.040000000000006</v>
      </c>
      <c r="E4358">
        <v>3.899</v>
      </c>
      <c r="F4358">
        <v>215.61247349999999</v>
      </c>
      <c r="G4358">
        <v>7.931</v>
      </c>
      <c r="N4358" s="8"/>
    </row>
    <row r="4359" spans="1:14" x14ac:dyDescent="0.25">
      <c r="A4359" s="8">
        <v>40683</v>
      </c>
      <c r="B4359">
        <v>1387365.19</v>
      </c>
      <c r="C4359">
        <v>0</v>
      </c>
      <c r="D4359">
        <v>68.36</v>
      </c>
      <c r="E4359">
        <v>3.907</v>
      </c>
      <c r="F4359">
        <v>215.38347780000001</v>
      </c>
      <c r="G4359">
        <v>7.931</v>
      </c>
      <c r="N4359" s="8"/>
    </row>
    <row r="4360" spans="1:14" x14ac:dyDescent="0.25">
      <c r="A4360" s="8">
        <v>40690</v>
      </c>
      <c r="B4360">
        <v>1342273.64</v>
      </c>
      <c r="C4360">
        <v>0</v>
      </c>
      <c r="D4360">
        <v>76.86</v>
      </c>
      <c r="E4360">
        <v>3.786</v>
      </c>
      <c r="F4360">
        <v>215.15448219999999</v>
      </c>
      <c r="G4360">
        <v>7.931</v>
      </c>
      <c r="N4360" s="8"/>
    </row>
    <row r="4361" spans="1:14" x14ac:dyDescent="0.25">
      <c r="A4361" s="8">
        <v>40697</v>
      </c>
      <c r="B4361">
        <v>1430348.1</v>
      </c>
      <c r="C4361">
        <v>0</v>
      </c>
      <c r="D4361">
        <v>83.82</v>
      </c>
      <c r="E4361">
        <v>3.6989999999999998</v>
      </c>
      <c r="F4361">
        <v>214.92548650000001</v>
      </c>
      <c r="G4361">
        <v>7.931</v>
      </c>
      <c r="N4361" s="8"/>
    </row>
    <row r="4362" spans="1:14" x14ac:dyDescent="0.25">
      <c r="A4362" s="8">
        <v>40704</v>
      </c>
      <c r="B4362">
        <v>1425299.37</v>
      </c>
      <c r="C4362">
        <v>0</v>
      </c>
      <c r="D4362">
        <v>84.71</v>
      </c>
      <c r="E4362">
        <v>3.6480000000000001</v>
      </c>
      <c r="F4362">
        <v>214.69649079999999</v>
      </c>
      <c r="G4362">
        <v>7.931</v>
      </c>
      <c r="N4362" s="8"/>
    </row>
    <row r="4363" spans="1:14" x14ac:dyDescent="0.25">
      <c r="A4363" s="8">
        <v>40711</v>
      </c>
      <c r="B4363">
        <v>1491039.14</v>
      </c>
      <c r="C4363">
        <v>0</v>
      </c>
      <c r="D4363">
        <v>87.54</v>
      </c>
      <c r="E4363">
        <v>3.637</v>
      </c>
      <c r="F4363">
        <v>214.65135380000001</v>
      </c>
      <c r="G4363">
        <v>7.931</v>
      </c>
      <c r="N4363" s="8"/>
    </row>
    <row r="4364" spans="1:14" x14ac:dyDescent="0.25">
      <c r="A4364" s="8">
        <v>40718</v>
      </c>
      <c r="B4364">
        <v>1375962.46</v>
      </c>
      <c r="C4364">
        <v>0</v>
      </c>
      <c r="D4364">
        <v>85.72</v>
      </c>
      <c r="E4364">
        <v>3.5939999999999999</v>
      </c>
      <c r="F4364">
        <v>214.74411079999999</v>
      </c>
      <c r="G4364">
        <v>7.931</v>
      </c>
      <c r="N4364" s="8"/>
    </row>
    <row r="4365" spans="1:14" x14ac:dyDescent="0.25">
      <c r="A4365" s="8">
        <v>40725</v>
      </c>
      <c r="B4365">
        <v>1371889.27</v>
      </c>
      <c r="C4365">
        <v>0</v>
      </c>
      <c r="D4365">
        <v>87.57</v>
      </c>
      <c r="E4365">
        <v>3.524</v>
      </c>
      <c r="F4365">
        <v>214.83686779999999</v>
      </c>
      <c r="G4365">
        <v>7.8520000000000003</v>
      </c>
      <c r="N4365" s="8"/>
    </row>
    <row r="4366" spans="1:14" x14ac:dyDescent="0.25">
      <c r="A4366" s="8">
        <v>40732</v>
      </c>
      <c r="B4366">
        <v>1423144.47</v>
      </c>
      <c r="C4366">
        <v>0</v>
      </c>
      <c r="D4366">
        <v>89.16</v>
      </c>
      <c r="E4366">
        <v>3.48</v>
      </c>
      <c r="F4366">
        <v>214.92962489999999</v>
      </c>
      <c r="G4366">
        <v>7.8520000000000003</v>
      </c>
      <c r="N4366" s="8"/>
    </row>
    <row r="4367" spans="1:14" x14ac:dyDescent="0.25">
      <c r="A4367" s="8">
        <v>40739</v>
      </c>
      <c r="B4367">
        <v>1415473.91</v>
      </c>
      <c r="C4367">
        <v>0</v>
      </c>
      <c r="D4367">
        <v>91.05</v>
      </c>
      <c r="E4367">
        <v>3.5750000000000002</v>
      </c>
      <c r="F4367">
        <v>215.01344259999999</v>
      </c>
      <c r="G4367">
        <v>7.8520000000000003</v>
      </c>
      <c r="N4367" s="8"/>
    </row>
    <row r="4368" spans="1:14" x14ac:dyDescent="0.25">
      <c r="A4368" s="8">
        <v>40746</v>
      </c>
      <c r="B4368">
        <v>1401944.8</v>
      </c>
      <c r="C4368">
        <v>0</v>
      </c>
      <c r="D4368">
        <v>90.27</v>
      </c>
      <c r="E4368">
        <v>3.6509999999999998</v>
      </c>
      <c r="F4368">
        <v>215.0749122</v>
      </c>
      <c r="G4368">
        <v>7.8520000000000003</v>
      </c>
      <c r="N4368" s="8"/>
    </row>
    <row r="4369" spans="1:14" x14ac:dyDescent="0.25">
      <c r="A4369" s="8">
        <v>40753</v>
      </c>
      <c r="B4369">
        <v>1308122.1499999999</v>
      </c>
      <c r="C4369">
        <v>0</v>
      </c>
      <c r="D4369">
        <v>91.56</v>
      </c>
      <c r="E4369">
        <v>3.6819999999999999</v>
      </c>
      <c r="F4369">
        <v>215.1363819</v>
      </c>
      <c r="G4369">
        <v>7.8520000000000003</v>
      </c>
      <c r="N4369" s="8"/>
    </row>
    <row r="4370" spans="1:14" x14ac:dyDescent="0.25">
      <c r="A4370" s="8">
        <v>40760</v>
      </c>
      <c r="B4370">
        <v>1428993.33</v>
      </c>
      <c r="C4370">
        <v>0</v>
      </c>
      <c r="D4370">
        <v>94.22</v>
      </c>
      <c r="E4370">
        <v>3.6840000000000002</v>
      </c>
      <c r="F4370">
        <v>215.19785150000001</v>
      </c>
      <c r="G4370">
        <v>7.8520000000000003</v>
      </c>
      <c r="N4370" s="8"/>
    </row>
    <row r="4371" spans="1:14" x14ac:dyDescent="0.25">
      <c r="A4371" s="8">
        <v>40767</v>
      </c>
      <c r="B4371">
        <v>1443311.49</v>
      </c>
      <c r="C4371">
        <v>0</v>
      </c>
      <c r="D4371">
        <v>92.32</v>
      </c>
      <c r="E4371">
        <v>3.6379999999999999</v>
      </c>
      <c r="F4371">
        <v>215.25932109999999</v>
      </c>
      <c r="G4371">
        <v>7.8520000000000003</v>
      </c>
      <c r="N4371" s="8"/>
    </row>
    <row r="4372" spans="1:14" x14ac:dyDescent="0.25">
      <c r="A4372" s="8">
        <v>40774</v>
      </c>
      <c r="B4372">
        <v>1487542.53</v>
      </c>
      <c r="C4372">
        <v>0</v>
      </c>
      <c r="D4372">
        <v>90.11</v>
      </c>
      <c r="E4372">
        <v>3.5539999999999998</v>
      </c>
      <c r="F4372">
        <v>215.3229307</v>
      </c>
      <c r="G4372">
        <v>7.8520000000000003</v>
      </c>
      <c r="N4372" s="8"/>
    </row>
    <row r="4373" spans="1:14" x14ac:dyDescent="0.25">
      <c r="A4373" s="8">
        <v>40781</v>
      </c>
      <c r="B4373">
        <v>1417267.07</v>
      </c>
      <c r="C4373">
        <v>0</v>
      </c>
      <c r="D4373">
        <v>92.07</v>
      </c>
      <c r="E4373">
        <v>3.5230000000000001</v>
      </c>
      <c r="F4373">
        <v>215.386897</v>
      </c>
      <c r="G4373">
        <v>7.8520000000000003</v>
      </c>
      <c r="N4373" s="8"/>
    </row>
    <row r="4374" spans="1:14" x14ac:dyDescent="0.25">
      <c r="A4374" s="8">
        <v>40788</v>
      </c>
      <c r="B4374">
        <v>1385769.03</v>
      </c>
      <c r="C4374">
        <v>0</v>
      </c>
      <c r="D4374">
        <v>91.94</v>
      </c>
      <c r="E4374">
        <v>3.5329999999999999</v>
      </c>
      <c r="F4374">
        <v>215.45086319999999</v>
      </c>
      <c r="G4374">
        <v>7.8520000000000003</v>
      </c>
      <c r="N4374" s="8"/>
    </row>
    <row r="4375" spans="1:14" x14ac:dyDescent="0.25">
      <c r="A4375" s="8">
        <v>40795</v>
      </c>
      <c r="B4375">
        <v>1376670.27</v>
      </c>
      <c r="C4375">
        <v>1</v>
      </c>
      <c r="D4375">
        <v>78.87</v>
      </c>
      <c r="E4375">
        <v>3.5459999999999998</v>
      </c>
      <c r="F4375">
        <v>215.51482949999999</v>
      </c>
      <c r="G4375">
        <v>7.8520000000000003</v>
      </c>
      <c r="N4375" s="8"/>
    </row>
    <row r="4376" spans="1:14" x14ac:dyDescent="0.25">
      <c r="A4376" s="8">
        <v>40802</v>
      </c>
      <c r="B4376">
        <v>1363460.86</v>
      </c>
      <c r="C4376">
        <v>0</v>
      </c>
      <c r="D4376">
        <v>80.62</v>
      </c>
      <c r="E4376">
        <v>3.5259999999999998</v>
      </c>
      <c r="F4376">
        <v>215.6944378</v>
      </c>
      <c r="G4376">
        <v>7.8520000000000003</v>
      </c>
      <c r="N4376" s="8"/>
    </row>
    <row r="4377" spans="1:14" x14ac:dyDescent="0.25">
      <c r="A4377" s="8">
        <v>40809</v>
      </c>
      <c r="B4377">
        <v>1347607.74</v>
      </c>
      <c r="C4377">
        <v>0</v>
      </c>
      <c r="D4377">
        <v>75.680000000000007</v>
      </c>
      <c r="E4377">
        <v>3.4670000000000001</v>
      </c>
      <c r="F4377">
        <v>216.02823559999999</v>
      </c>
      <c r="G4377">
        <v>7.8520000000000003</v>
      </c>
      <c r="N4377" s="8"/>
    </row>
    <row r="4378" spans="1:14" x14ac:dyDescent="0.25">
      <c r="A4378" s="8">
        <v>40816</v>
      </c>
      <c r="B4378">
        <v>1285534.74</v>
      </c>
      <c r="C4378">
        <v>0</v>
      </c>
      <c r="D4378">
        <v>78.91</v>
      </c>
      <c r="E4378">
        <v>3.355</v>
      </c>
      <c r="F4378">
        <v>216.36203330000001</v>
      </c>
      <c r="G4378">
        <v>7.8520000000000003</v>
      </c>
      <c r="N4378" s="8"/>
    </row>
    <row r="4379" spans="1:14" x14ac:dyDescent="0.25">
      <c r="A4379" s="8">
        <v>40823</v>
      </c>
      <c r="B4379">
        <v>1427383.24</v>
      </c>
      <c r="C4379">
        <v>0</v>
      </c>
      <c r="D4379">
        <v>71.64</v>
      </c>
      <c r="E4379">
        <v>3.2850000000000001</v>
      </c>
      <c r="F4379">
        <v>216.69583109999999</v>
      </c>
      <c r="G4379">
        <v>7.4409999999999998</v>
      </c>
      <c r="N4379" s="8"/>
    </row>
    <row r="4380" spans="1:14" x14ac:dyDescent="0.25">
      <c r="A4380" s="8">
        <v>40830</v>
      </c>
      <c r="B4380">
        <v>1378340.18</v>
      </c>
      <c r="C4380">
        <v>0</v>
      </c>
      <c r="D4380">
        <v>69.790000000000006</v>
      </c>
      <c r="E4380">
        <v>3.274</v>
      </c>
      <c r="F4380">
        <v>217.0048261</v>
      </c>
      <c r="G4380">
        <v>7.4409999999999998</v>
      </c>
      <c r="N4380" s="8"/>
    </row>
    <row r="4381" spans="1:14" x14ac:dyDescent="0.25">
      <c r="A4381" s="8">
        <v>40837</v>
      </c>
      <c r="B4381">
        <v>1409310.4</v>
      </c>
      <c r="C4381">
        <v>0</v>
      </c>
      <c r="D4381">
        <v>65.16</v>
      </c>
      <c r="E4381">
        <v>3.3530000000000002</v>
      </c>
      <c r="F4381">
        <v>217.1650042</v>
      </c>
      <c r="G4381">
        <v>7.4409999999999998</v>
      </c>
      <c r="N4381" s="8"/>
    </row>
    <row r="4382" spans="1:14" x14ac:dyDescent="0.25">
      <c r="A4382" s="8">
        <v>40844</v>
      </c>
      <c r="B4382">
        <v>1346862.72</v>
      </c>
      <c r="C4382">
        <v>0</v>
      </c>
      <c r="D4382">
        <v>65.459999999999994</v>
      </c>
      <c r="E4382">
        <v>3.3719999999999999</v>
      </c>
      <c r="F4382">
        <v>217.32518239999999</v>
      </c>
      <c r="G4382">
        <v>7.4409999999999998</v>
      </c>
      <c r="N4382" s="8"/>
    </row>
    <row r="4383" spans="1:14" x14ac:dyDescent="0.25">
      <c r="A4383" s="8">
        <v>40851</v>
      </c>
      <c r="B4383">
        <v>1426405.46</v>
      </c>
      <c r="C4383">
        <v>0</v>
      </c>
      <c r="D4383">
        <v>56.01</v>
      </c>
      <c r="E4383">
        <v>3.3319999999999999</v>
      </c>
      <c r="F4383">
        <v>217.48536050000001</v>
      </c>
      <c r="G4383">
        <v>7.4409999999999998</v>
      </c>
      <c r="N4383" s="8"/>
    </row>
    <row r="4384" spans="1:14" x14ac:dyDescent="0.25">
      <c r="A4384" s="8">
        <v>40858</v>
      </c>
      <c r="B4384">
        <v>1444783.64</v>
      </c>
      <c r="C4384">
        <v>0</v>
      </c>
      <c r="D4384">
        <v>59.8</v>
      </c>
      <c r="E4384">
        <v>3.2970000000000002</v>
      </c>
      <c r="F4384">
        <v>217.6455387</v>
      </c>
      <c r="G4384">
        <v>7.4409999999999998</v>
      </c>
      <c r="N4384" s="8"/>
    </row>
    <row r="4385" spans="1:14" x14ac:dyDescent="0.25">
      <c r="A4385" s="8">
        <v>40865</v>
      </c>
      <c r="B4385">
        <v>1445174.79</v>
      </c>
      <c r="C4385">
        <v>0</v>
      </c>
      <c r="D4385">
        <v>61.9</v>
      </c>
      <c r="E4385">
        <v>3.3079999999999998</v>
      </c>
      <c r="F4385">
        <v>217.8670218</v>
      </c>
      <c r="G4385">
        <v>7.4409999999999998</v>
      </c>
      <c r="N4385" s="8"/>
    </row>
    <row r="4386" spans="1:14" x14ac:dyDescent="0.25">
      <c r="A4386" s="8">
        <v>40872</v>
      </c>
      <c r="B4386">
        <v>1934099.65</v>
      </c>
      <c r="C4386">
        <v>1</v>
      </c>
      <c r="D4386">
        <v>56.43</v>
      </c>
      <c r="E4386">
        <v>3.2360000000000002</v>
      </c>
      <c r="F4386">
        <v>218.11302689999999</v>
      </c>
      <c r="G4386">
        <v>7.4409999999999998</v>
      </c>
      <c r="N4386" s="8"/>
    </row>
    <row r="4387" spans="1:14" x14ac:dyDescent="0.25">
      <c r="A4387" s="8">
        <v>40879</v>
      </c>
      <c r="B4387">
        <v>1388809.43</v>
      </c>
      <c r="C4387">
        <v>0</v>
      </c>
      <c r="D4387">
        <v>48.72</v>
      </c>
      <c r="E4387">
        <v>3.1720000000000002</v>
      </c>
      <c r="F4387">
        <v>218.35903189999999</v>
      </c>
      <c r="G4387">
        <v>7.4409999999999998</v>
      </c>
      <c r="N4387" s="8"/>
    </row>
    <row r="4388" spans="1:14" x14ac:dyDescent="0.25">
      <c r="A4388" s="8">
        <v>40886</v>
      </c>
      <c r="B4388">
        <v>1556798.94</v>
      </c>
      <c r="C4388">
        <v>0</v>
      </c>
      <c r="D4388">
        <v>41.44</v>
      </c>
      <c r="E4388">
        <v>3.1579999999999999</v>
      </c>
      <c r="F4388">
        <v>218.60503700000001</v>
      </c>
      <c r="G4388">
        <v>7.4409999999999998</v>
      </c>
      <c r="N4388" s="8"/>
    </row>
    <row r="4389" spans="1:14" x14ac:dyDescent="0.25">
      <c r="A4389" s="8">
        <v>40893</v>
      </c>
      <c r="B4389">
        <v>1611196.61</v>
      </c>
      <c r="C4389">
        <v>0</v>
      </c>
      <c r="D4389">
        <v>50.56</v>
      </c>
      <c r="E4389">
        <v>3.1589999999999998</v>
      </c>
      <c r="F4389">
        <v>218.8217928</v>
      </c>
      <c r="G4389">
        <v>7.4409999999999998</v>
      </c>
      <c r="N4389" s="8"/>
    </row>
    <row r="4390" spans="1:14" x14ac:dyDescent="0.25">
      <c r="A4390" s="8">
        <v>40900</v>
      </c>
      <c r="B4390">
        <v>2026176.14</v>
      </c>
      <c r="C4390">
        <v>0</v>
      </c>
      <c r="D4390">
        <v>46.54</v>
      </c>
      <c r="E4390">
        <v>3.1120000000000001</v>
      </c>
      <c r="F4390">
        <v>218.9995495</v>
      </c>
      <c r="G4390">
        <v>7.4409999999999998</v>
      </c>
      <c r="N4390" s="8"/>
    </row>
    <row r="4391" spans="1:14" x14ac:dyDescent="0.25">
      <c r="A4391" s="8">
        <v>40907</v>
      </c>
      <c r="B4391">
        <v>1355405.95</v>
      </c>
      <c r="C4391">
        <v>1</v>
      </c>
      <c r="D4391">
        <v>45.16</v>
      </c>
      <c r="E4391">
        <v>3.129</v>
      </c>
      <c r="F4391">
        <v>219.1773063</v>
      </c>
      <c r="G4391">
        <v>7.4409999999999998</v>
      </c>
      <c r="N4391" s="8"/>
    </row>
    <row r="4392" spans="1:14" x14ac:dyDescent="0.25">
      <c r="A4392" s="8">
        <v>40914</v>
      </c>
      <c r="B4392">
        <v>1401232.52</v>
      </c>
      <c r="C4392">
        <v>0</v>
      </c>
      <c r="D4392">
        <v>48.1</v>
      </c>
      <c r="E4392">
        <v>3.157</v>
      </c>
      <c r="F4392">
        <v>219.355063</v>
      </c>
      <c r="G4392">
        <v>7.0570000000000004</v>
      </c>
      <c r="N4392" s="8"/>
    </row>
    <row r="4393" spans="1:14" x14ac:dyDescent="0.25">
      <c r="A4393" s="8">
        <v>40921</v>
      </c>
      <c r="B4393">
        <v>1377485.12</v>
      </c>
      <c r="C4393">
        <v>0</v>
      </c>
      <c r="D4393">
        <v>45</v>
      </c>
      <c r="E4393">
        <v>3.2610000000000001</v>
      </c>
      <c r="F4393">
        <v>219.5328198</v>
      </c>
      <c r="G4393">
        <v>7.0570000000000004</v>
      </c>
      <c r="N4393" s="8"/>
    </row>
    <row r="4394" spans="1:14" x14ac:dyDescent="0.25">
      <c r="A4394" s="8">
        <v>40928</v>
      </c>
      <c r="B4394">
        <v>1372504.9</v>
      </c>
      <c r="C4394">
        <v>0</v>
      </c>
      <c r="D4394">
        <v>52.21</v>
      </c>
      <c r="E4394">
        <v>3.2679999999999998</v>
      </c>
      <c r="F4394">
        <v>219.6258417</v>
      </c>
      <c r="G4394">
        <v>7.0570000000000004</v>
      </c>
      <c r="N4394" s="8"/>
    </row>
    <row r="4395" spans="1:14" x14ac:dyDescent="0.25">
      <c r="A4395" s="8">
        <v>40935</v>
      </c>
      <c r="B4395">
        <v>1259941.48</v>
      </c>
      <c r="C4395">
        <v>0</v>
      </c>
      <c r="D4395">
        <v>50.79</v>
      </c>
      <c r="E4395">
        <v>3.29</v>
      </c>
      <c r="F4395">
        <v>219.71886359999999</v>
      </c>
      <c r="G4395">
        <v>7.0570000000000004</v>
      </c>
      <c r="N4395" s="8"/>
    </row>
    <row r="4396" spans="1:14" x14ac:dyDescent="0.25">
      <c r="A4396" s="8">
        <v>40942</v>
      </c>
      <c r="B4396">
        <v>1391479.91</v>
      </c>
      <c r="C4396">
        <v>0</v>
      </c>
      <c r="D4396">
        <v>55.83</v>
      </c>
      <c r="E4396">
        <v>3.36</v>
      </c>
      <c r="F4396">
        <v>219.81188539999999</v>
      </c>
      <c r="G4396">
        <v>7.0570000000000004</v>
      </c>
      <c r="N4396" s="8"/>
    </row>
    <row r="4397" spans="1:14" x14ac:dyDescent="0.25">
      <c r="A4397" s="8">
        <v>40949</v>
      </c>
      <c r="B4397">
        <v>1527688.58</v>
      </c>
      <c r="C4397">
        <v>1</v>
      </c>
      <c r="D4397">
        <v>46.52</v>
      </c>
      <c r="E4397">
        <v>3.4089999999999998</v>
      </c>
      <c r="F4397">
        <v>219.90490729999999</v>
      </c>
      <c r="G4397">
        <v>7.0570000000000004</v>
      </c>
      <c r="N4397" s="8"/>
    </row>
    <row r="4398" spans="1:14" x14ac:dyDescent="0.25">
      <c r="A4398" s="8">
        <v>40956</v>
      </c>
      <c r="B4398">
        <v>1570813.52</v>
      </c>
      <c r="C4398">
        <v>0</v>
      </c>
      <c r="D4398">
        <v>45.03</v>
      </c>
      <c r="E4398">
        <v>3.51</v>
      </c>
      <c r="F4398">
        <v>220.06519929999999</v>
      </c>
      <c r="G4398">
        <v>7.0570000000000004</v>
      </c>
      <c r="N4398" s="8"/>
    </row>
    <row r="4399" spans="1:14" x14ac:dyDescent="0.25">
      <c r="A4399" s="8">
        <v>40963</v>
      </c>
      <c r="B4399">
        <v>1392543.37</v>
      </c>
      <c r="C4399">
        <v>0</v>
      </c>
      <c r="D4399">
        <v>54.81</v>
      </c>
      <c r="E4399">
        <v>3.5550000000000002</v>
      </c>
      <c r="F4399">
        <v>220.27594400000001</v>
      </c>
      <c r="G4399">
        <v>7.0570000000000004</v>
      </c>
      <c r="N4399" s="8"/>
    </row>
    <row r="4400" spans="1:14" x14ac:dyDescent="0.25">
      <c r="A4400" s="8">
        <v>40970</v>
      </c>
      <c r="B4400">
        <v>1427881.22</v>
      </c>
      <c r="C4400">
        <v>0</v>
      </c>
      <c r="D4400">
        <v>59.3</v>
      </c>
      <c r="E4400">
        <v>3.63</v>
      </c>
      <c r="F4400">
        <v>220.48668860000001</v>
      </c>
      <c r="G4400">
        <v>7.0570000000000004</v>
      </c>
      <c r="N4400" s="8"/>
    </row>
    <row r="4401" spans="1:14" x14ac:dyDescent="0.25">
      <c r="A4401" s="8">
        <v>40977</v>
      </c>
      <c r="B4401">
        <v>1439034.86</v>
      </c>
      <c r="C4401">
        <v>0</v>
      </c>
      <c r="D4401">
        <v>57.16</v>
      </c>
      <c r="E4401">
        <v>3.669</v>
      </c>
      <c r="F4401">
        <v>220.69743320000001</v>
      </c>
      <c r="G4401">
        <v>7.0570000000000004</v>
      </c>
      <c r="N4401" s="8"/>
    </row>
    <row r="4402" spans="1:14" x14ac:dyDescent="0.25">
      <c r="A4402" s="8">
        <v>40984</v>
      </c>
      <c r="B4402">
        <v>1481728.13</v>
      </c>
      <c r="C4402">
        <v>0</v>
      </c>
      <c r="D4402">
        <v>63.39</v>
      </c>
      <c r="E4402">
        <v>3.734</v>
      </c>
      <c r="F4402">
        <v>220.84984679999999</v>
      </c>
      <c r="G4402">
        <v>7.0570000000000004</v>
      </c>
      <c r="N4402" s="8"/>
    </row>
    <row r="4403" spans="1:14" x14ac:dyDescent="0.25">
      <c r="A4403" s="8">
        <v>40991</v>
      </c>
      <c r="B4403">
        <v>1365824.97</v>
      </c>
      <c r="C4403">
        <v>0</v>
      </c>
      <c r="D4403">
        <v>62.96</v>
      </c>
      <c r="E4403">
        <v>3.7869999999999999</v>
      </c>
      <c r="F4403">
        <v>220.92448580000001</v>
      </c>
      <c r="G4403">
        <v>7.0570000000000004</v>
      </c>
      <c r="N4403" s="8"/>
    </row>
    <row r="4404" spans="1:14" x14ac:dyDescent="0.25">
      <c r="A4404" s="8">
        <v>40998</v>
      </c>
      <c r="B4404">
        <v>1318854.22</v>
      </c>
      <c r="C4404">
        <v>0</v>
      </c>
      <c r="D4404">
        <v>67.87</v>
      </c>
      <c r="E4404">
        <v>3.8450000000000002</v>
      </c>
      <c r="F4404">
        <v>220.9991248</v>
      </c>
      <c r="G4404">
        <v>7.0570000000000004</v>
      </c>
      <c r="N4404" s="8"/>
    </row>
    <row r="4405" spans="1:14" x14ac:dyDescent="0.25">
      <c r="A4405" s="8">
        <v>41005</v>
      </c>
      <c r="B4405">
        <v>1496169.81</v>
      </c>
      <c r="C4405">
        <v>0</v>
      </c>
      <c r="D4405">
        <v>69.02</v>
      </c>
      <c r="E4405">
        <v>3.891</v>
      </c>
      <c r="F4405">
        <v>221.07376379999999</v>
      </c>
      <c r="G4405">
        <v>6.891</v>
      </c>
      <c r="N4405" s="8"/>
    </row>
    <row r="4406" spans="1:14" x14ac:dyDescent="0.25">
      <c r="A4406" s="8">
        <v>41012</v>
      </c>
      <c r="B4406">
        <v>1407842.91</v>
      </c>
      <c r="C4406">
        <v>0</v>
      </c>
      <c r="D4406">
        <v>69.03</v>
      </c>
      <c r="E4406">
        <v>3.891</v>
      </c>
      <c r="F4406">
        <v>221.14840280000001</v>
      </c>
      <c r="G4406">
        <v>6.891</v>
      </c>
      <c r="N4406" s="8"/>
    </row>
    <row r="4407" spans="1:14" x14ac:dyDescent="0.25">
      <c r="A4407" s="8">
        <v>41019</v>
      </c>
      <c r="B4407">
        <v>1407036.59</v>
      </c>
      <c r="C4407">
        <v>0</v>
      </c>
      <c r="D4407">
        <v>66.97</v>
      </c>
      <c r="E4407">
        <v>3.8769999999999998</v>
      </c>
      <c r="F4407">
        <v>221.20210739999999</v>
      </c>
      <c r="G4407">
        <v>6.891</v>
      </c>
      <c r="N4407" s="8"/>
    </row>
    <row r="4408" spans="1:14" x14ac:dyDescent="0.25">
      <c r="A4408" s="8">
        <v>41026</v>
      </c>
      <c r="B4408">
        <v>1311352.25</v>
      </c>
      <c r="C4408">
        <v>0</v>
      </c>
      <c r="D4408">
        <v>69.209999999999994</v>
      </c>
      <c r="E4408">
        <v>3.8140000000000001</v>
      </c>
      <c r="F4408">
        <v>221.25581199999999</v>
      </c>
      <c r="G4408">
        <v>6.891</v>
      </c>
      <c r="N4408" s="8"/>
    </row>
    <row r="4409" spans="1:14" x14ac:dyDescent="0.25">
      <c r="A4409" s="8">
        <v>41033</v>
      </c>
      <c r="B4409">
        <v>1391257.28</v>
      </c>
      <c r="C4409">
        <v>0</v>
      </c>
      <c r="D4409">
        <v>77.53</v>
      </c>
      <c r="E4409">
        <v>3.7490000000000001</v>
      </c>
      <c r="F4409">
        <v>221.30951659999999</v>
      </c>
      <c r="G4409">
        <v>6.891</v>
      </c>
      <c r="N4409" s="8"/>
    </row>
    <row r="4410" spans="1:14" x14ac:dyDescent="0.25">
      <c r="A4410" s="8">
        <v>41040</v>
      </c>
      <c r="B4410">
        <v>1392938.06</v>
      </c>
      <c r="C4410">
        <v>0</v>
      </c>
      <c r="D4410">
        <v>74.14</v>
      </c>
      <c r="E4410">
        <v>3.6880000000000002</v>
      </c>
      <c r="F4410">
        <v>221.3632212</v>
      </c>
      <c r="G4410">
        <v>6.891</v>
      </c>
      <c r="N4410" s="8"/>
    </row>
    <row r="4411" spans="1:14" x14ac:dyDescent="0.25">
      <c r="A4411" s="8">
        <v>41047</v>
      </c>
      <c r="B4411">
        <v>1441473.82</v>
      </c>
      <c r="C4411">
        <v>0</v>
      </c>
      <c r="D4411">
        <v>72.42</v>
      </c>
      <c r="E4411">
        <v>3.63</v>
      </c>
      <c r="F4411">
        <v>221.38033100000001</v>
      </c>
      <c r="G4411">
        <v>6.891</v>
      </c>
      <c r="N4411" s="8"/>
    </row>
    <row r="4412" spans="1:14" x14ac:dyDescent="0.25">
      <c r="A4412" s="8">
        <v>41054</v>
      </c>
      <c r="B4412">
        <v>1397094.26</v>
      </c>
      <c r="C4412">
        <v>0</v>
      </c>
      <c r="D4412">
        <v>79.489999999999995</v>
      </c>
      <c r="E4412">
        <v>3.5609999999999999</v>
      </c>
      <c r="F4412">
        <v>221.3828029</v>
      </c>
      <c r="G4412">
        <v>6.891</v>
      </c>
      <c r="N4412" s="8"/>
    </row>
    <row r="4413" spans="1:14" x14ac:dyDescent="0.25">
      <c r="A4413" s="8">
        <v>41061</v>
      </c>
      <c r="B4413">
        <v>1404516.29</v>
      </c>
      <c r="C4413">
        <v>0</v>
      </c>
      <c r="D4413">
        <v>79.239999999999995</v>
      </c>
      <c r="E4413">
        <v>3.5009999999999999</v>
      </c>
      <c r="F4413">
        <v>221.38527479999999</v>
      </c>
      <c r="G4413">
        <v>6.891</v>
      </c>
      <c r="N4413" s="8"/>
    </row>
    <row r="4414" spans="1:14" x14ac:dyDescent="0.25">
      <c r="A4414" s="8">
        <v>41068</v>
      </c>
      <c r="B4414">
        <v>1443285.79</v>
      </c>
      <c r="C4414">
        <v>0</v>
      </c>
      <c r="D4414">
        <v>79.47</v>
      </c>
      <c r="E4414">
        <v>3.452</v>
      </c>
      <c r="F4414">
        <v>221.38774670000001</v>
      </c>
      <c r="G4414">
        <v>6.891</v>
      </c>
      <c r="N4414" s="8"/>
    </row>
    <row r="4415" spans="1:14" x14ac:dyDescent="0.25">
      <c r="A4415" s="8">
        <v>41075</v>
      </c>
      <c r="B4415">
        <v>1431003.43</v>
      </c>
      <c r="C4415">
        <v>0</v>
      </c>
      <c r="D4415">
        <v>81.510000000000005</v>
      </c>
      <c r="E4415">
        <v>3.3929999999999998</v>
      </c>
      <c r="F4415">
        <v>221.4009901</v>
      </c>
      <c r="G4415">
        <v>6.891</v>
      </c>
      <c r="N4415" s="8"/>
    </row>
    <row r="4416" spans="1:14" x14ac:dyDescent="0.25">
      <c r="A4416" s="8">
        <v>41082</v>
      </c>
      <c r="B4416">
        <v>1394065.76</v>
      </c>
      <c r="C4416">
        <v>0</v>
      </c>
      <c r="D4416">
        <v>81.78</v>
      </c>
      <c r="E4416">
        <v>3.3460000000000001</v>
      </c>
      <c r="F4416">
        <v>221.44116220000001</v>
      </c>
      <c r="G4416">
        <v>6.891</v>
      </c>
      <c r="N4416" s="8"/>
    </row>
    <row r="4417" spans="1:14" x14ac:dyDescent="0.25">
      <c r="A4417" s="8">
        <v>41089</v>
      </c>
      <c r="B4417">
        <v>1349202.25</v>
      </c>
      <c r="C4417">
        <v>0</v>
      </c>
      <c r="D4417">
        <v>88.05</v>
      </c>
      <c r="E4417">
        <v>3.286</v>
      </c>
      <c r="F4417">
        <v>221.48133429999999</v>
      </c>
      <c r="G4417">
        <v>6.891</v>
      </c>
      <c r="N4417" s="8"/>
    </row>
    <row r="4418" spans="1:14" x14ac:dyDescent="0.25">
      <c r="A4418" s="8">
        <v>41096</v>
      </c>
      <c r="B4418">
        <v>1458059.42</v>
      </c>
      <c r="C4418">
        <v>0</v>
      </c>
      <c r="D4418">
        <v>85.26</v>
      </c>
      <c r="E4418">
        <v>3.2269999999999999</v>
      </c>
      <c r="F4418">
        <v>221.52150639999999</v>
      </c>
      <c r="G4418">
        <v>6.5650000000000004</v>
      </c>
      <c r="N4418" s="8"/>
    </row>
    <row r="4419" spans="1:14" x14ac:dyDescent="0.25">
      <c r="A4419" s="8">
        <v>41103</v>
      </c>
      <c r="B4419">
        <v>1374301.34</v>
      </c>
      <c r="C4419">
        <v>0</v>
      </c>
      <c r="D4419">
        <v>82.51</v>
      </c>
      <c r="E4419">
        <v>3.2559999999999998</v>
      </c>
      <c r="F4419">
        <v>221.56167840000001</v>
      </c>
      <c r="G4419">
        <v>6.5650000000000004</v>
      </c>
      <c r="N4419" s="8"/>
    </row>
    <row r="4420" spans="1:14" x14ac:dyDescent="0.25">
      <c r="A4420" s="8">
        <v>41110</v>
      </c>
      <c r="B4420">
        <v>1392395.2</v>
      </c>
      <c r="C4420">
        <v>0</v>
      </c>
      <c r="D4420">
        <v>84.25</v>
      </c>
      <c r="E4420">
        <v>3.3109999999999999</v>
      </c>
      <c r="F4420">
        <v>221.57011230000001</v>
      </c>
      <c r="G4420">
        <v>6.5650000000000004</v>
      </c>
      <c r="N4420" s="8"/>
    </row>
    <row r="4421" spans="1:14" x14ac:dyDescent="0.25">
      <c r="A4421" s="8">
        <v>41117</v>
      </c>
      <c r="B4421">
        <v>1303732.3600000001</v>
      </c>
      <c r="C4421">
        <v>0</v>
      </c>
      <c r="D4421">
        <v>88.09</v>
      </c>
      <c r="E4421">
        <v>3.407</v>
      </c>
      <c r="F4421">
        <v>221.57854610000001</v>
      </c>
      <c r="G4421">
        <v>6.5650000000000004</v>
      </c>
      <c r="N4421" s="8"/>
    </row>
    <row r="4422" spans="1:14" x14ac:dyDescent="0.25">
      <c r="A4422" s="8">
        <v>41124</v>
      </c>
      <c r="B4422">
        <v>1390174.63</v>
      </c>
      <c r="C4422">
        <v>0</v>
      </c>
      <c r="D4422">
        <v>91.57</v>
      </c>
      <c r="E4422">
        <v>3.4169999999999998</v>
      </c>
      <c r="F4422">
        <v>221.58697989999999</v>
      </c>
      <c r="G4422">
        <v>6.5650000000000004</v>
      </c>
      <c r="N4422" s="8"/>
    </row>
    <row r="4423" spans="1:14" x14ac:dyDescent="0.25">
      <c r="A4423" s="8">
        <v>41131</v>
      </c>
      <c r="B4423">
        <v>1386472.59</v>
      </c>
      <c r="C4423">
        <v>0</v>
      </c>
      <c r="D4423">
        <v>89.57</v>
      </c>
      <c r="E4423">
        <v>3.4940000000000002</v>
      </c>
      <c r="F4423">
        <v>221.59541379999999</v>
      </c>
      <c r="G4423">
        <v>6.5650000000000004</v>
      </c>
      <c r="N4423" s="8"/>
    </row>
    <row r="4424" spans="1:14" x14ac:dyDescent="0.25">
      <c r="A4424" s="8">
        <v>41138</v>
      </c>
      <c r="B4424">
        <v>1410181.7</v>
      </c>
      <c r="C4424">
        <v>0</v>
      </c>
      <c r="D4424">
        <v>85.55</v>
      </c>
      <c r="E4424">
        <v>3.5710000000000002</v>
      </c>
      <c r="F4424">
        <v>221.67514589999999</v>
      </c>
      <c r="G4424">
        <v>6.5650000000000004</v>
      </c>
      <c r="N4424" s="8"/>
    </row>
    <row r="4425" spans="1:14" x14ac:dyDescent="0.25">
      <c r="A4425" s="8">
        <v>41145</v>
      </c>
      <c r="B4425">
        <v>1379783.21</v>
      </c>
      <c r="C4425">
        <v>0</v>
      </c>
      <c r="D4425">
        <v>77.72</v>
      </c>
      <c r="E4425">
        <v>3.62</v>
      </c>
      <c r="F4425">
        <v>221.8083518</v>
      </c>
      <c r="G4425">
        <v>6.5650000000000004</v>
      </c>
      <c r="N4425" s="8"/>
    </row>
    <row r="4426" spans="1:14" x14ac:dyDescent="0.25">
      <c r="A4426" s="8">
        <v>41152</v>
      </c>
      <c r="B4426">
        <v>1373651.49</v>
      </c>
      <c r="C4426">
        <v>0</v>
      </c>
      <c r="D4426">
        <v>83.58</v>
      </c>
      <c r="E4426">
        <v>3.6379999999999999</v>
      </c>
      <c r="F4426">
        <v>221.94155760000001</v>
      </c>
      <c r="G4426">
        <v>6.5650000000000004</v>
      </c>
      <c r="N4426" s="8"/>
    </row>
    <row r="4427" spans="1:14" x14ac:dyDescent="0.25">
      <c r="A4427" s="8">
        <v>41159</v>
      </c>
      <c r="B4427">
        <v>1358111.62</v>
      </c>
      <c r="C4427">
        <v>1</v>
      </c>
      <c r="D4427">
        <v>88.4</v>
      </c>
      <c r="E4427">
        <v>3.73</v>
      </c>
      <c r="F4427">
        <v>222.07476349999999</v>
      </c>
      <c r="G4427">
        <v>6.5650000000000004</v>
      </c>
      <c r="N4427" s="8"/>
    </row>
    <row r="4428" spans="1:14" x14ac:dyDescent="0.25">
      <c r="A4428" s="8">
        <v>41166</v>
      </c>
      <c r="B4428">
        <v>1327705.44</v>
      </c>
      <c r="C4428">
        <v>0</v>
      </c>
      <c r="D4428">
        <v>76.099999999999994</v>
      </c>
      <c r="E4428">
        <v>3.7170000000000001</v>
      </c>
      <c r="F4428">
        <v>222.21743950000001</v>
      </c>
      <c r="G4428">
        <v>6.5650000000000004</v>
      </c>
      <c r="N4428" s="8"/>
    </row>
    <row r="4429" spans="1:14" x14ac:dyDescent="0.25">
      <c r="A4429" s="8">
        <v>41173</v>
      </c>
      <c r="B4429">
        <v>1373064.87</v>
      </c>
      <c r="C4429">
        <v>0</v>
      </c>
      <c r="D4429">
        <v>71.540000000000006</v>
      </c>
      <c r="E4429">
        <v>3.7210000000000001</v>
      </c>
      <c r="F4429">
        <v>222.41693620000001</v>
      </c>
      <c r="G4429">
        <v>6.5650000000000004</v>
      </c>
      <c r="N4429" s="8"/>
    </row>
    <row r="4430" spans="1:14" x14ac:dyDescent="0.25">
      <c r="A4430" s="8">
        <v>41180</v>
      </c>
      <c r="B4430">
        <v>1279080.58</v>
      </c>
      <c r="C4430">
        <v>0</v>
      </c>
      <c r="D4430">
        <v>80.38</v>
      </c>
      <c r="E4430">
        <v>3.6659999999999999</v>
      </c>
      <c r="F4430">
        <v>222.61643290000001</v>
      </c>
      <c r="G4430">
        <v>6.5650000000000004</v>
      </c>
      <c r="N4430" s="8"/>
    </row>
    <row r="4431" spans="1:14" x14ac:dyDescent="0.25">
      <c r="A4431" s="8">
        <v>41187</v>
      </c>
      <c r="B4431">
        <v>1363365.05</v>
      </c>
      <c r="C4431">
        <v>0</v>
      </c>
      <c r="D4431">
        <v>70.28</v>
      </c>
      <c r="E4431">
        <v>3.617</v>
      </c>
      <c r="F4431">
        <v>222.8159296</v>
      </c>
      <c r="G4431">
        <v>6.17</v>
      </c>
      <c r="N4431" s="8"/>
    </row>
    <row r="4432" spans="1:14" x14ac:dyDescent="0.25">
      <c r="A4432" s="8">
        <v>41194</v>
      </c>
      <c r="B4432">
        <v>1401113.42</v>
      </c>
      <c r="C4432">
        <v>0</v>
      </c>
      <c r="D4432">
        <v>61.53</v>
      </c>
      <c r="E4432">
        <v>3.601</v>
      </c>
      <c r="F4432">
        <v>223.0154263</v>
      </c>
      <c r="G4432">
        <v>6.17</v>
      </c>
      <c r="N4432" s="8"/>
    </row>
    <row r="4433" spans="1:14" x14ac:dyDescent="0.25">
      <c r="A4433" s="8">
        <v>41201</v>
      </c>
      <c r="B4433">
        <v>1378730.45</v>
      </c>
      <c r="C4433">
        <v>0</v>
      </c>
      <c r="D4433">
        <v>68.52</v>
      </c>
      <c r="E4433">
        <v>3.5939999999999999</v>
      </c>
      <c r="F4433">
        <v>223.05980769999999</v>
      </c>
      <c r="G4433">
        <v>6.17</v>
      </c>
      <c r="N4433" s="8"/>
    </row>
    <row r="4434" spans="1:14" x14ac:dyDescent="0.25">
      <c r="A4434" s="8">
        <v>41208</v>
      </c>
      <c r="B4434">
        <v>1340232.55</v>
      </c>
      <c r="C4434">
        <v>0</v>
      </c>
      <c r="D4434">
        <v>70.5</v>
      </c>
      <c r="E4434">
        <v>3.5059999999999998</v>
      </c>
      <c r="F4434">
        <v>223.0783366</v>
      </c>
      <c r="G4434">
        <v>6.17</v>
      </c>
      <c r="N4434" s="8"/>
    </row>
    <row r="4435" spans="1:14" x14ac:dyDescent="0.25">
      <c r="A4435" s="8">
        <v>40214</v>
      </c>
      <c r="B4435">
        <v>1087616.19</v>
      </c>
      <c r="C4435">
        <v>0</v>
      </c>
      <c r="D4435">
        <v>34.43</v>
      </c>
      <c r="E4435">
        <v>2.58</v>
      </c>
      <c r="F4435">
        <v>189.38169740000001</v>
      </c>
      <c r="G4435">
        <v>9.0139999999999993</v>
      </c>
      <c r="N4435" s="8"/>
    </row>
    <row r="4436" spans="1:14" x14ac:dyDescent="0.25">
      <c r="A4436" s="8">
        <v>40221</v>
      </c>
      <c r="B4436">
        <v>1123566.1200000001</v>
      </c>
      <c r="C4436">
        <v>1</v>
      </c>
      <c r="D4436">
        <v>28.09</v>
      </c>
      <c r="E4436">
        <v>2.5720000000000001</v>
      </c>
      <c r="F4436">
        <v>189.46427249999999</v>
      </c>
      <c r="G4436">
        <v>9.0139999999999993</v>
      </c>
      <c r="N4436" s="8"/>
    </row>
    <row r="4437" spans="1:14" x14ac:dyDescent="0.25">
      <c r="A4437" s="8">
        <v>40228</v>
      </c>
      <c r="B4437">
        <v>1082559.06</v>
      </c>
      <c r="C4437">
        <v>0</v>
      </c>
      <c r="D4437">
        <v>29.16</v>
      </c>
      <c r="E4437">
        <v>2.5499999999999998</v>
      </c>
      <c r="F4437">
        <v>189.53409980000001</v>
      </c>
      <c r="G4437">
        <v>9.0139999999999993</v>
      </c>
      <c r="N4437" s="8"/>
    </row>
    <row r="4438" spans="1:14" x14ac:dyDescent="0.25">
      <c r="A4438" s="8">
        <v>40235</v>
      </c>
      <c r="B4438">
        <v>1053247.1000000001</v>
      </c>
      <c r="C4438">
        <v>0</v>
      </c>
      <c r="D4438">
        <v>26.64</v>
      </c>
      <c r="E4438">
        <v>2.5859999999999999</v>
      </c>
      <c r="F4438">
        <v>189.6018023</v>
      </c>
      <c r="G4438">
        <v>9.0139999999999993</v>
      </c>
      <c r="N4438" s="8"/>
    </row>
    <row r="4439" spans="1:14" x14ac:dyDescent="0.25">
      <c r="A4439" s="8">
        <v>40242</v>
      </c>
      <c r="B4439">
        <v>1066566.74</v>
      </c>
      <c r="C4439">
        <v>0</v>
      </c>
      <c r="D4439">
        <v>37.72</v>
      </c>
      <c r="E4439">
        <v>2.62</v>
      </c>
      <c r="F4439">
        <v>189.66950489999999</v>
      </c>
      <c r="G4439">
        <v>9.0139999999999993</v>
      </c>
      <c r="N4439" s="8"/>
    </row>
    <row r="4440" spans="1:14" x14ac:dyDescent="0.25">
      <c r="A4440" s="8">
        <v>40249</v>
      </c>
      <c r="B4440">
        <v>1093319.3700000001</v>
      </c>
      <c r="C4440">
        <v>0</v>
      </c>
      <c r="D4440">
        <v>39.880000000000003</v>
      </c>
      <c r="E4440">
        <v>2.6840000000000002</v>
      </c>
      <c r="F4440">
        <v>189.73720750000001</v>
      </c>
      <c r="G4440">
        <v>9.0139999999999993</v>
      </c>
      <c r="N4440" s="8"/>
    </row>
    <row r="4441" spans="1:14" x14ac:dyDescent="0.25">
      <c r="A4441" s="8">
        <v>40256</v>
      </c>
      <c r="B4441">
        <v>1059781.78</v>
      </c>
      <c r="C4441">
        <v>0</v>
      </c>
      <c r="D4441">
        <v>42.43</v>
      </c>
      <c r="E4441">
        <v>2.6920000000000002</v>
      </c>
      <c r="F4441">
        <v>189.734262</v>
      </c>
      <c r="G4441">
        <v>9.0139999999999993</v>
      </c>
      <c r="N4441" s="8"/>
    </row>
    <row r="4442" spans="1:14" x14ac:dyDescent="0.25">
      <c r="A4442" s="8">
        <v>40263</v>
      </c>
      <c r="B4442">
        <v>1076021.58</v>
      </c>
      <c r="C4442">
        <v>0</v>
      </c>
      <c r="D4442">
        <v>36.590000000000003</v>
      </c>
      <c r="E4442">
        <v>2.7170000000000001</v>
      </c>
      <c r="F4442">
        <v>189.71954170000001</v>
      </c>
      <c r="G4442">
        <v>9.0139999999999993</v>
      </c>
      <c r="N4442" s="8"/>
    </row>
    <row r="4443" spans="1:14" x14ac:dyDescent="0.25">
      <c r="A4443" s="8">
        <v>40270</v>
      </c>
      <c r="B4443">
        <v>1131732.94</v>
      </c>
      <c r="C4443">
        <v>0</v>
      </c>
      <c r="D4443">
        <v>48.28</v>
      </c>
      <c r="E4443">
        <v>2.7250000000000001</v>
      </c>
      <c r="F4443">
        <v>189.70482150000001</v>
      </c>
      <c r="G4443">
        <v>8.9629999999999992</v>
      </c>
      <c r="N4443" s="8"/>
    </row>
    <row r="4444" spans="1:14" x14ac:dyDescent="0.25">
      <c r="A4444" s="8">
        <v>40277</v>
      </c>
      <c r="B4444">
        <v>1095889.22</v>
      </c>
      <c r="C4444">
        <v>0</v>
      </c>
      <c r="D4444">
        <v>44.88</v>
      </c>
      <c r="E4444">
        <v>2.75</v>
      </c>
      <c r="F4444">
        <v>189.69010119999999</v>
      </c>
      <c r="G4444">
        <v>8.9629999999999992</v>
      </c>
      <c r="N4444" s="8"/>
    </row>
    <row r="4445" spans="1:14" x14ac:dyDescent="0.25">
      <c r="A4445" s="8">
        <v>40284</v>
      </c>
      <c r="B4445">
        <v>1082763.27</v>
      </c>
      <c r="C4445">
        <v>0</v>
      </c>
      <c r="D4445">
        <v>53.49</v>
      </c>
      <c r="E4445">
        <v>2.7650000000000001</v>
      </c>
      <c r="F4445">
        <v>189.66288449999999</v>
      </c>
      <c r="G4445">
        <v>8.9629999999999992</v>
      </c>
      <c r="N4445" s="8"/>
    </row>
    <row r="4446" spans="1:14" x14ac:dyDescent="0.25">
      <c r="A4446" s="8">
        <v>40291</v>
      </c>
      <c r="B4446">
        <v>1072474.8</v>
      </c>
      <c r="C4446">
        <v>0</v>
      </c>
      <c r="D4446">
        <v>50.06</v>
      </c>
      <c r="E4446">
        <v>2.7759999999999998</v>
      </c>
      <c r="F4446">
        <v>189.6190057</v>
      </c>
      <c r="G4446">
        <v>8.9629999999999992</v>
      </c>
      <c r="N4446" s="8"/>
    </row>
    <row r="4447" spans="1:14" x14ac:dyDescent="0.25">
      <c r="A4447" s="8">
        <v>40298</v>
      </c>
      <c r="B4447">
        <v>1066792.6299999999</v>
      </c>
      <c r="C4447">
        <v>0</v>
      </c>
      <c r="D4447">
        <v>47.51</v>
      </c>
      <c r="E4447">
        <v>2.766</v>
      </c>
      <c r="F4447">
        <v>189.57512700000001</v>
      </c>
      <c r="G4447">
        <v>8.9629999999999992</v>
      </c>
      <c r="N4447" s="8"/>
    </row>
    <row r="4448" spans="1:14" x14ac:dyDescent="0.25">
      <c r="A4448" s="8">
        <v>40305</v>
      </c>
      <c r="B4448">
        <v>1133657.58</v>
      </c>
      <c r="C4448">
        <v>0</v>
      </c>
      <c r="D4448">
        <v>48.94</v>
      </c>
      <c r="E4448">
        <v>2.7709999999999999</v>
      </c>
      <c r="F4448">
        <v>189.53124829999999</v>
      </c>
      <c r="G4448">
        <v>8.9629999999999992</v>
      </c>
      <c r="N4448" s="8"/>
    </row>
    <row r="4449" spans="1:14" x14ac:dyDescent="0.25">
      <c r="A4449" s="8">
        <v>40312</v>
      </c>
      <c r="B4449">
        <v>1079314.52</v>
      </c>
      <c r="C4449">
        <v>0</v>
      </c>
      <c r="D4449">
        <v>46.42</v>
      </c>
      <c r="E4449">
        <v>2.7879999999999998</v>
      </c>
      <c r="F4449">
        <v>189.49041159999999</v>
      </c>
      <c r="G4449">
        <v>8.9629999999999992</v>
      </c>
      <c r="N4449" s="8"/>
    </row>
    <row r="4450" spans="1:14" x14ac:dyDescent="0.25">
      <c r="A4450" s="8">
        <v>40319</v>
      </c>
      <c r="B4450">
        <v>1143819.3500000001</v>
      </c>
      <c r="C4450">
        <v>0</v>
      </c>
      <c r="D4450">
        <v>55.89</v>
      </c>
      <c r="E4450">
        <v>2.7759999999999998</v>
      </c>
      <c r="F4450">
        <v>189.467827</v>
      </c>
      <c r="G4450">
        <v>8.9629999999999992</v>
      </c>
      <c r="N4450" s="8"/>
    </row>
    <row r="4451" spans="1:14" x14ac:dyDescent="0.25">
      <c r="A4451" s="8">
        <v>40326</v>
      </c>
      <c r="B4451">
        <v>1205662.8500000001</v>
      </c>
      <c r="C4451">
        <v>0</v>
      </c>
      <c r="D4451">
        <v>64.69</v>
      </c>
      <c r="E4451">
        <v>2.7370000000000001</v>
      </c>
      <c r="F4451">
        <v>189.44524250000001</v>
      </c>
      <c r="G4451">
        <v>8.9629999999999992</v>
      </c>
      <c r="N4451" s="8"/>
    </row>
    <row r="4452" spans="1:14" x14ac:dyDescent="0.25">
      <c r="A4452" s="8">
        <v>40333</v>
      </c>
      <c r="B4452">
        <v>1149234.96</v>
      </c>
      <c r="C4452">
        <v>0</v>
      </c>
      <c r="D4452">
        <v>66.69</v>
      </c>
      <c r="E4452">
        <v>2.7</v>
      </c>
      <c r="F4452">
        <v>189.42265800000001</v>
      </c>
      <c r="G4452">
        <v>8.9629999999999992</v>
      </c>
      <c r="N4452" s="8"/>
    </row>
    <row r="4453" spans="1:14" x14ac:dyDescent="0.25">
      <c r="A4453" s="8">
        <v>40340</v>
      </c>
      <c r="B4453">
        <v>1192074.0900000001</v>
      </c>
      <c r="C4453">
        <v>0</v>
      </c>
      <c r="D4453">
        <v>70.86</v>
      </c>
      <c r="E4453">
        <v>2.6840000000000002</v>
      </c>
      <c r="F4453">
        <v>189.4000734</v>
      </c>
      <c r="G4453">
        <v>8.9629999999999992</v>
      </c>
      <c r="N4453" s="8"/>
    </row>
    <row r="4454" spans="1:14" x14ac:dyDescent="0.25">
      <c r="A4454" s="8">
        <v>40347</v>
      </c>
      <c r="B4454">
        <v>1150191.72</v>
      </c>
      <c r="C4454">
        <v>0</v>
      </c>
      <c r="D4454">
        <v>60.94</v>
      </c>
      <c r="E4454">
        <v>2.6739999999999999</v>
      </c>
      <c r="F4454">
        <v>189.41852589999999</v>
      </c>
      <c r="G4454">
        <v>8.9629999999999992</v>
      </c>
      <c r="N4454" s="8"/>
    </row>
    <row r="4455" spans="1:14" x14ac:dyDescent="0.25">
      <c r="A4455" s="8">
        <v>40354</v>
      </c>
      <c r="B4455">
        <v>1124763.74</v>
      </c>
      <c r="C4455">
        <v>0</v>
      </c>
      <c r="D4455">
        <v>72.42</v>
      </c>
      <c r="E4455">
        <v>2.7149999999999999</v>
      </c>
      <c r="F4455">
        <v>189.4533931</v>
      </c>
      <c r="G4455">
        <v>8.9629999999999992</v>
      </c>
      <c r="N4455" s="8"/>
    </row>
    <row r="4456" spans="1:14" x14ac:dyDescent="0.25">
      <c r="A4456" s="8">
        <v>40361</v>
      </c>
      <c r="B4456">
        <v>1187988.6399999999</v>
      </c>
      <c r="C4456">
        <v>0</v>
      </c>
      <c r="D4456">
        <v>74.739999999999995</v>
      </c>
      <c r="E4456">
        <v>2.7280000000000002</v>
      </c>
      <c r="F4456">
        <v>189.48826030000001</v>
      </c>
      <c r="G4456">
        <v>9.0169999999999995</v>
      </c>
      <c r="N4456" s="8"/>
    </row>
    <row r="4457" spans="1:14" x14ac:dyDescent="0.25">
      <c r="A4457" s="8">
        <v>40368</v>
      </c>
      <c r="B4457">
        <v>1077253.67</v>
      </c>
      <c r="C4457">
        <v>0</v>
      </c>
      <c r="D4457">
        <v>67.55</v>
      </c>
      <c r="E4457">
        <v>2.7109999999999999</v>
      </c>
      <c r="F4457">
        <v>189.52312760000001</v>
      </c>
      <c r="G4457">
        <v>9.0169999999999995</v>
      </c>
      <c r="N4457" s="8"/>
    </row>
    <row r="4458" spans="1:14" x14ac:dyDescent="0.25">
      <c r="A4458" s="8">
        <v>40375</v>
      </c>
      <c r="B4458">
        <v>1120172.24</v>
      </c>
      <c r="C4458">
        <v>0</v>
      </c>
      <c r="D4458">
        <v>76.2</v>
      </c>
      <c r="E4458">
        <v>2.6989999999999998</v>
      </c>
      <c r="F4458">
        <v>189.6125456</v>
      </c>
      <c r="G4458">
        <v>9.0169999999999995</v>
      </c>
      <c r="N4458" s="8"/>
    </row>
    <row r="4459" spans="1:14" x14ac:dyDescent="0.25">
      <c r="A4459" s="8">
        <v>40382</v>
      </c>
      <c r="B4459">
        <v>1109574.1100000001</v>
      </c>
      <c r="C4459">
        <v>0</v>
      </c>
      <c r="D4459">
        <v>75.69</v>
      </c>
      <c r="E4459">
        <v>2.6909999999999998</v>
      </c>
      <c r="F4459">
        <v>189.774698</v>
      </c>
      <c r="G4459">
        <v>9.0169999999999995</v>
      </c>
      <c r="N4459" s="8"/>
    </row>
    <row r="4460" spans="1:14" x14ac:dyDescent="0.25">
      <c r="A4460" s="8">
        <v>40389</v>
      </c>
      <c r="B4460">
        <v>1065350.56</v>
      </c>
      <c r="C4460">
        <v>0</v>
      </c>
      <c r="D4460">
        <v>75.62</v>
      </c>
      <c r="E4460">
        <v>2.69</v>
      </c>
      <c r="F4460">
        <v>189.9368504</v>
      </c>
      <c r="G4460">
        <v>9.0169999999999995</v>
      </c>
      <c r="N4460" s="8"/>
    </row>
    <row r="4461" spans="1:14" x14ac:dyDescent="0.25">
      <c r="A4461" s="8">
        <v>40396</v>
      </c>
      <c r="B4461">
        <v>1144552.0900000001</v>
      </c>
      <c r="C4461">
        <v>0</v>
      </c>
      <c r="D4461">
        <v>72.95</v>
      </c>
      <c r="E4461">
        <v>2.69</v>
      </c>
      <c r="F4461">
        <v>190.09900279999999</v>
      </c>
      <c r="G4461">
        <v>9.0169999999999995</v>
      </c>
      <c r="N4461" s="8"/>
    </row>
    <row r="4462" spans="1:14" x14ac:dyDescent="0.25">
      <c r="A4462" s="8">
        <v>40403</v>
      </c>
      <c r="B4462">
        <v>1157975.68</v>
      </c>
      <c r="C4462">
        <v>0</v>
      </c>
      <c r="D4462">
        <v>74.97</v>
      </c>
      <c r="E4462">
        <v>2.7229999999999999</v>
      </c>
      <c r="F4462">
        <v>190.26115519999999</v>
      </c>
      <c r="G4462">
        <v>9.0169999999999995</v>
      </c>
      <c r="N4462" s="8"/>
    </row>
    <row r="4463" spans="1:14" x14ac:dyDescent="0.25">
      <c r="A4463" s="8">
        <v>40410</v>
      </c>
      <c r="B4463">
        <v>1189887.8600000001</v>
      </c>
      <c r="C4463">
        <v>0</v>
      </c>
      <c r="D4463">
        <v>71.459999999999994</v>
      </c>
      <c r="E4463">
        <v>2.7320000000000002</v>
      </c>
      <c r="F4463">
        <v>190.29482369999999</v>
      </c>
      <c r="G4463">
        <v>9.0169999999999995</v>
      </c>
      <c r="N4463" s="8"/>
    </row>
    <row r="4464" spans="1:14" x14ac:dyDescent="0.25">
      <c r="A4464" s="8">
        <v>40417</v>
      </c>
      <c r="B4464">
        <v>1140501.03</v>
      </c>
      <c r="C4464">
        <v>0</v>
      </c>
      <c r="D4464">
        <v>74.95</v>
      </c>
      <c r="E4464">
        <v>2.7309999999999999</v>
      </c>
      <c r="F4464">
        <v>190.3284922</v>
      </c>
      <c r="G4464">
        <v>9.0169999999999995</v>
      </c>
      <c r="N4464" s="8"/>
    </row>
    <row r="4465" spans="1:14" x14ac:dyDescent="0.25">
      <c r="A4465" s="8">
        <v>40424</v>
      </c>
      <c r="B4465">
        <v>1095932.51</v>
      </c>
      <c r="C4465">
        <v>0</v>
      </c>
      <c r="D4465">
        <v>70.2</v>
      </c>
      <c r="E4465">
        <v>2.7730000000000001</v>
      </c>
      <c r="F4465">
        <v>190.3621607</v>
      </c>
      <c r="G4465">
        <v>9.0169999999999995</v>
      </c>
      <c r="N4465" s="8"/>
    </row>
    <row r="4466" spans="1:14" x14ac:dyDescent="0.25">
      <c r="A4466" s="8">
        <v>40431</v>
      </c>
      <c r="B4466">
        <v>1028635.39</v>
      </c>
      <c r="C4466">
        <v>1</v>
      </c>
      <c r="D4466">
        <v>68.44</v>
      </c>
      <c r="E4466">
        <v>2.78</v>
      </c>
      <c r="F4466">
        <v>190.3958293</v>
      </c>
      <c r="G4466">
        <v>9.0169999999999995</v>
      </c>
      <c r="N4466" s="8"/>
    </row>
    <row r="4467" spans="1:14" x14ac:dyDescent="0.25">
      <c r="A4467" s="8">
        <v>40438</v>
      </c>
      <c r="B4467">
        <v>1043962.36</v>
      </c>
      <c r="C4467">
        <v>0</v>
      </c>
      <c r="D4467">
        <v>67.17</v>
      </c>
      <c r="E4467">
        <v>2.8</v>
      </c>
      <c r="F4467">
        <v>190.46882869999999</v>
      </c>
      <c r="G4467">
        <v>9.0169999999999995</v>
      </c>
      <c r="N4467" s="8"/>
    </row>
    <row r="4468" spans="1:14" x14ac:dyDescent="0.25">
      <c r="A4468" s="8">
        <v>40445</v>
      </c>
      <c r="B4468">
        <v>1067432.1000000001</v>
      </c>
      <c r="C4468">
        <v>0</v>
      </c>
      <c r="D4468">
        <v>64.19</v>
      </c>
      <c r="E4468">
        <v>2.7930000000000001</v>
      </c>
      <c r="F4468">
        <v>190.5713264</v>
      </c>
      <c r="G4468">
        <v>9.0169999999999995</v>
      </c>
      <c r="N4468" s="8"/>
    </row>
    <row r="4469" spans="1:14" x14ac:dyDescent="0.25">
      <c r="A4469" s="8">
        <v>40452</v>
      </c>
      <c r="B4469">
        <v>1061089.56</v>
      </c>
      <c r="C4469">
        <v>0</v>
      </c>
      <c r="D4469">
        <v>66.14</v>
      </c>
      <c r="E4469">
        <v>2.7589999999999999</v>
      </c>
      <c r="F4469">
        <v>190.67382409999999</v>
      </c>
      <c r="G4469">
        <v>9.1370000000000005</v>
      </c>
      <c r="N4469" s="8"/>
    </row>
    <row r="4470" spans="1:14" x14ac:dyDescent="0.25">
      <c r="A4470" s="8">
        <v>40459</v>
      </c>
      <c r="B4470">
        <v>1085483.44</v>
      </c>
      <c r="C4470">
        <v>0</v>
      </c>
      <c r="D4470">
        <v>61.81</v>
      </c>
      <c r="E4470">
        <v>2.7450000000000001</v>
      </c>
      <c r="F4470">
        <v>190.77632180000001</v>
      </c>
      <c r="G4470">
        <v>9.1370000000000005</v>
      </c>
      <c r="N4470" s="8"/>
    </row>
    <row r="4471" spans="1:14" x14ac:dyDescent="0.25">
      <c r="A4471" s="8">
        <v>40466</v>
      </c>
      <c r="B4471">
        <v>1096692.8799999999</v>
      </c>
      <c r="C4471">
        <v>0</v>
      </c>
      <c r="D4471">
        <v>52.96</v>
      </c>
      <c r="E4471">
        <v>2.762</v>
      </c>
      <c r="F4471">
        <v>190.8623087</v>
      </c>
      <c r="G4471">
        <v>9.1370000000000005</v>
      </c>
      <c r="N4471" s="8"/>
    </row>
    <row r="4472" spans="1:14" x14ac:dyDescent="0.25">
      <c r="A4472" s="8">
        <v>40473</v>
      </c>
      <c r="B4472">
        <v>1102185</v>
      </c>
      <c r="C4472">
        <v>0</v>
      </c>
      <c r="D4472">
        <v>52.3</v>
      </c>
      <c r="E4472">
        <v>2.762</v>
      </c>
      <c r="F4472">
        <v>190.9070184</v>
      </c>
      <c r="G4472">
        <v>9.1370000000000005</v>
      </c>
      <c r="N4472" s="8"/>
    </row>
    <row r="4473" spans="1:14" x14ac:dyDescent="0.25">
      <c r="A4473" s="8">
        <v>40480</v>
      </c>
      <c r="B4473">
        <v>1115138.51</v>
      </c>
      <c r="C4473">
        <v>0</v>
      </c>
      <c r="D4473">
        <v>45.45</v>
      </c>
      <c r="E4473">
        <v>2.7480000000000002</v>
      </c>
      <c r="F4473">
        <v>190.951728</v>
      </c>
      <c r="G4473">
        <v>9.1370000000000005</v>
      </c>
      <c r="N4473" s="8"/>
    </row>
    <row r="4474" spans="1:14" x14ac:dyDescent="0.25">
      <c r="A4474" s="8">
        <v>40487</v>
      </c>
      <c r="B4474">
        <v>1063056.21</v>
      </c>
      <c r="C4474">
        <v>0</v>
      </c>
      <c r="D4474">
        <v>49.2</v>
      </c>
      <c r="E4474">
        <v>2.7290000000000001</v>
      </c>
      <c r="F4474">
        <v>190.9964377</v>
      </c>
      <c r="G4474">
        <v>9.1370000000000005</v>
      </c>
      <c r="N4474" s="8"/>
    </row>
    <row r="4475" spans="1:14" x14ac:dyDescent="0.25">
      <c r="A4475" s="8">
        <v>40494</v>
      </c>
      <c r="B4475">
        <v>1141019.1100000001</v>
      </c>
      <c r="C4475">
        <v>0</v>
      </c>
      <c r="D4475">
        <v>42.3</v>
      </c>
      <c r="E4475">
        <v>2.7370000000000001</v>
      </c>
      <c r="F4475">
        <v>191.0411474</v>
      </c>
      <c r="G4475">
        <v>9.1370000000000005</v>
      </c>
      <c r="N4475" s="8"/>
    </row>
    <row r="4476" spans="1:14" x14ac:dyDescent="0.25">
      <c r="A4476" s="8">
        <v>40501</v>
      </c>
      <c r="B4476">
        <v>1150729.8899999999</v>
      </c>
      <c r="C4476">
        <v>0</v>
      </c>
      <c r="D4476">
        <v>36.24</v>
      </c>
      <c r="E4476">
        <v>2.758</v>
      </c>
      <c r="F4476">
        <v>191.03121719999999</v>
      </c>
      <c r="G4476">
        <v>9.1370000000000005</v>
      </c>
      <c r="N4476" s="8"/>
    </row>
    <row r="4477" spans="1:14" x14ac:dyDescent="0.25">
      <c r="A4477" s="8">
        <v>40508</v>
      </c>
      <c r="B4477">
        <v>1634635.86</v>
      </c>
      <c r="C4477">
        <v>1</v>
      </c>
      <c r="D4477">
        <v>29.97</v>
      </c>
      <c r="E4477">
        <v>2.742</v>
      </c>
      <c r="F4477">
        <v>191.0121805</v>
      </c>
      <c r="G4477">
        <v>9.1370000000000005</v>
      </c>
      <c r="N4477" s="8"/>
    </row>
    <row r="4478" spans="1:14" x14ac:dyDescent="0.25">
      <c r="A4478" s="8">
        <v>40515</v>
      </c>
      <c r="B4478">
        <v>1200892.56</v>
      </c>
      <c r="C4478">
        <v>0</v>
      </c>
      <c r="D4478">
        <v>35.18</v>
      </c>
      <c r="E4478">
        <v>2.7120000000000002</v>
      </c>
      <c r="F4478">
        <v>190.99314369999999</v>
      </c>
      <c r="G4478">
        <v>9.1370000000000005</v>
      </c>
      <c r="N4478" s="8"/>
    </row>
    <row r="4479" spans="1:14" x14ac:dyDescent="0.25">
      <c r="A4479" s="8">
        <v>40522</v>
      </c>
      <c r="B4479">
        <v>1377322.73</v>
      </c>
      <c r="C4479">
        <v>0</v>
      </c>
      <c r="D4479">
        <v>36.619999999999997</v>
      </c>
      <c r="E4479">
        <v>2.7280000000000002</v>
      </c>
      <c r="F4479">
        <v>190.97410690000001</v>
      </c>
      <c r="G4479">
        <v>9.1370000000000005</v>
      </c>
      <c r="N4479" s="8"/>
    </row>
    <row r="4480" spans="1:14" x14ac:dyDescent="0.25">
      <c r="A4480" s="8">
        <v>40529</v>
      </c>
      <c r="B4480">
        <v>1557776.1</v>
      </c>
      <c r="C4480">
        <v>0</v>
      </c>
      <c r="D4480">
        <v>36.07</v>
      </c>
      <c r="E4480">
        <v>2.778</v>
      </c>
      <c r="F4480">
        <v>191.0303376</v>
      </c>
      <c r="G4480">
        <v>9.1370000000000005</v>
      </c>
      <c r="N4480" s="8"/>
    </row>
    <row r="4481" spans="1:14" x14ac:dyDescent="0.25">
      <c r="A4481" s="8">
        <v>40536</v>
      </c>
      <c r="B4481">
        <v>1949183.14</v>
      </c>
      <c r="C4481">
        <v>0</v>
      </c>
      <c r="D4481">
        <v>30.72</v>
      </c>
      <c r="E4481">
        <v>2.7810000000000001</v>
      </c>
      <c r="F4481">
        <v>191.14301889999999</v>
      </c>
      <c r="G4481">
        <v>9.1370000000000005</v>
      </c>
      <c r="N4481" s="8"/>
    </row>
    <row r="4482" spans="1:14" x14ac:dyDescent="0.25">
      <c r="A4482" s="8">
        <v>40543</v>
      </c>
      <c r="B4482">
        <v>955463.84</v>
      </c>
      <c r="C4482">
        <v>1</v>
      </c>
      <c r="D4482">
        <v>27.7</v>
      </c>
      <c r="E4482">
        <v>2.8290000000000002</v>
      </c>
      <c r="F4482">
        <v>191.25570020000001</v>
      </c>
      <c r="G4482">
        <v>9.1370000000000005</v>
      </c>
      <c r="N4482" s="8"/>
    </row>
    <row r="4483" spans="1:14" x14ac:dyDescent="0.25">
      <c r="A4483" s="8">
        <v>40550</v>
      </c>
      <c r="B4483">
        <v>1046416.17</v>
      </c>
      <c r="C4483">
        <v>0</v>
      </c>
      <c r="D4483">
        <v>23.78</v>
      </c>
      <c r="E4483">
        <v>2.8820000000000001</v>
      </c>
      <c r="F4483">
        <v>191.3683815</v>
      </c>
      <c r="G4483">
        <v>8.8179999999999996</v>
      </c>
      <c r="N4483" s="8"/>
    </row>
    <row r="4484" spans="1:14" x14ac:dyDescent="0.25">
      <c r="A4484" s="8">
        <v>40557</v>
      </c>
      <c r="B4484">
        <v>1028206.51</v>
      </c>
      <c r="C4484">
        <v>0</v>
      </c>
      <c r="D4484">
        <v>21.69</v>
      </c>
      <c r="E4484">
        <v>2.911</v>
      </c>
      <c r="F4484">
        <v>191.47849389999999</v>
      </c>
      <c r="G4484">
        <v>8.8179999999999996</v>
      </c>
      <c r="N4484" s="8"/>
    </row>
    <row r="4485" spans="1:14" x14ac:dyDescent="0.25">
      <c r="A4485" s="8">
        <v>40564</v>
      </c>
      <c r="B4485">
        <v>1078348.9099999999</v>
      </c>
      <c r="C4485">
        <v>0</v>
      </c>
      <c r="D4485">
        <v>34.54</v>
      </c>
      <c r="E4485">
        <v>2.9729999999999999</v>
      </c>
      <c r="F4485">
        <v>191.57319240000001</v>
      </c>
      <c r="G4485">
        <v>8.8179999999999996</v>
      </c>
      <c r="N4485" s="8"/>
    </row>
    <row r="4486" spans="1:14" x14ac:dyDescent="0.25">
      <c r="A4486" s="8">
        <v>40571</v>
      </c>
      <c r="B4486">
        <v>1006814.85</v>
      </c>
      <c r="C4486">
        <v>0</v>
      </c>
      <c r="D4486">
        <v>34.86</v>
      </c>
      <c r="E4486">
        <v>3.008</v>
      </c>
      <c r="F4486">
        <v>191.667891</v>
      </c>
      <c r="G4486">
        <v>8.8179999999999996</v>
      </c>
      <c r="N4486" s="8"/>
    </row>
    <row r="4487" spans="1:14" x14ac:dyDescent="0.25">
      <c r="A4487" s="8">
        <v>40578</v>
      </c>
      <c r="B4487">
        <v>1070457.8</v>
      </c>
      <c r="C4487">
        <v>0</v>
      </c>
      <c r="D4487">
        <v>15.47</v>
      </c>
      <c r="E4487">
        <v>3.0110000000000001</v>
      </c>
      <c r="F4487">
        <v>191.76258949999999</v>
      </c>
      <c r="G4487">
        <v>8.8179999999999996</v>
      </c>
      <c r="N4487" s="8"/>
    </row>
    <row r="4488" spans="1:14" x14ac:dyDescent="0.25">
      <c r="A4488" s="8">
        <v>40585</v>
      </c>
      <c r="B4488">
        <v>1124357.2</v>
      </c>
      <c r="C4488">
        <v>1</v>
      </c>
      <c r="D4488">
        <v>18.510000000000002</v>
      </c>
      <c r="E4488">
        <v>3.0369999999999999</v>
      </c>
      <c r="F4488">
        <v>191.85728810000001</v>
      </c>
      <c r="G4488">
        <v>8.8179999999999996</v>
      </c>
      <c r="N4488" s="8"/>
    </row>
    <row r="4489" spans="1:14" x14ac:dyDescent="0.25">
      <c r="A4489" s="8">
        <v>40592</v>
      </c>
      <c r="B4489">
        <v>1183528.58</v>
      </c>
      <c r="C4489">
        <v>0</v>
      </c>
      <c r="D4489">
        <v>42.09</v>
      </c>
      <c r="E4489">
        <v>3.0510000000000002</v>
      </c>
      <c r="F4489">
        <v>191.9178331</v>
      </c>
      <c r="G4489">
        <v>8.8179999999999996</v>
      </c>
      <c r="N4489" s="8"/>
    </row>
    <row r="4490" spans="1:14" x14ac:dyDescent="0.25">
      <c r="A4490" s="8">
        <v>40599</v>
      </c>
      <c r="B4490">
        <v>1054754.67</v>
      </c>
      <c r="C4490">
        <v>0</v>
      </c>
      <c r="D4490">
        <v>33</v>
      </c>
      <c r="E4490">
        <v>3.101</v>
      </c>
      <c r="F4490">
        <v>191.9647167</v>
      </c>
      <c r="G4490">
        <v>8.8179999999999996</v>
      </c>
      <c r="N4490" s="8"/>
    </row>
    <row r="4491" spans="1:14" x14ac:dyDescent="0.25">
      <c r="A4491" s="8">
        <v>40606</v>
      </c>
      <c r="B4491">
        <v>1106847.6200000001</v>
      </c>
      <c r="C4491">
        <v>0</v>
      </c>
      <c r="D4491">
        <v>39.17</v>
      </c>
      <c r="E4491">
        <v>3.2320000000000002</v>
      </c>
      <c r="F4491">
        <v>192.01160039999999</v>
      </c>
      <c r="G4491">
        <v>8.8179999999999996</v>
      </c>
      <c r="N4491" s="8"/>
    </row>
    <row r="4492" spans="1:14" x14ac:dyDescent="0.25">
      <c r="A4492" s="8">
        <v>40613</v>
      </c>
      <c r="B4492">
        <v>1101458.21</v>
      </c>
      <c r="C4492">
        <v>0</v>
      </c>
      <c r="D4492">
        <v>36.51</v>
      </c>
      <c r="E4492">
        <v>3.3719999999999999</v>
      </c>
      <c r="F4492">
        <v>192.05848399999999</v>
      </c>
      <c r="G4492">
        <v>8.8179999999999996</v>
      </c>
      <c r="N4492" s="8"/>
    </row>
    <row r="4493" spans="1:14" x14ac:dyDescent="0.25">
      <c r="A4493" s="8">
        <v>40620</v>
      </c>
      <c r="B4493">
        <v>1100765.5</v>
      </c>
      <c r="C4493">
        <v>0</v>
      </c>
      <c r="D4493">
        <v>45.25</v>
      </c>
      <c r="E4493">
        <v>3.4060000000000001</v>
      </c>
      <c r="F4493">
        <v>192.12379809999999</v>
      </c>
      <c r="G4493">
        <v>8.8179999999999996</v>
      </c>
      <c r="N4493" s="8"/>
    </row>
    <row r="4494" spans="1:14" x14ac:dyDescent="0.25">
      <c r="A4494" s="8">
        <v>40627</v>
      </c>
      <c r="B4494">
        <v>1068719.22</v>
      </c>
      <c r="C4494">
        <v>0</v>
      </c>
      <c r="D4494">
        <v>46.7</v>
      </c>
      <c r="E4494">
        <v>3.4140000000000001</v>
      </c>
      <c r="F4494">
        <v>192.1964844</v>
      </c>
      <c r="G4494">
        <v>8.8179999999999996</v>
      </c>
      <c r="N4494" s="8"/>
    </row>
    <row r="4495" spans="1:14" x14ac:dyDescent="0.25">
      <c r="A4495" s="8">
        <v>40634</v>
      </c>
      <c r="B4495">
        <v>1051121.02</v>
      </c>
      <c r="C4495">
        <v>0</v>
      </c>
      <c r="D4495">
        <v>44.83</v>
      </c>
      <c r="E4495">
        <v>3.4609999999999999</v>
      </c>
      <c r="F4495">
        <v>192.26917069999999</v>
      </c>
      <c r="G4495">
        <v>8.5950000000000006</v>
      </c>
      <c r="N4495" s="8"/>
    </row>
    <row r="4496" spans="1:14" x14ac:dyDescent="0.25">
      <c r="A4496" s="8">
        <v>40641</v>
      </c>
      <c r="B4496">
        <v>1102975.5900000001</v>
      </c>
      <c r="C4496">
        <v>0</v>
      </c>
      <c r="D4496">
        <v>48.81</v>
      </c>
      <c r="E4496">
        <v>3.532</v>
      </c>
      <c r="F4496">
        <v>192.3418571</v>
      </c>
      <c r="G4496">
        <v>8.5950000000000006</v>
      </c>
      <c r="N4496" s="8"/>
    </row>
    <row r="4497" spans="1:14" x14ac:dyDescent="0.25">
      <c r="A4497" s="8">
        <v>40648</v>
      </c>
      <c r="B4497">
        <v>1120508.1399999999</v>
      </c>
      <c r="C4497">
        <v>0</v>
      </c>
      <c r="D4497">
        <v>45.97</v>
      </c>
      <c r="E4497">
        <v>3.6110000000000002</v>
      </c>
      <c r="F4497">
        <v>192.42259540000001</v>
      </c>
      <c r="G4497">
        <v>8.5950000000000006</v>
      </c>
      <c r="N4497" s="8"/>
    </row>
    <row r="4498" spans="1:14" x14ac:dyDescent="0.25">
      <c r="A4498" s="8">
        <v>40655</v>
      </c>
      <c r="B4498">
        <v>1210602.9099999999</v>
      </c>
      <c r="C4498">
        <v>0</v>
      </c>
      <c r="D4498">
        <v>48.69</v>
      </c>
      <c r="E4498">
        <v>3.6360000000000001</v>
      </c>
      <c r="F4498">
        <v>192.5234638</v>
      </c>
      <c r="G4498">
        <v>8.5950000000000006</v>
      </c>
      <c r="N4498" s="8"/>
    </row>
    <row r="4499" spans="1:14" x14ac:dyDescent="0.25">
      <c r="A4499" s="8">
        <v>40662</v>
      </c>
      <c r="B4499">
        <v>1107494.55</v>
      </c>
      <c r="C4499">
        <v>0</v>
      </c>
      <c r="D4499">
        <v>44.86</v>
      </c>
      <c r="E4499">
        <v>3.6629999999999998</v>
      </c>
      <c r="F4499">
        <v>192.6243322</v>
      </c>
      <c r="G4499">
        <v>8.5950000000000006</v>
      </c>
      <c r="N4499" s="8"/>
    </row>
    <row r="4500" spans="1:14" x14ac:dyDescent="0.25">
      <c r="A4500" s="8">
        <v>40669</v>
      </c>
      <c r="B4500">
        <v>1181793.55</v>
      </c>
      <c r="C4500">
        <v>0</v>
      </c>
      <c r="D4500">
        <v>46.65</v>
      </c>
      <c r="E4500">
        <v>3.7349999999999999</v>
      </c>
      <c r="F4500">
        <v>192.72520059999999</v>
      </c>
      <c r="G4500">
        <v>8.5950000000000006</v>
      </c>
      <c r="N4500" s="8"/>
    </row>
    <row r="4501" spans="1:14" x14ac:dyDescent="0.25">
      <c r="A4501" s="8">
        <v>40676</v>
      </c>
      <c r="B4501">
        <v>1138162.76</v>
      </c>
      <c r="C4501">
        <v>0</v>
      </c>
      <c r="D4501">
        <v>56.09</v>
      </c>
      <c r="E4501">
        <v>3.7669999999999999</v>
      </c>
      <c r="F4501">
        <v>192.82606899999999</v>
      </c>
      <c r="G4501">
        <v>8.5950000000000006</v>
      </c>
      <c r="N4501" s="8"/>
    </row>
    <row r="4502" spans="1:14" x14ac:dyDescent="0.25">
      <c r="A4502" s="8">
        <v>40683</v>
      </c>
      <c r="B4502">
        <v>1145084.76</v>
      </c>
      <c r="C4502">
        <v>0</v>
      </c>
      <c r="D4502">
        <v>45.71</v>
      </c>
      <c r="E4502">
        <v>3.8279999999999998</v>
      </c>
      <c r="F4502">
        <v>192.83131700000001</v>
      </c>
      <c r="G4502">
        <v>8.5950000000000006</v>
      </c>
      <c r="N4502" s="8"/>
    </row>
    <row r="4503" spans="1:14" x14ac:dyDescent="0.25">
      <c r="A4503" s="8">
        <v>40690</v>
      </c>
      <c r="B4503">
        <v>1175447.49</v>
      </c>
      <c r="C4503">
        <v>0</v>
      </c>
      <c r="D4503">
        <v>55.13</v>
      </c>
      <c r="E4503">
        <v>3.7949999999999999</v>
      </c>
      <c r="F4503">
        <v>192.8365651</v>
      </c>
      <c r="G4503">
        <v>8.5950000000000006</v>
      </c>
      <c r="N4503" s="8"/>
    </row>
    <row r="4504" spans="1:14" x14ac:dyDescent="0.25">
      <c r="A4504" s="8">
        <v>40697</v>
      </c>
      <c r="B4504">
        <v>1167757</v>
      </c>
      <c r="C4504">
        <v>0</v>
      </c>
      <c r="D4504">
        <v>61.25</v>
      </c>
      <c r="E4504">
        <v>3.7629999999999999</v>
      </c>
      <c r="F4504">
        <v>192.8418131</v>
      </c>
      <c r="G4504">
        <v>8.5950000000000006</v>
      </c>
      <c r="N4504" s="8"/>
    </row>
    <row r="4505" spans="1:14" x14ac:dyDescent="0.25">
      <c r="A4505" s="8">
        <v>40704</v>
      </c>
      <c r="B4505">
        <v>1239741.3400000001</v>
      </c>
      <c r="C4505">
        <v>0</v>
      </c>
      <c r="D4505">
        <v>65.489999999999995</v>
      </c>
      <c r="E4505">
        <v>3.7349999999999999</v>
      </c>
      <c r="F4505">
        <v>192.84706120000001</v>
      </c>
      <c r="G4505">
        <v>8.5950000000000006</v>
      </c>
      <c r="N4505" s="8"/>
    </row>
    <row r="4506" spans="1:14" x14ac:dyDescent="0.25">
      <c r="A4506" s="8">
        <v>40711</v>
      </c>
      <c r="B4506">
        <v>1192031.3799999999</v>
      </c>
      <c r="C4506">
        <v>0</v>
      </c>
      <c r="D4506">
        <v>67.38</v>
      </c>
      <c r="E4506">
        <v>3.6970000000000001</v>
      </c>
      <c r="F4506">
        <v>192.90347589999999</v>
      </c>
      <c r="G4506">
        <v>8.5950000000000006</v>
      </c>
      <c r="N4506" s="8"/>
    </row>
    <row r="4507" spans="1:14" x14ac:dyDescent="0.25">
      <c r="A4507" s="8">
        <v>40718</v>
      </c>
      <c r="B4507">
        <v>1163869.52</v>
      </c>
      <c r="C4507">
        <v>0</v>
      </c>
      <c r="D4507">
        <v>65.06</v>
      </c>
      <c r="E4507">
        <v>3.661</v>
      </c>
      <c r="F4507">
        <v>192.9982655</v>
      </c>
      <c r="G4507">
        <v>8.5950000000000006</v>
      </c>
      <c r="N4507" s="8"/>
    </row>
    <row r="4508" spans="1:14" x14ac:dyDescent="0.25">
      <c r="A4508" s="8">
        <v>40725</v>
      </c>
      <c r="B4508">
        <v>1199845.29</v>
      </c>
      <c r="C4508">
        <v>0</v>
      </c>
      <c r="D4508">
        <v>72.86</v>
      </c>
      <c r="E4508">
        <v>3.597</v>
      </c>
      <c r="F4508">
        <v>193.09305520000001</v>
      </c>
      <c r="G4508">
        <v>8.6219999999999999</v>
      </c>
      <c r="N4508" s="8"/>
    </row>
    <row r="4509" spans="1:14" x14ac:dyDescent="0.25">
      <c r="A4509" s="8">
        <v>40732</v>
      </c>
      <c r="B4509">
        <v>1110244.52</v>
      </c>
      <c r="C4509">
        <v>0</v>
      </c>
      <c r="D4509">
        <v>72.56</v>
      </c>
      <c r="E4509">
        <v>3.54</v>
      </c>
      <c r="F4509">
        <v>193.18784479999999</v>
      </c>
      <c r="G4509">
        <v>8.6219999999999999</v>
      </c>
      <c r="N4509" s="8"/>
    </row>
    <row r="4510" spans="1:14" x14ac:dyDescent="0.25">
      <c r="A4510" s="8">
        <v>40739</v>
      </c>
      <c r="B4510">
        <v>1144254.26</v>
      </c>
      <c r="C4510">
        <v>0</v>
      </c>
      <c r="D4510">
        <v>70.55</v>
      </c>
      <c r="E4510">
        <v>3.532</v>
      </c>
      <c r="F4510">
        <v>193.3125484</v>
      </c>
      <c r="G4510">
        <v>8.6219999999999999</v>
      </c>
      <c r="N4510" s="8"/>
    </row>
    <row r="4511" spans="1:14" x14ac:dyDescent="0.25">
      <c r="A4511" s="8">
        <v>40746</v>
      </c>
      <c r="B4511">
        <v>1185674.48</v>
      </c>
      <c r="C4511">
        <v>0</v>
      </c>
      <c r="D4511">
        <v>76</v>
      </c>
      <c r="E4511">
        <v>3.5449999999999999</v>
      </c>
      <c r="F4511">
        <v>193.51203670000001</v>
      </c>
      <c r="G4511">
        <v>8.6219999999999999</v>
      </c>
      <c r="N4511" s="8"/>
    </row>
    <row r="4512" spans="1:14" x14ac:dyDescent="0.25">
      <c r="A4512" s="8">
        <v>40753</v>
      </c>
      <c r="B4512">
        <v>1169988.6200000001</v>
      </c>
      <c r="C4512">
        <v>0</v>
      </c>
      <c r="D4512">
        <v>75.91</v>
      </c>
      <c r="E4512">
        <v>3.5470000000000002</v>
      </c>
      <c r="F4512">
        <v>193.71152499999999</v>
      </c>
      <c r="G4512">
        <v>8.6219999999999999</v>
      </c>
      <c r="N4512" s="8"/>
    </row>
    <row r="4513" spans="1:14" x14ac:dyDescent="0.25">
      <c r="A4513" s="8">
        <v>40760</v>
      </c>
      <c r="B4513">
        <v>1201694.1399999999</v>
      </c>
      <c r="C4513">
        <v>0</v>
      </c>
      <c r="D4513">
        <v>74.83</v>
      </c>
      <c r="E4513">
        <v>3.5539999999999998</v>
      </c>
      <c r="F4513">
        <v>193.91101330000001</v>
      </c>
      <c r="G4513">
        <v>8.6219999999999999</v>
      </c>
      <c r="N4513" s="8"/>
    </row>
    <row r="4514" spans="1:14" x14ac:dyDescent="0.25">
      <c r="A4514" s="8">
        <v>40767</v>
      </c>
      <c r="B4514">
        <v>1206795.74</v>
      </c>
      <c r="C4514">
        <v>0</v>
      </c>
      <c r="D4514">
        <v>74.2</v>
      </c>
      <c r="E4514">
        <v>3.5419999999999998</v>
      </c>
      <c r="F4514">
        <v>194.11050169999999</v>
      </c>
      <c r="G4514">
        <v>8.6219999999999999</v>
      </c>
      <c r="N4514" s="8"/>
    </row>
    <row r="4515" spans="1:14" x14ac:dyDescent="0.25">
      <c r="A4515" s="8">
        <v>40774</v>
      </c>
      <c r="B4515">
        <v>1221318.17</v>
      </c>
      <c r="C4515">
        <v>0</v>
      </c>
      <c r="D4515">
        <v>73.72</v>
      </c>
      <c r="E4515">
        <v>3.4990000000000001</v>
      </c>
      <c r="F4515">
        <v>194.25006339999999</v>
      </c>
      <c r="G4515">
        <v>8.6219999999999999</v>
      </c>
      <c r="N4515" s="8"/>
    </row>
    <row r="4516" spans="1:14" x14ac:dyDescent="0.25">
      <c r="A4516" s="8">
        <v>40781</v>
      </c>
      <c r="B4516">
        <v>1183740.9099999999</v>
      </c>
      <c r="C4516">
        <v>0</v>
      </c>
      <c r="D4516">
        <v>75.64</v>
      </c>
      <c r="E4516">
        <v>3.4849999999999999</v>
      </c>
      <c r="F4516">
        <v>194.37963740000001</v>
      </c>
      <c r="G4516">
        <v>8.6219999999999999</v>
      </c>
      <c r="N4516" s="8"/>
    </row>
    <row r="4517" spans="1:14" x14ac:dyDescent="0.25">
      <c r="A4517" s="8">
        <v>40788</v>
      </c>
      <c r="B4517">
        <v>1152117.5</v>
      </c>
      <c r="C4517">
        <v>0</v>
      </c>
      <c r="D4517">
        <v>74.599999999999994</v>
      </c>
      <c r="E4517">
        <v>3.5110000000000001</v>
      </c>
      <c r="F4517">
        <v>194.5092113</v>
      </c>
      <c r="G4517">
        <v>8.6219999999999999</v>
      </c>
      <c r="N4517" s="8"/>
    </row>
    <row r="4518" spans="1:14" x14ac:dyDescent="0.25">
      <c r="A4518" s="8">
        <v>40795</v>
      </c>
      <c r="B4518">
        <v>1128237.3</v>
      </c>
      <c r="C4518">
        <v>1</v>
      </c>
      <c r="D4518">
        <v>61.24</v>
      </c>
      <c r="E4518">
        <v>3.5659999999999998</v>
      </c>
      <c r="F4518">
        <v>194.6387853</v>
      </c>
      <c r="G4518">
        <v>8.6219999999999999</v>
      </c>
      <c r="N4518" s="8"/>
    </row>
    <row r="4519" spans="1:14" x14ac:dyDescent="0.25">
      <c r="A4519" s="8">
        <v>40802</v>
      </c>
      <c r="B4519">
        <v>1142499.25</v>
      </c>
      <c r="C4519">
        <v>0</v>
      </c>
      <c r="D4519">
        <v>60.88</v>
      </c>
      <c r="E4519">
        <v>3.5960000000000001</v>
      </c>
      <c r="F4519">
        <v>194.7419707</v>
      </c>
      <c r="G4519">
        <v>8.6219999999999999</v>
      </c>
      <c r="N4519" s="8"/>
    </row>
    <row r="4520" spans="1:14" x14ac:dyDescent="0.25">
      <c r="A4520" s="8">
        <v>40809</v>
      </c>
      <c r="B4520">
        <v>1116140.29</v>
      </c>
      <c r="C4520">
        <v>0</v>
      </c>
      <c r="D4520">
        <v>58.66</v>
      </c>
      <c r="E4520">
        <v>3.581</v>
      </c>
      <c r="F4520">
        <v>194.8099713</v>
      </c>
      <c r="G4520">
        <v>8.6219999999999999</v>
      </c>
      <c r="N4520" s="8"/>
    </row>
    <row r="4521" spans="1:14" x14ac:dyDescent="0.25">
      <c r="A4521" s="8">
        <v>40816</v>
      </c>
      <c r="B4521">
        <v>1088943.98</v>
      </c>
      <c r="C4521">
        <v>0</v>
      </c>
      <c r="D4521">
        <v>65.040000000000006</v>
      </c>
      <c r="E4521">
        <v>3.5379999999999998</v>
      </c>
      <c r="F4521">
        <v>194.87797180000001</v>
      </c>
      <c r="G4521">
        <v>8.6219999999999999</v>
      </c>
      <c r="N4521" s="8"/>
    </row>
    <row r="4522" spans="1:14" x14ac:dyDescent="0.25">
      <c r="A4522" s="8">
        <v>40823</v>
      </c>
      <c r="B4522">
        <v>1149448.02</v>
      </c>
      <c r="C4522">
        <v>0</v>
      </c>
      <c r="D4522">
        <v>62.62</v>
      </c>
      <c r="E4522">
        <v>3.4980000000000002</v>
      </c>
      <c r="F4522">
        <v>194.94597239999999</v>
      </c>
      <c r="G4522">
        <v>8.5129999999999999</v>
      </c>
      <c r="N4522" s="8"/>
    </row>
    <row r="4523" spans="1:14" x14ac:dyDescent="0.25">
      <c r="A4523" s="8">
        <v>40830</v>
      </c>
      <c r="B4523">
        <v>1175420.26</v>
      </c>
      <c r="C4523">
        <v>0</v>
      </c>
      <c r="D4523">
        <v>50.15</v>
      </c>
      <c r="E4523">
        <v>3.4910000000000001</v>
      </c>
      <c r="F4523">
        <v>195.0261012</v>
      </c>
      <c r="G4523">
        <v>8.5129999999999999</v>
      </c>
      <c r="N4523" s="8"/>
    </row>
    <row r="4524" spans="1:14" x14ac:dyDescent="0.25">
      <c r="A4524" s="8">
        <v>40837</v>
      </c>
      <c r="B4524">
        <v>1151258.74</v>
      </c>
      <c r="C4524">
        <v>0</v>
      </c>
      <c r="D4524">
        <v>48.87</v>
      </c>
      <c r="E4524">
        <v>3.548</v>
      </c>
      <c r="F4524">
        <v>195.17899940000001</v>
      </c>
      <c r="G4524">
        <v>8.5129999999999999</v>
      </c>
      <c r="N4524" s="8"/>
    </row>
    <row r="4525" spans="1:14" x14ac:dyDescent="0.25">
      <c r="A4525" s="8">
        <v>40844</v>
      </c>
      <c r="B4525">
        <v>1185391.96</v>
      </c>
      <c r="C4525">
        <v>0</v>
      </c>
      <c r="D4525">
        <v>42.76</v>
      </c>
      <c r="E4525">
        <v>3.55</v>
      </c>
      <c r="F4525">
        <v>195.33189770000001</v>
      </c>
      <c r="G4525">
        <v>8.5129999999999999</v>
      </c>
      <c r="N4525" s="8"/>
    </row>
    <row r="4526" spans="1:14" x14ac:dyDescent="0.25">
      <c r="A4526" s="8">
        <v>40851</v>
      </c>
      <c r="B4526">
        <v>1204628.28</v>
      </c>
      <c r="C4526">
        <v>0</v>
      </c>
      <c r="D4526">
        <v>37.950000000000003</v>
      </c>
      <c r="E4526">
        <v>3.5270000000000001</v>
      </c>
      <c r="F4526">
        <v>195.48479589999999</v>
      </c>
      <c r="G4526">
        <v>8.5129999999999999</v>
      </c>
      <c r="N4526" s="8"/>
    </row>
    <row r="4527" spans="1:14" x14ac:dyDescent="0.25">
      <c r="A4527" s="8">
        <v>40858</v>
      </c>
      <c r="B4527">
        <v>1182733</v>
      </c>
      <c r="C4527">
        <v>0</v>
      </c>
      <c r="D4527">
        <v>38.1</v>
      </c>
      <c r="E4527">
        <v>3.5049999999999999</v>
      </c>
      <c r="F4527">
        <v>195.6376941</v>
      </c>
      <c r="G4527">
        <v>8.5129999999999999</v>
      </c>
      <c r="N4527" s="8"/>
    </row>
    <row r="4528" spans="1:14" x14ac:dyDescent="0.25">
      <c r="A4528" s="8">
        <v>40865</v>
      </c>
      <c r="B4528">
        <v>1181651.55</v>
      </c>
      <c r="C4528">
        <v>0</v>
      </c>
      <c r="D4528">
        <v>42.61</v>
      </c>
      <c r="E4528">
        <v>3.4790000000000001</v>
      </c>
      <c r="F4528">
        <v>195.7184713</v>
      </c>
      <c r="G4528">
        <v>8.5129999999999999</v>
      </c>
      <c r="N4528" s="8"/>
    </row>
    <row r="4529" spans="1:14" x14ac:dyDescent="0.25">
      <c r="A4529" s="8">
        <v>40872</v>
      </c>
      <c r="B4529">
        <v>1684468.66</v>
      </c>
      <c r="C4529">
        <v>1</v>
      </c>
      <c r="D4529">
        <v>40.22</v>
      </c>
      <c r="E4529">
        <v>3.4239999999999999</v>
      </c>
      <c r="F4529">
        <v>195.7704</v>
      </c>
      <c r="G4529">
        <v>8.5129999999999999</v>
      </c>
      <c r="N4529" s="8"/>
    </row>
    <row r="4530" spans="1:14" x14ac:dyDescent="0.25">
      <c r="A4530" s="8">
        <v>40879</v>
      </c>
      <c r="B4530">
        <v>1179773.8799999999</v>
      </c>
      <c r="C4530">
        <v>0</v>
      </c>
      <c r="D4530">
        <v>33.799999999999997</v>
      </c>
      <c r="E4530">
        <v>3.3780000000000001</v>
      </c>
      <c r="F4530">
        <v>195.82232870000001</v>
      </c>
      <c r="G4530">
        <v>8.5129999999999999</v>
      </c>
      <c r="N4530" s="8"/>
    </row>
    <row r="4531" spans="1:14" x14ac:dyDescent="0.25">
      <c r="A4531" s="8">
        <v>40886</v>
      </c>
      <c r="B4531">
        <v>1415746.91</v>
      </c>
      <c r="C4531">
        <v>0</v>
      </c>
      <c r="D4531">
        <v>17.940000000000001</v>
      </c>
      <c r="E4531">
        <v>3.331</v>
      </c>
      <c r="F4531">
        <v>195.8742575</v>
      </c>
      <c r="G4531">
        <v>8.5129999999999999</v>
      </c>
      <c r="N4531" s="8"/>
    </row>
    <row r="4532" spans="1:14" x14ac:dyDescent="0.25">
      <c r="A4532" s="8">
        <v>40893</v>
      </c>
      <c r="B4532">
        <v>1556017.91</v>
      </c>
      <c r="C4532">
        <v>0</v>
      </c>
      <c r="D4532">
        <v>26.23</v>
      </c>
      <c r="E4532">
        <v>3.266</v>
      </c>
      <c r="F4532">
        <v>195.98416850000001</v>
      </c>
      <c r="G4532">
        <v>8.5129999999999999</v>
      </c>
      <c r="N4532" s="8"/>
    </row>
    <row r="4533" spans="1:14" x14ac:dyDescent="0.25">
      <c r="A4533" s="8">
        <v>40900</v>
      </c>
      <c r="B4533">
        <v>1959526.96</v>
      </c>
      <c r="C4533">
        <v>0</v>
      </c>
      <c r="D4533">
        <v>25.97</v>
      </c>
      <c r="E4533">
        <v>3.173</v>
      </c>
      <c r="F4533">
        <v>196.17138929999999</v>
      </c>
      <c r="G4533">
        <v>8.5129999999999999</v>
      </c>
      <c r="N4533" s="8"/>
    </row>
    <row r="4534" spans="1:14" x14ac:dyDescent="0.25">
      <c r="A4534" s="8">
        <v>40907</v>
      </c>
      <c r="B4534">
        <v>1102367.6499999999</v>
      </c>
      <c r="C4534">
        <v>1</v>
      </c>
      <c r="D4534">
        <v>32.99</v>
      </c>
      <c r="E4534">
        <v>3.1190000000000002</v>
      </c>
      <c r="F4534">
        <v>196.35861009999999</v>
      </c>
      <c r="G4534">
        <v>8.5129999999999999</v>
      </c>
      <c r="N4534" s="8"/>
    </row>
    <row r="4535" spans="1:14" x14ac:dyDescent="0.25">
      <c r="A4535" s="8">
        <v>40914</v>
      </c>
      <c r="B4535">
        <v>1099937.25</v>
      </c>
      <c r="C4535">
        <v>0</v>
      </c>
      <c r="D4535">
        <v>36.75</v>
      </c>
      <c r="E4535">
        <v>3.0950000000000002</v>
      </c>
      <c r="F4535">
        <v>196.5458309</v>
      </c>
      <c r="G4535">
        <v>8.2560000000000002</v>
      </c>
      <c r="N4535" s="8"/>
    </row>
    <row r="4536" spans="1:14" x14ac:dyDescent="0.25">
      <c r="A4536" s="8">
        <v>40921</v>
      </c>
      <c r="B4536">
        <v>1071598.3600000001</v>
      </c>
      <c r="C4536">
        <v>0</v>
      </c>
      <c r="D4536">
        <v>28.99</v>
      </c>
      <c r="E4536">
        <v>3.077</v>
      </c>
      <c r="F4536">
        <v>196.7330517</v>
      </c>
      <c r="G4536">
        <v>8.2560000000000002</v>
      </c>
      <c r="N4536" s="8"/>
    </row>
    <row r="4537" spans="1:14" x14ac:dyDescent="0.25">
      <c r="A4537" s="8">
        <v>40928</v>
      </c>
      <c r="B4537">
        <v>1080012.04</v>
      </c>
      <c r="C4537">
        <v>0</v>
      </c>
      <c r="D4537">
        <v>36.86</v>
      </c>
      <c r="E4537">
        <v>3.0550000000000002</v>
      </c>
      <c r="F4537">
        <v>196.77966520000001</v>
      </c>
      <c r="G4537">
        <v>8.2560000000000002</v>
      </c>
      <c r="N4537" s="8"/>
    </row>
    <row r="4538" spans="1:14" x14ac:dyDescent="0.25">
      <c r="A4538" s="8">
        <v>40935</v>
      </c>
      <c r="B4538">
        <v>1051864.6000000001</v>
      </c>
      <c r="C4538">
        <v>0</v>
      </c>
      <c r="D4538">
        <v>36.67</v>
      </c>
      <c r="E4538">
        <v>3.0379999999999998</v>
      </c>
      <c r="F4538">
        <v>196.82627859999999</v>
      </c>
      <c r="G4538">
        <v>8.2560000000000002</v>
      </c>
      <c r="N4538" s="8"/>
    </row>
    <row r="4539" spans="1:14" x14ac:dyDescent="0.25">
      <c r="A4539" s="8">
        <v>40942</v>
      </c>
      <c r="B4539">
        <v>1156826.31</v>
      </c>
      <c r="C4539">
        <v>0</v>
      </c>
      <c r="D4539">
        <v>35.89</v>
      </c>
      <c r="E4539">
        <v>3.0310000000000001</v>
      </c>
      <c r="F4539">
        <v>196.8728921</v>
      </c>
      <c r="G4539">
        <v>8.2560000000000002</v>
      </c>
      <c r="N4539" s="8"/>
    </row>
    <row r="4540" spans="1:14" x14ac:dyDescent="0.25">
      <c r="A4540" s="8">
        <v>40949</v>
      </c>
      <c r="B4540">
        <v>1129422.8600000001</v>
      </c>
      <c r="C4540">
        <v>1</v>
      </c>
      <c r="D4540">
        <v>23.34</v>
      </c>
      <c r="E4540">
        <v>3.1030000000000002</v>
      </c>
      <c r="F4540">
        <v>196.91950560000001</v>
      </c>
      <c r="G4540">
        <v>8.2560000000000002</v>
      </c>
      <c r="N4540" s="8"/>
    </row>
    <row r="4541" spans="1:14" x14ac:dyDescent="0.25">
      <c r="A4541" s="8">
        <v>40956</v>
      </c>
      <c r="B4541">
        <v>1243812.5900000001</v>
      </c>
      <c r="C4541">
        <v>0</v>
      </c>
      <c r="D4541">
        <v>24.26</v>
      </c>
      <c r="E4541">
        <v>3.113</v>
      </c>
      <c r="F4541">
        <v>196.9432711</v>
      </c>
      <c r="G4541">
        <v>8.2560000000000002</v>
      </c>
      <c r="N4541" s="8"/>
    </row>
    <row r="4542" spans="1:14" x14ac:dyDescent="0.25">
      <c r="A4542" s="8">
        <v>40963</v>
      </c>
      <c r="B4542">
        <v>1091822.72</v>
      </c>
      <c r="C4542">
        <v>0</v>
      </c>
      <c r="D4542">
        <v>33.409999999999997</v>
      </c>
      <c r="E4542">
        <v>3.129</v>
      </c>
      <c r="F4542">
        <v>196.9499007</v>
      </c>
      <c r="G4542">
        <v>8.2560000000000002</v>
      </c>
      <c r="N4542" s="8"/>
    </row>
    <row r="4543" spans="1:14" x14ac:dyDescent="0.25">
      <c r="A4543" s="8">
        <v>40970</v>
      </c>
      <c r="B4543">
        <v>1153332.8899999999</v>
      </c>
      <c r="C4543">
        <v>0</v>
      </c>
      <c r="D4543">
        <v>33.4</v>
      </c>
      <c r="E4543">
        <v>3.1909999999999998</v>
      </c>
      <c r="F4543">
        <v>196.9565303</v>
      </c>
      <c r="G4543">
        <v>8.2560000000000002</v>
      </c>
      <c r="N4543" s="8"/>
    </row>
    <row r="4544" spans="1:14" x14ac:dyDescent="0.25">
      <c r="A4544" s="8">
        <v>40977</v>
      </c>
      <c r="B4544">
        <v>1124537.97</v>
      </c>
      <c r="C4544">
        <v>0</v>
      </c>
      <c r="D4544">
        <v>39.9</v>
      </c>
      <c r="E4544">
        <v>3.286</v>
      </c>
      <c r="F4544">
        <v>196.96315989999999</v>
      </c>
      <c r="G4544">
        <v>8.2560000000000002</v>
      </c>
      <c r="N4544" s="8"/>
    </row>
    <row r="4545" spans="1:14" x14ac:dyDescent="0.25">
      <c r="A4545" s="8">
        <v>40984</v>
      </c>
      <c r="B4545">
        <v>1138101.18</v>
      </c>
      <c r="C4545">
        <v>0</v>
      </c>
      <c r="D4545">
        <v>51.51</v>
      </c>
      <c r="E4545">
        <v>3.4860000000000002</v>
      </c>
      <c r="F4545">
        <v>197.0457208</v>
      </c>
      <c r="G4545">
        <v>8.2560000000000002</v>
      </c>
      <c r="N4545" s="8"/>
    </row>
    <row r="4546" spans="1:14" x14ac:dyDescent="0.25">
      <c r="A4546" s="8">
        <v>40991</v>
      </c>
      <c r="B4546">
        <v>1146632.46</v>
      </c>
      <c r="C4546">
        <v>0</v>
      </c>
      <c r="D4546">
        <v>47.64</v>
      </c>
      <c r="E4546">
        <v>3.6640000000000001</v>
      </c>
      <c r="F4546">
        <v>197.22952340000001</v>
      </c>
      <c r="G4546">
        <v>8.2560000000000002</v>
      </c>
      <c r="N4546" s="8"/>
    </row>
    <row r="4547" spans="1:14" x14ac:dyDescent="0.25">
      <c r="A4547" s="8">
        <v>40998</v>
      </c>
      <c r="B4547">
        <v>1108686.8700000001</v>
      </c>
      <c r="C4547">
        <v>0</v>
      </c>
      <c r="D4547">
        <v>56.09</v>
      </c>
      <c r="E4547">
        <v>3.75</v>
      </c>
      <c r="F4547">
        <v>197.41332589999999</v>
      </c>
      <c r="G4547">
        <v>8.2560000000000002</v>
      </c>
      <c r="N4547" s="8"/>
    </row>
    <row r="4548" spans="1:14" x14ac:dyDescent="0.25">
      <c r="A4548" s="8">
        <v>41005</v>
      </c>
      <c r="B4548">
        <v>1270577.01</v>
      </c>
      <c r="C4548">
        <v>0</v>
      </c>
      <c r="D4548">
        <v>51.49</v>
      </c>
      <c r="E4548">
        <v>3.8540000000000001</v>
      </c>
      <c r="F4548">
        <v>197.5971285</v>
      </c>
      <c r="G4548">
        <v>8.09</v>
      </c>
      <c r="N4548" s="8"/>
    </row>
    <row r="4549" spans="1:14" x14ac:dyDescent="0.25">
      <c r="A4549" s="8">
        <v>41012</v>
      </c>
      <c r="B4549">
        <v>1171834.47</v>
      </c>
      <c r="C4549">
        <v>0</v>
      </c>
      <c r="D4549">
        <v>52.1</v>
      </c>
      <c r="E4549">
        <v>3.9009999999999998</v>
      </c>
      <c r="F4549">
        <v>197.78093100000001</v>
      </c>
      <c r="G4549">
        <v>8.09</v>
      </c>
      <c r="N4549" s="8"/>
    </row>
    <row r="4550" spans="1:14" x14ac:dyDescent="0.25">
      <c r="A4550" s="8">
        <v>41019</v>
      </c>
      <c r="B4550">
        <v>1121405.9099999999</v>
      </c>
      <c r="C4550">
        <v>0</v>
      </c>
      <c r="D4550">
        <v>49.15</v>
      </c>
      <c r="E4550">
        <v>3.9359999999999999</v>
      </c>
      <c r="F4550">
        <v>197.72273849999999</v>
      </c>
      <c r="G4550">
        <v>8.09</v>
      </c>
      <c r="N4550" s="8"/>
    </row>
    <row r="4551" spans="1:14" x14ac:dyDescent="0.25">
      <c r="A4551" s="8">
        <v>41026</v>
      </c>
      <c r="B4551">
        <v>1126962.44</v>
      </c>
      <c r="C4551">
        <v>0</v>
      </c>
      <c r="D4551">
        <v>61.76</v>
      </c>
      <c r="E4551">
        <v>3.927</v>
      </c>
      <c r="F4551">
        <v>197.664546</v>
      </c>
      <c r="G4551">
        <v>8.09</v>
      </c>
      <c r="N4551" s="8"/>
    </row>
    <row r="4552" spans="1:14" x14ac:dyDescent="0.25">
      <c r="A4552" s="8">
        <v>41033</v>
      </c>
      <c r="B4552">
        <v>1187384.53</v>
      </c>
      <c r="C4552">
        <v>0</v>
      </c>
      <c r="D4552">
        <v>58.29</v>
      </c>
      <c r="E4552">
        <v>3.903</v>
      </c>
      <c r="F4552">
        <v>197.60635339999999</v>
      </c>
      <c r="G4552">
        <v>8.09</v>
      </c>
      <c r="N4552" s="8"/>
    </row>
    <row r="4553" spans="1:14" x14ac:dyDescent="0.25">
      <c r="A4553" s="8">
        <v>41040</v>
      </c>
      <c r="B4553">
        <v>1187051.07</v>
      </c>
      <c r="C4553">
        <v>0</v>
      </c>
      <c r="D4553">
        <v>55.4</v>
      </c>
      <c r="E4553">
        <v>3.87</v>
      </c>
      <c r="F4553">
        <v>197.5481609</v>
      </c>
      <c r="G4553">
        <v>8.09</v>
      </c>
      <c r="N4553" s="8"/>
    </row>
    <row r="4554" spans="1:14" x14ac:dyDescent="0.25">
      <c r="A4554" s="8">
        <v>41047</v>
      </c>
      <c r="B4554">
        <v>1177539.71</v>
      </c>
      <c r="C4554">
        <v>0</v>
      </c>
      <c r="D4554">
        <v>57.46</v>
      </c>
      <c r="E4554">
        <v>3.8370000000000002</v>
      </c>
      <c r="F4554">
        <v>197.5553137</v>
      </c>
      <c r="G4554">
        <v>8.09</v>
      </c>
      <c r="N4554" s="8"/>
    </row>
    <row r="4555" spans="1:14" x14ac:dyDescent="0.25">
      <c r="A4555" s="8">
        <v>41054</v>
      </c>
      <c r="B4555">
        <v>1232784.22</v>
      </c>
      <c r="C4555">
        <v>0</v>
      </c>
      <c r="D4555">
        <v>59.74</v>
      </c>
      <c r="E4555">
        <v>3.8039999999999998</v>
      </c>
      <c r="F4555">
        <v>197.5886046</v>
      </c>
      <c r="G4555">
        <v>8.09</v>
      </c>
      <c r="N4555" s="8"/>
    </row>
    <row r="4556" spans="1:14" x14ac:dyDescent="0.25">
      <c r="A4556" s="8">
        <v>41061</v>
      </c>
      <c r="B4556">
        <v>1157557.79</v>
      </c>
      <c r="C4556">
        <v>0</v>
      </c>
      <c r="D4556">
        <v>62.84</v>
      </c>
      <c r="E4556">
        <v>3.7639999999999998</v>
      </c>
      <c r="F4556">
        <v>197.6218954</v>
      </c>
      <c r="G4556">
        <v>8.09</v>
      </c>
      <c r="N4556" s="8"/>
    </row>
    <row r="4557" spans="1:14" x14ac:dyDescent="0.25">
      <c r="A4557" s="8">
        <v>41068</v>
      </c>
      <c r="B4557">
        <v>1246322.44</v>
      </c>
      <c r="C4557">
        <v>0</v>
      </c>
      <c r="D4557">
        <v>71.14</v>
      </c>
      <c r="E4557">
        <v>3.7410000000000001</v>
      </c>
      <c r="F4557">
        <v>197.6551863</v>
      </c>
      <c r="G4557">
        <v>8.09</v>
      </c>
      <c r="N4557" s="8"/>
    </row>
    <row r="4558" spans="1:14" x14ac:dyDescent="0.25">
      <c r="A4558" s="8">
        <v>41075</v>
      </c>
      <c r="B4558">
        <v>1234759.54</v>
      </c>
      <c r="C4558">
        <v>0</v>
      </c>
      <c r="D4558">
        <v>70.91</v>
      </c>
      <c r="E4558">
        <v>3.7229999999999999</v>
      </c>
      <c r="F4558">
        <v>197.69229200000001</v>
      </c>
      <c r="G4558">
        <v>8.09</v>
      </c>
      <c r="N4558" s="8"/>
    </row>
    <row r="4559" spans="1:14" x14ac:dyDescent="0.25">
      <c r="A4559" s="8">
        <v>41082</v>
      </c>
      <c r="B4559">
        <v>1196880.1100000001</v>
      </c>
      <c r="C4559">
        <v>0</v>
      </c>
      <c r="D4559">
        <v>74.849999999999994</v>
      </c>
      <c r="E4559">
        <v>3.7349999999999999</v>
      </c>
      <c r="F4559">
        <v>197.7389345</v>
      </c>
      <c r="G4559">
        <v>8.09</v>
      </c>
      <c r="N4559" s="8"/>
    </row>
    <row r="4560" spans="1:14" x14ac:dyDescent="0.25">
      <c r="A4560" s="8">
        <v>41089</v>
      </c>
      <c r="B4560">
        <v>1178211.81</v>
      </c>
      <c r="C4560">
        <v>0</v>
      </c>
      <c r="D4560">
        <v>81.95</v>
      </c>
      <c r="E4560">
        <v>3.6930000000000001</v>
      </c>
      <c r="F4560">
        <v>197.78557699999999</v>
      </c>
      <c r="G4560">
        <v>8.09</v>
      </c>
      <c r="N4560" s="8"/>
    </row>
    <row r="4561" spans="1:14" x14ac:dyDescent="0.25">
      <c r="A4561" s="8">
        <v>41096</v>
      </c>
      <c r="B4561">
        <v>1214183.97</v>
      </c>
      <c r="C4561">
        <v>0</v>
      </c>
      <c r="D4561">
        <v>78.680000000000007</v>
      </c>
      <c r="E4561">
        <v>3.6459999999999999</v>
      </c>
      <c r="F4561">
        <v>197.83221950000001</v>
      </c>
      <c r="G4561">
        <v>7.8719999999999999</v>
      </c>
      <c r="N4561" s="8"/>
    </row>
    <row r="4562" spans="1:14" x14ac:dyDescent="0.25">
      <c r="A4562" s="8">
        <v>41103</v>
      </c>
      <c r="B4562">
        <v>1141184.6599999999</v>
      </c>
      <c r="C4562">
        <v>0</v>
      </c>
      <c r="D4562">
        <v>71.569999999999993</v>
      </c>
      <c r="E4562">
        <v>3.613</v>
      </c>
      <c r="F4562">
        <v>197.87886209999999</v>
      </c>
      <c r="G4562">
        <v>7.8719999999999999</v>
      </c>
      <c r="N4562" s="8"/>
    </row>
    <row r="4563" spans="1:14" x14ac:dyDescent="0.25">
      <c r="A4563" s="8">
        <v>41110</v>
      </c>
      <c r="B4563">
        <v>1167829.33</v>
      </c>
      <c r="C4563">
        <v>0</v>
      </c>
      <c r="D4563">
        <v>77.760000000000005</v>
      </c>
      <c r="E4563">
        <v>3.585</v>
      </c>
      <c r="F4563">
        <v>197.9290378</v>
      </c>
      <c r="G4563">
        <v>7.8719999999999999</v>
      </c>
      <c r="N4563" s="8"/>
    </row>
    <row r="4564" spans="1:14" x14ac:dyDescent="0.25">
      <c r="A4564" s="8">
        <v>41117</v>
      </c>
      <c r="B4564">
        <v>1144901.52</v>
      </c>
      <c r="C4564">
        <v>0</v>
      </c>
      <c r="D4564">
        <v>77.56</v>
      </c>
      <c r="E4564">
        <v>3.57</v>
      </c>
      <c r="F4564">
        <v>197.97921360000001</v>
      </c>
      <c r="G4564">
        <v>7.8719999999999999</v>
      </c>
      <c r="N4564" s="8"/>
    </row>
    <row r="4565" spans="1:14" x14ac:dyDescent="0.25">
      <c r="A4565" s="8">
        <v>41124</v>
      </c>
      <c r="B4565">
        <v>1183571.3500000001</v>
      </c>
      <c r="C4565">
        <v>0</v>
      </c>
      <c r="D4565">
        <v>75.09</v>
      </c>
      <c r="E4565">
        <v>3.528</v>
      </c>
      <c r="F4565">
        <v>198.02938929999999</v>
      </c>
      <c r="G4565">
        <v>7.8719999999999999</v>
      </c>
      <c r="N4565" s="8"/>
    </row>
    <row r="4566" spans="1:14" x14ac:dyDescent="0.25">
      <c r="A4566" s="8">
        <v>41131</v>
      </c>
      <c r="B4566">
        <v>1227469.2</v>
      </c>
      <c r="C4566">
        <v>0</v>
      </c>
      <c r="D4566">
        <v>75.930000000000007</v>
      </c>
      <c r="E4566">
        <v>3.5089999999999999</v>
      </c>
      <c r="F4566">
        <v>198.0795651</v>
      </c>
      <c r="G4566">
        <v>7.8719999999999999</v>
      </c>
      <c r="N4566" s="8"/>
    </row>
    <row r="4567" spans="1:14" x14ac:dyDescent="0.25">
      <c r="A4567" s="8">
        <v>41138</v>
      </c>
      <c r="B4567">
        <v>1261306.3700000001</v>
      </c>
      <c r="C4567">
        <v>0</v>
      </c>
      <c r="D4567">
        <v>70.75</v>
      </c>
      <c r="E4567">
        <v>3.5449999999999999</v>
      </c>
      <c r="F4567">
        <v>198.1001057</v>
      </c>
      <c r="G4567">
        <v>7.8719999999999999</v>
      </c>
      <c r="N4567" s="8"/>
    </row>
    <row r="4568" spans="1:14" x14ac:dyDescent="0.25">
      <c r="A4568" s="8">
        <v>41145</v>
      </c>
      <c r="B4568">
        <v>1272809.1100000001</v>
      </c>
      <c r="C4568">
        <v>0</v>
      </c>
      <c r="D4568">
        <v>70.12</v>
      </c>
      <c r="E4568">
        <v>3.5579999999999998</v>
      </c>
      <c r="F4568">
        <v>198.09841990000001</v>
      </c>
      <c r="G4568">
        <v>7.8719999999999999</v>
      </c>
      <c r="N4568" s="8"/>
    </row>
    <row r="4569" spans="1:14" x14ac:dyDescent="0.25">
      <c r="A4569" s="8">
        <v>41152</v>
      </c>
      <c r="B4569">
        <v>1183979.27</v>
      </c>
      <c r="C4569">
        <v>0</v>
      </c>
      <c r="D4569">
        <v>76.12</v>
      </c>
      <c r="E4569">
        <v>3.556</v>
      </c>
      <c r="F4569">
        <v>198.09673409999999</v>
      </c>
      <c r="G4569">
        <v>7.8719999999999999</v>
      </c>
      <c r="N4569" s="8"/>
    </row>
    <row r="4570" spans="1:14" x14ac:dyDescent="0.25">
      <c r="A4570" s="8">
        <v>41159</v>
      </c>
      <c r="B4570">
        <v>1126685.95</v>
      </c>
      <c r="C4570">
        <v>1</v>
      </c>
      <c r="D4570">
        <v>72.56</v>
      </c>
      <c r="E4570">
        <v>3.5960000000000001</v>
      </c>
      <c r="F4570">
        <v>198.0950484</v>
      </c>
      <c r="G4570">
        <v>7.8719999999999999</v>
      </c>
      <c r="N4570" s="8"/>
    </row>
    <row r="4571" spans="1:14" x14ac:dyDescent="0.25">
      <c r="A4571" s="8">
        <v>41166</v>
      </c>
      <c r="B4571">
        <v>1156377.47</v>
      </c>
      <c r="C4571">
        <v>0</v>
      </c>
      <c r="D4571">
        <v>64.05</v>
      </c>
      <c r="E4571">
        <v>3.6589999999999998</v>
      </c>
      <c r="F4571">
        <v>198.12671839999999</v>
      </c>
      <c r="G4571">
        <v>7.8719999999999999</v>
      </c>
      <c r="N4571" s="8"/>
    </row>
    <row r="4572" spans="1:14" x14ac:dyDescent="0.25">
      <c r="A4572" s="8">
        <v>41173</v>
      </c>
      <c r="B4572">
        <v>1159119.6000000001</v>
      </c>
      <c r="C4572">
        <v>0</v>
      </c>
      <c r="D4572">
        <v>63.49</v>
      </c>
      <c r="E4572">
        <v>3.7650000000000001</v>
      </c>
      <c r="F4572">
        <v>198.35852299999999</v>
      </c>
      <c r="G4572">
        <v>7.8719999999999999</v>
      </c>
      <c r="N4572" s="8"/>
    </row>
    <row r="4573" spans="1:14" x14ac:dyDescent="0.25">
      <c r="A4573" s="8">
        <v>41180</v>
      </c>
      <c r="B4573">
        <v>1157111.1499999999</v>
      </c>
      <c r="C4573">
        <v>0</v>
      </c>
      <c r="D4573">
        <v>60.62</v>
      </c>
      <c r="E4573">
        <v>3.7890000000000001</v>
      </c>
      <c r="F4573">
        <v>198.59032759999999</v>
      </c>
      <c r="G4573">
        <v>7.8719999999999999</v>
      </c>
      <c r="N4573" s="8"/>
    </row>
    <row r="4574" spans="1:14" x14ac:dyDescent="0.25">
      <c r="A4574" s="8">
        <v>41187</v>
      </c>
      <c r="B4574">
        <v>1202775.24</v>
      </c>
      <c r="C4574">
        <v>0</v>
      </c>
      <c r="D4574">
        <v>55.34</v>
      </c>
      <c r="E4574">
        <v>3.7789999999999999</v>
      </c>
      <c r="F4574">
        <v>198.8221322</v>
      </c>
      <c r="G4574">
        <v>7.5570000000000004</v>
      </c>
      <c r="N4574" s="8"/>
    </row>
    <row r="4575" spans="1:14" x14ac:dyDescent="0.25">
      <c r="A4575" s="8">
        <v>41194</v>
      </c>
      <c r="B4575">
        <v>1176681.31</v>
      </c>
      <c r="C4575">
        <v>0</v>
      </c>
      <c r="D4575">
        <v>43.49</v>
      </c>
      <c r="E4575">
        <v>3.76</v>
      </c>
      <c r="F4575">
        <v>199.0539368</v>
      </c>
      <c r="G4575">
        <v>7.5570000000000004</v>
      </c>
      <c r="N4575" s="8"/>
    </row>
    <row r="4576" spans="1:14" x14ac:dyDescent="0.25">
      <c r="A4576" s="8">
        <v>41201</v>
      </c>
      <c r="B4576">
        <v>1199292.06</v>
      </c>
      <c r="C4576">
        <v>0</v>
      </c>
      <c r="D4576">
        <v>53.57</v>
      </c>
      <c r="E4576">
        <v>3.75</v>
      </c>
      <c r="F4576">
        <v>199.1481963</v>
      </c>
      <c r="G4576">
        <v>7.5570000000000004</v>
      </c>
      <c r="N4576" s="8"/>
    </row>
    <row r="4577" spans="1:14" x14ac:dyDescent="0.25">
      <c r="A4577" s="8">
        <v>41208</v>
      </c>
      <c r="B4577">
        <v>1219979.29</v>
      </c>
      <c r="C4577">
        <v>0</v>
      </c>
      <c r="D4577">
        <v>47.22</v>
      </c>
      <c r="E4577">
        <v>3.6859999999999999</v>
      </c>
      <c r="F4577">
        <v>199.2195317</v>
      </c>
      <c r="G4577">
        <v>7.5570000000000004</v>
      </c>
      <c r="N4577" s="8"/>
    </row>
    <row r="4578" spans="1:14" x14ac:dyDescent="0.25">
      <c r="A4578" s="8">
        <v>40214</v>
      </c>
      <c r="B4578">
        <v>274593.43</v>
      </c>
      <c r="C4578">
        <v>0</v>
      </c>
      <c r="D4578">
        <v>58.4</v>
      </c>
      <c r="E4578">
        <v>2.9620000000000002</v>
      </c>
      <c r="F4578">
        <v>126.4420645</v>
      </c>
      <c r="G4578">
        <v>10.115</v>
      </c>
      <c r="N4578" s="8"/>
    </row>
    <row r="4579" spans="1:14" x14ac:dyDescent="0.25">
      <c r="A4579" s="8">
        <v>40221</v>
      </c>
      <c r="B4579">
        <v>294882.83</v>
      </c>
      <c r="C4579">
        <v>1</v>
      </c>
      <c r="D4579">
        <v>55.47</v>
      </c>
      <c r="E4579">
        <v>2.8279999999999998</v>
      </c>
      <c r="F4579">
        <v>126.49625810000001</v>
      </c>
      <c r="G4579">
        <v>10.115</v>
      </c>
      <c r="N4579" s="8"/>
    </row>
    <row r="4580" spans="1:14" x14ac:dyDescent="0.25">
      <c r="A4580" s="8">
        <v>40228</v>
      </c>
      <c r="B4580">
        <v>296850.83</v>
      </c>
      <c r="C4580">
        <v>0</v>
      </c>
      <c r="D4580">
        <v>62.16</v>
      </c>
      <c r="E4580">
        <v>2.915</v>
      </c>
      <c r="F4580">
        <v>126.5262857</v>
      </c>
      <c r="G4580">
        <v>10.115</v>
      </c>
      <c r="N4580" s="8"/>
    </row>
    <row r="4581" spans="1:14" x14ac:dyDescent="0.25">
      <c r="A4581" s="8">
        <v>40235</v>
      </c>
      <c r="B4581">
        <v>284052.77</v>
      </c>
      <c r="C4581">
        <v>0</v>
      </c>
      <c r="D4581">
        <v>56.5</v>
      </c>
      <c r="E4581">
        <v>2.8250000000000002</v>
      </c>
      <c r="F4581">
        <v>126.5522857</v>
      </c>
      <c r="G4581">
        <v>10.115</v>
      </c>
      <c r="N4581" s="8"/>
    </row>
    <row r="4582" spans="1:14" x14ac:dyDescent="0.25">
      <c r="A4582" s="8">
        <v>40242</v>
      </c>
      <c r="B4582">
        <v>291484.89</v>
      </c>
      <c r="C4582">
        <v>0</v>
      </c>
      <c r="D4582">
        <v>59.17</v>
      </c>
      <c r="E4582">
        <v>2.8769999999999998</v>
      </c>
      <c r="F4582">
        <v>126.5782857</v>
      </c>
      <c r="G4582">
        <v>10.115</v>
      </c>
      <c r="N4582" s="8"/>
    </row>
    <row r="4583" spans="1:14" x14ac:dyDescent="0.25">
      <c r="A4583" s="8">
        <v>40249</v>
      </c>
      <c r="B4583">
        <v>312161</v>
      </c>
      <c r="C4583">
        <v>0</v>
      </c>
      <c r="D4583">
        <v>55.61</v>
      </c>
      <c r="E4583">
        <v>3.0339999999999998</v>
      </c>
      <c r="F4583">
        <v>126.60428570000001</v>
      </c>
      <c r="G4583">
        <v>10.115</v>
      </c>
      <c r="N4583" s="8"/>
    </row>
    <row r="4584" spans="1:14" x14ac:dyDescent="0.25">
      <c r="A4584" s="8">
        <v>40256</v>
      </c>
      <c r="B4584">
        <v>282235.73</v>
      </c>
      <c r="C4584">
        <v>0</v>
      </c>
      <c r="D4584">
        <v>64.599999999999994</v>
      </c>
      <c r="E4584">
        <v>3.0539999999999998</v>
      </c>
      <c r="F4584">
        <v>126.6066452</v>
      </c>
      <c r="G4584">
        <v>10.115</v>
      </c>
      <c r="N4584" s="8"/>
    </row>
    <row r="4585" spans="1:14" x14ac:dyDescent="0.25">
      <c r="A4585" s="8">
        <v>40263</v>
      </c>
      <c r="B4585">
        <v>262893.76</v>
      </c>
      <c r="C4585">
        <v>0</v>
      </c>
      <c r="D4585">
        <v>64.09</v>
      </c>
      <c r="E4585">
        <v>2.98</v>
      </c>
      <c r="F4585">
        <v>126.6050645</v>
      </c>
      <c r="G4585">
        <v>10.115</v>
      </c>
      <c r="N4585" s="8"/>
    </row>
    <row r="4586" spans="1:14" x14ac:dyDescent="0.25">
      <c r="A4586" s="8">
        <v>40270</v>
      </c>
      <c r="B4586">
        <v>274634.52</v>
      </c>
      <c r="C4586">
        <v>0</v>
      </c>
      <c r="D4586">
        <v>66.790000000000006</v>
      </c>
      <c r="E4586">
        <v>3.0859999999999999</v>
      </c>
      <c r="F4586">
        <v>126.6034839</v>
      </c>
      <c r="G4586">
        <v>9.8490000000000002</v>
      </c>
      <c r="N4586" s="8"/>
    </row>
    <row r="4587" spans="1:14" x14ac:dyDescent="0.25">
      <c r="A4587" s="8">
        <v>40277</v>
      </c>
      <c r="B4587">
        <v>325201.05</v>
      </c>
      <c r="C4587">
        <v>0</v>
      </c>
      <c r="D4587">
        <v>68.430000000000007</v>
      </c>
      <c r="E4587">
        <v>3.004</v>
      </c>
      <c r="F4587">
        <v>126.6019032</v>
      </c>
      <c r="G4587">
        <v>9.8490000000000002</v>
      </c>
      <c r="N4587" s="8"/>
    </row>
    <row r="4588" spans="1:14" x14ac:dyDescent="0.25">
      <c r="A4588" s="8">
        <v>40284</v>
      </c>
      <c r="B4588">
        <v>307779.64</v>
      </c>
      <c r="C4588">
        <v>0</v>
      </c>
      <c r="D4588">
        <v>72.44</v>
      </c>
      <c r="E4588">
        <v>3.109</v>
      </c>
      <c r="F4588">
        <v>126.5621</v>
      </c>
      <c r="G4588">
        <v>9.8490000000000002</v>
      </c>
      <c r="N4588" s="8"/>
    </row>
    <row r="4589" spans="1:14" x14ac:dyDescent="0.25">
      <c r="A4589" s="8">
        <v>40291</v>
      </c>
      <c r="B4589">
        <v>263263.02</v>
      </c>
      <c r="C4589">
        <v>0</v>
      </c>
      <c r="D4589">
        <v>71.59</v>
      </c>
      <c r="E4589">
        <v>3.05</v>
      </c>
      <c r="F4589">
        <v>126.4713333</v>
      </c>
      <c r="G4589">
        <v>9.8490000000000002</v>
      </c>
      <c r="N4589" s="8"/>
    </row>
    <row r="4590" spans="1:14" x14ac:dyDescent="0.25">
      <c r="A4590" s="8">
        <v>40298</v>
      </c>
      <c r="B4590">
        <v>275883.23</v>
      </c>
      <c r="C4590">
        <v>0</v>
      </c>
      <c r="D4590">
        <v>73.290000000000006</v>
      </c>
      <c r="E4590">
        <v>3.105</v>
      </c>
      <c r="F4590">
        <v>126.3805667</v>
      </c>
      <c r="G4590">
        <v>9.8490000000000002</v>
      </c>
      <c r="N4590" s="8"/>
    </row>
    <row r="4591" spans="1:14" x14ac:dyDescent="0.25">
      <c r="A4591" s="8">
        <v>40305</v>
      </c>
      <c r="B4591">
        <v>326870.13</v>
      </c>
      <c r="C4591">
        <v>0</v>
      </c>
      <c r="D4591">
        <v>75.400000000000006</v>
      </c>
      <c r="E4591">
        <v>3.1269999999999998</v>
      </c>
      <c r="F4591">
        <v>126.2898</v>
      </c>
      <c r="G4591">
        <v>9.8490000000000002</v>
      </c>
      <c r="N4591" s="8"/>
    </row>
    <row r="4592" spans="1:14" x14ac:dyDescent="0.25">
      <c r="A4592" s="8">
        <v>40312</v>
      </c>
      <c r="B4592">
        <v>331173.51</v>
      </c>
      <c r="C4592">
        <v>0</v>
      </c>
      <c r="D4592">
        <v>76.8</v>
      </c>
      <c r="E4592">
        <v>3.145</v>
      </c>
      <c r="F4592">
        <v>126.2085484</v>
      </c>
      <c r="G4592">
        <v>9.8490000000000002</v>
      </c>
      <c r="N4592" s="8"/>
    </row>
    <row r="4593" spans="1:14" x14ac:dyDescent="0.25">
      <c r="A4593" s="8">
        <v>40319</v>
      </c>
      <c r="B4593">
        <v>294264.2</v>
      </c>
      <c r="C4593">
        <v>0</v>
      </c>
      <c r="D4593">
        <v>82.8</v>
      </c>
      <c r="E4593">
        <v>3.12</v>
      </c>
      <c r="F4593">
        <v>126.1843871</v>
      </c>
      <c r="G4593">
        <v>9.8490000000000002</v>
      </c>
      <c r="N4593" s="8"/>
    </row>
    <row r="4594" spans="1:14" x14ac:dyDescent="0.25">
      <c r="A4594" s="8">
        <v>40326</v>
      </c>
      <c r="B4594">
        <v>279246.33</v>
      </c>
      <c r="C4594">
        <v>0</v>
      </c>
      <c r="D4594">
        <v>78.47</v>
      </c>
      <c r="E4594">
        <v>3.0579999999999998</v>
      </c>
      <c r="F4594">
        <v>126.16022580000001</v>
      </c>
      <c r="G4594">
        <v>9.8490000000000002</v>
      </c>
      <c r="N4594" s="8"/>
    </row>
    <row r="4595" spans="1:14" x14ac:dyDescent="0.25">
      <c r="A4595" s="8">
        <v>40333</v>
      </c>
      <c r="B4595">
        <v>285100</v>
      </c>
      <c r="C4595">
        <v>0</v>
      </c>
      <c r="D4595">
        <v>86.06</v>
      </c>
      <c r="E4595">
        <v>2.9409999999999998</v>
      </c>
      <c r="F4595">
        <v>126.1360645</v>
      </c>
      <c r="G4595">
        <v>9.8490000000000002</v>
      </c>
      <c r="N4595" s="8"/>
    </row>
    <row r="4596" spans="1:14" x14ac:dyDescent="0.25">
      <c r="A4596" s="8">
        <v>40340</v>
      </c>
      <c r="B4596">
        <v>310800.78999999998</v>
      </c>
      <c r="C4596">
        <v>0</v>
      </c>
      <c r="D4596">
        <v>93.52</v>
      </c>
      <c r="E4596">
        <v>3.0569999999999999</v>
      </c>
      <c r="F4596">
        <v>126.1119032</v>
      </c>
      <c r="G4596">
        <v>9.8490000000000002</v>
      </c>
      <c r="N4596" s="8"/>
    </row>
    <row r="4597" spans="1:14" x14ac:dyDescent="0.25">
      <c r="A4597" s="8">
        <v>40347</v>
      </c>
      <c r="B4597">
        <v>272399.08</v>
      </c>
      <c r="C4597">
        <v>0</v>
      </c>
      <c r="D4597">
        <v>87.69</v>
      </c>
      <c r="E4597">
        <v>2.9350000000000001</v>
      </c>
      <c r="F4597">
        <v>126.114</v>
      </c>
      <c r="G4597">
        <v>9.8490000000000002</v>
      </c>
      <c r="N4597" s="8"/>
    </row>
    <row r="4598" spans="1:14" x14ac:dyDescent="0.25">
      <c r="A4598" s="8">
        <v>40354</v>
      </c>
      <c r="B4598">
        <v>259419.91</v>
      </c>
      <c r="C4598">
        <v>0</v>
      </c>
      <c r="D4598">
        <v>93.66</v>
      </c>
      <c r="E4598">
        <v>3.0840000000000001</v>
      </c>
      <c r="F4598">
        <v>126.1266</v>
      </c>
      <c r="G4598">
        <v>9.8490000000000002</v>
      </c>
      <c r="N4598" s="8"/>
    </row>
    <row r="4599" spans="1:14" x14ac:dyDescent="0.25">
      <c r="A4599" s="8">
        <v>40361</v>
      </c>
      <c r="B4599">
        <v>267495.76</v>
      </c>
      <c r="C4599">
        <v>0</v>
      </c>
      <c r="D4599">
        <v>97.66</v>
      </c>
      <c r="E4599">
        <v>2.9780000000000002</v>
      </c>
      <c r="F4599">
        <v>126.1392</v>
      </c>
      <c r="G4599">
        <v>9.4949999999999992</v>
      </c>
      <c r="N4599" s="8"/>
    </row>
    <row r="4600" spans="1:14" x14ac:dyDescent="0.25">
      <c r="A4600" s="8">
        <v>40368</v>
      </c>
      <c r="B4600">
        <v>302423.93</v>
      </c>
      <c r="C4600">
        <v>0</v>
      </c>
      <c r="D4600">
        <v>95.88</v>
      </c>
      <c r="E4600">
        <v>3.1</v>
      </c>
      <c r="F4600">
        <v>126.15179999999999</v>
      </c>
      <c r="G4600">
        <v>9.4949999999999992</v>
      </c>
      <c r="N4600" s="8"/>
    </row>
    <row r="4601" spans="1:14" x14ac:dyDescent="0.25">
      <c r="A4601" s="8">
        <v>40375</v>
      </c>
      <c r="B4601">
        <v>280937.84000000003</v>
      </c>
      <c r="C4601">
        <v>0</v>
      </c>
      <c r="D4601">
        <v>100.14</v>
      </c>
      <c r="E4601">
        <v>2.9710000000000001</v>
      </c>
      <c r="F4601">
        <v>126.1498065</v>
      </c>
      <c r="G4601">
        <v>9.4949999999999992</v>
      </c>
      <c r="N4601" s="8"/>
    </row>
    <row r="4602" spans="1:14" x14ac:dyDescent="0.25">
      <c r="A4602" s="8">
        <v>40382</v>
      </c>
      <c r="B4602">
        <v>252734.31</v>
      </c>
      <c r="C4602">
        <v>0</v>
      </c>
      <c r="D4602">
        <v>97.04</v>
      </c>
      <c r="E4602">
        <v>3.1120000000000001</v>
      </c>
      <c r="F4602">
        <v>126.1283548</v>
      </c>
      <c r="G4602">
        <v>9.4949999999999992</v>
      </c>
      <c r="N4602" s="8"/>
    </row>
    <row r="4603" spans="1:14" x14ac:dyDescent="0.25">
      <c r="A4603" s="8">
        <v>40389</v>
      </c>
      <c r="B4603">
        <v>242047.03</v>
      </c>
      <c r="C4603">
        <v>0</v>
      </c>
      <c r="D4603">
        <v>92.71</v>
      </c>
      <c r="E4603">
        <v>3.0169999999999999</v>
      </c>
      <c r="F4603">
        <v>126.1069032</v>
      </c>
      <c r="G4603">
        <v>9.4949999999999992</v>
      </c>
      <c r="N4603" s="8"/>
    </row>
    <row r="4604" spans="1:14" x14ac:dyDescent="0.25">
      <c r="A4604" s="8">
        <v>40396</v>
      </c>
      <c r="B4604">
        <v>262789.95</v>
      </c>
      <c r="C4604">
        <v>0</v>
      </c>
      <c r="D4604">
        <v>92.51</v>
      </c>
      <c r="E4604">
        <v>3.1230000000000002</v>
      </c>
      <c r="F4604">
        <v>126.0854516</v>
      </c>
      <c r="G4604">
        <v>9.4949999999999992</v>
      </c>
      <c r="N4604" s="8"/>
    </row>
    <row r="4605" spans="1:14" x14ac:dyDescent="0.25">
      <c r="A4605" s="8">
        <v>40403</v>
      </c>
      <c r="B4605">
        <v>265367.51</v>
      </c>
      <c r="C4605">
        <v>0</v>
      </c>
      <c r="D4605">
        <v>95.57</v>
      </c>
      <c r="E4605">
        <v>3.0489999999999999</v>
      </c>
      <c r="F4605">
        <v>126.06399999999999</v>
      </c>
      <c r="G4605">
        <v>9.4949999999999992</v>
      </c>
      <c r="N4605" s="8"/>
    </row>
    <row r="4606" spans="1:14" x14ac:dyDescent="0.25">
      <c r="A4606" s="8">
        <v>40410</v>
      </c>
      <c r="B4606">
        <v>230519.49</v>
      </c>
      <c r="C4606">
        <v>0</v>
      </c>
      <c r="D4606">
        <v>96.46</v>
      </c>
      <c r="E4606">
        <v>3.0409999999999999</v>
      </c>
      <c r="F4606">
        <v>126.0766452</v>
      </c>
      <c r="G4606">
        <v>9.4949999999999992</v>
      </c>
      <c r="N4606" s="8"/>
    </row>
    <row r="4607" spans="1:14" x14ac:dyDescent="0.25">
      <c r="A4607" s="8">
        <v>40417</v>
      </c>
      <c r="B4607">
        <v>224031.19</v>
      </c>
      <c r="C4607">
        <v>0</v>
      </c>
      <c r="D4607">
        <v>94</v>
      </c>
      <c r="E4607">
        <v>3.0219999999999998</v>
      </c>
      <c r="F4607">
        <v>126.0892903</v>
      </c>
      <c r="G4607">
        <v>9.4949999999999992</v>
      </c>
      <c r="N4607" s="8"/>
    </row>
    <row r="4608" spans="1:14" x14ac:dyDescent="0.25">
      <c r="A4608" s="8">
        <v>40424</v>
      </c>
      <c r="B4608">
        <v>237405.82</v>
      </c>
      <c r="C4608">
        <v>0</v>
      </c>
      <c r="D4608">
        <v>90.82</v>
      </c>
      <c r="E4608">
        <v>3.0870000000000002</v>
      </c>
      <c r="F4608">
        <v>126.1019355</v>
      </c>
      <c r="G4608">
        <v>9.4949999999999992</v>
      </c>
      <c r="N4608" s="8"/>
    </row>
    <row r="4609" spans="1:14" x14ac:dyDescent="0.25">
      <c r="A4609" s="8">
        <v>40431</v>
      </c>
      <c r="B4609">
        <v>272834.88</v>
      </c>
      <c r="C4609">
        <v>1</v>
      </c>
      <c r="D4609">
        <v>91.77</v>
      </c>
      <c r="E4609">
        <v>2.9609999999999999</v>
      </c>
      <c r="F4609">
        <v>126.1145806</v>
      </c>
      <c r="G4609">
        <v>9.4949999999999992</v>
      </c>
      <c r="N4609" s="8"/>
    </row>
    <row r="4610" spans="1:14" x14ac:dyDescent="0.25">
      <c r="A4610" s="8">
        <v>40438</v>
      </c>
      <c r="B4610">
        <v>246277.18</v>
      </c>
      <c r="C4610">
        <v>0</v>
      </c>
      <c r="D4610">
        <v>89.43</v>
      </c>
      <c r="E4610">
        <v>3.028</v>
      </c>
      <c r="F4610">
        <v>126.1454667</v>
      </c>
      <c r="G4610">
        <v>9.4949999999999992</v>
      </c>
      <c r="N4610" s="8"/>
    </row>
    <row r="4611" spans="1:14" x14ac:dyDescent="0.25">
      <c r="A4611" s="8">
        <v>40445</v>
      </c>
      <c r="B4611">
        <v>231976.84</v>
      </c>
      <c r="C4611">
        <v>0</v>
      </c>
      <c r="D4611">
        <v>91.18</v>
      </c>
      <c r="E4611">
        <v>2.9390000000000001</v>
      </c>
      <c r="F4611">
        <v>126.1900333</v>
      </c>
      <c r="G4611">
        <v>9.4949999999999992</v>
      </c>
      <c r="N4611" s="8"/>
    </row>
    <row r="4612" spans="1:14" x14ac:dyDescent="0.25">
      <c r="A4612" s="8">
        <v>40452</v>
      </c>
      <c r="B4612">
        <v>224294.39</v>
      </c>
      <c r="C4612">
        <v>0</v>
      </c>
      <c r="D4612">
        <v>91.45</v>
      </c>
      <c r="E4612">
        <v>3.0009999999999999</v>
      </c>
      <c r="F4612">
        <v>126.2346</v>
      </c>
      <c r="G4612">
        <v>9.2650000000000006</v>
      </c>
      <c r="N4612" s="8"/>
    </row>
    <row r="4613" spans="1:14" x14ac:dyDescent="0.25">
      <c r="A4613" s="8">
        <v>40459</v>
      </c>
      <c r="B4613">
        <v>266484.19</v>
      </c>
      <c r="C4613">
        <v>0</v>
      </c>
      <c r="D4613">
        <v>79.02</v>
      </c>
      <c r="E4613">
        <v>2.9239999999999999</v>
      </c>
      <c r="F4613">
        <v>126.2791667</v>
      </c>
      <c r="G4613">
        <v>9.2650000000000006</v>
      </c>
      <c r="N4613" s="8"/>
    </row>
    <row r="4614" spans="1:14" x14ac:dyDescent="0.25">
      <c r="A4614" s="8">
        <v>40466</v>
      </c>
      <c r="B4614">
        <v>251732.92</v>
      </c>
      <c r="C4614">
        <v>0</v>
      </c>
      <c r="D4614">
        <v>80.489999999999995</v>
      </c>
      <c r="E4614">
        <v>3.08</v>
      </c>
      <c r="F4614">
        <v>126.32667739999999</v>
      </c>
      <c r="G4614">
        <v>9.2650000000000006</v>
      </c>
      <c r="N4614" s="8"/>
    </row>
    <row r="4615" spans="1:14" x14ac:dyDescent="0.25">
      <c r="A4615" s="8">
        <v>40473</v>
      </c>
      <c r="B4615">
        <v>234175.92</v>
      </c>
      <c r="C4615">
        <v>0</v>
      </c>
      <c r="D4615">
        <v>74.2</v>
      </c>
      <c r="E4615">
        <v>3.0139999999999998</v>
      </c>
      <c r="F4615">
        <v>126.3815484</v>
      </c>
      <c r="G4615">
        <v>9.2650000000000006</v>
      </c>
      <c r="N4615" s="8"/>
    </row>
    <row r="4616" spans="1:14" x14ac:dyDescent="0.25">
      <c r="A4616" s="8">
        <v>40480</v>
      </c>
      <c r="B4616">
        <v>213538.32</v>
      </c>
      <c r="C4616">
        <v>0</v>
      </c>
      <c r="D4616">
        <v>71.34</v>
      </c>
      <c r="E4616">
        <v>3.13</v>
      </c>
      <c r="F4616">
        <v>126.43641940000001</v>
      </c>
      <c r="G4616">
        <v>9.2650000000000006</v>
      </c>
      <c r="N4616" s="8"/>
    </row>
    <row r="4617" spans="1:14" x14ac:dyDescent="0.25">
      <c r="A4617" s="8">
        <v>40487</v>
      </c>
      <c r="B4617">
        <v>246124.61</v>
      </c>
      <c r="C4617">
        <v>0</v>
      </c>
      <c r="D4617">
        <v>74.23</v>
      </c>
      <c r="E4617">
        <v>3.0089999999999999</v>
      </c>
      <c r="F4617">
        <v>126.4912903</v>
      </c>
      <c r="G4617">
        <v>9.2650000000000006</v>
      </c>
      <c r="N4617" s="8"/>
    </row>
    <row r="4618" spans="1:14" x14ac:dyDescent="0.25">
      <c r="A4618" s="8">
        <v>40494</v>
      </c>
      <c r="B4618">
        <v>272803.94</v>
      </c>
      <c r="C4618">
        <v>0</v>
      </c>
      <c r="D4618">
        <v>65.209999999999994</v>
      </c>
      <c r="E4618">
        <v>3.13</v>
      </c>
      <c r="F4618">
        <v>126.54616129999999</v>
      </c>
      <c r="G4618">
        <v>9.2650000000000006</v>
      </c>
      <c r="N4618" s="8"/>
    </row>
    <row r="4619" spans="1:14" x14ac:dyDescent="0.25">
      <c r="A4619" s="8">
        <v>40501</v>
      </c>
      <c r="B4619">
        <v>224639.76</v>
      </c>
      <c r="C4619">
        <v>0</v>
      </c>
      <c r="D4619">
        <v>61.95</v>
      </c>
      <c r="E4619">
        <v>3.0470000000000002</v>
      </c>
      <c r="F4619">
        <v>126.60720000000001</v>
      </c>
      <c r="G4619">
        <v>9.2650000000000006</v>
      </c>
      <c r="N4619" s="8"/>
    </row>
    <row r="4620" spans="1:14" x14ac:dyDescent="0.25">
      <c r="A4620" s="8">
        <v>40508</v>
      </c>
      <c r="B4620">
        <v>240044.57</v>
      </c>
      <c r="C4620">
        <v>1</v>
      </c>
      <c r="D4620">
        <v>56.87</v>
      </c>
      <c r="E4620">
        <v>3.1619999999999999</v>
      </c>
      <c r="F4620">
        <v>126.66926669999999</v>
      </c>
      <c r="G4620">
        <v>9.2650000000000006</v>
      </c>
      <c r="N4620" s="8"/>
    </row>
    <row r="4621" spans="1:14" x14ac:dyDescent="0.25">
      <c r="A4621" s="8">
        <v>40515</v>
      </c>
      <c r="B4621">
        <v>209986.25</v>
      </c>
      <c r="C4621">
        <v>0</v>
      </c>
      <c r="D4621">
        <v>52.82</v>
      </c>
      <c r="E4621">
        <v>3.0409999999999999</v>
      </c>
      <c r="F4621">
        <v>126.7313333</v>
      </c>
      <c r="G4621">
        <v>9.2650000000000006</v>
      </c>
      <c r="N4621" s="8"/>
    </row>
    <row r="4622" spans="1:14" x14ac:dyDescent="0.25">
      <c r="A4622" s="8">
        <v>40522</v>
      </c>
      <c r="B4622">
        <v>253050.1</v>
      </c>
      <c r="C4622">
        <v>0</v>
      </c>
      <c r="D4622">
        <v>60.72</v>
      </c>
      <c r="E4622">
        <v>3.0910000000000002</v>
      </c>
      <c r="F4622">
        <v>126.79340000000001</v>
      </c>
      <c r="G4622">
        <v>9.2650000000000006</v>
      </c>
      <c r="N4622" s="8"/>
    </row>
    <row r="4623" spans="1:14" x14ac:dyDescent="0.25">
      <c r="A4623" s="8">
        <v>40529</v>
      </c>
      <c r="B4623">
        <v>238875.26</v>
      </c>
      <c r="C4623">
        <v>0</v>
      </c>
      <c r="D4623">
        <v>61.12</v>
      </c>
      <c r="E4623">
        <v>3.125</v>
      </c>
      <c r="F4623">
        <v>126.8794839</v>
      </c>
      <c r="G4623">
        <v>9.2650000000000006</v>
      </c>
      <c r="N4623" s="8"/>
    </row>
    <row r="4624" spans="1:14" x14ac:dyDescent="0.25">
      <c r="A4624" s="8">
        <v>40536</v>
      </c>
      <c r="B4624">
        <v>249246.8</v>
      </c>
      <c r="C4624">
        <v>0</v>
      </c>
      <c r="D4624">
        <v>60.43</v>
      </c>
      <c r="E4624">
        <v>3.2360000000000002</v>
      </c>
      <c r="F4624">
        <v>126.9835806</v>
      </c>
      <c r="G4624">
        <v>9.2650000000000006</v>
      </c>
      <c r="N4624" s="8"/>
    </row>
    <row r="4625" spans="1:14" x14ac:dyDescent="0.25">
      <c r="A4625" s="8">
        <v>40543</v>
      </c>
      <c r="B4625">
        <v>219804.85</v>
      </c>
      <c r="C4625">
        <v>1</v>
      </c>
      <c r="D4625">
        <v>52.91</v>
      </c>
      <c r="E4625">
        <v>3.1480000000000001</v>
      </c>
      <c r="F4625">
        <v>127.0876774</v>
      </c>
      <c r="G4625">
        <v>9.2650000000000006</v>
      </c>
      <c r="N4625" s="8"/>
    </row>
    <row r="4626" spans="1:14" x14ac:dyDescent="0.25">
      <c r="A4626" s="8">
        <v>40550</v>
      </c>
      <c r="B4626">
        <v>243948.82</v>
      </c>
      <c r="C4626">
        <v>0</v>
      </c>
      <c r="D4626">
        <v>46.25</v>
      </c>
      <c r="E4626">
        <v>3.2869999999999999</v>
      </c>
      <c r="F4626">
        <v>127.1917742</v>
      </c>
      <c r="G4626">
        <v>8.9510000000000005</v>
      </c>
      <c r="N4626" s="8"/>
    </row>
    <row r="4627" spans="1:14" x14ac:dyDescent="0.25">
      <c r="A4627" s="8">
        <v>40557</v>
      </c>
      <c r="B4627">
        <v>259527.75</v>
      </c>
      <c r="C4627">
        <v>0</v>
      </c>
      <c r="D4627">
        <v>53.63</v>
      </c>
      <c r="E4627">
        <v>3.3119999999999998</v>
      </c>
      <c r="F4627">
        <v>127.30093549999999</v>
      </c>
      <c r="G4627">
        <v>8.9510000000000005</v>
      </c>
      <c r="N4627" s="8"/>
    </row>
    <row r="4628" spans="1:14" x14ac:dyDescent="0.25">
      <c r="A4628" s="8">
        <v>40564</v>
      </c>
      <c r="B4628">
        <v>244856.44</v>
      </c>
      <c r="C4628">
        <v>0</v>
      </c>
      <c r="D4628">
        <v>59.46</v>
      </c>
      <c r="E4628">
        <v>3.3359999999999999</v>
      </c>
      <c r="F4628">
        <v>127.4404839</v>
      </c>
      <c r="G4628">
        <v>8.9510000000000005</v>
      </c>
      <c r="N4628" s="8"/>
    </row>
    <row r="4629" spans="1:14" x14ac:dyDescent="0.25">
      <c r="A4629" s="8">
        <v>40571</v>
      </c>
      <c r="B4629">
        <v>231155.9</v>
      </c>
      <c r="C4629">
        <v>0</v>
      </c>
      <c r="D4629">
        <v>56.62</v>
      </c>
      <c r="E4629">
        <v>3.2309999999999999</v>
      </c>
      <c r="F4629">
        <v>127.5800323</v>
      </c>
      <c r="G4629">
        <v>8.9510000000000005</v>
      </c>
      <c r="N4629" s="8"/>
    </row>
    <row r="4630" spans="1:14" x14ac:dyDescent="0.25">
      <c r="A4630" s="8">
        <v>40578</v>
      </c>
      <c r="B4630">
        <v>234218.03</v>
      </c>
      <c r="C4630">
        <v>0</v>
      </c>
      <c r="D4630">
        <v>49.26</v>
      </c>
      <c r="E4630">
        <v>3.3479999999999999</v>
      </c>
      <c r="F4630">
        <v>127.7195806</v>
      </c>
      <c r="G4630">
        <v>8.9510000000000005</v>
      </c>
      <c r="N4630" s="8"/>
    </row>
    <row r="4631" spans="1:14" x14ac:dyDescent="0.25">
      <c r="A4631" s="8">
        <v>40585</v>
      </c>
      <c r="B4631">
        <v>276198.74</v>
      </c>
      <c r="C4631">
        <v>1</v>
      </c>
      <c r="D4631">
        <v>53.35</v>
      </c>
      <c r="E4631">
        <v>3.3809999999999998</v>
      </c>
      <c r="F4631">
        <v>127.859129</v>
      </c>
      <c r="G4631">
        <v>8.9510000000000005</v>
      </c>
      <c r="N4631" s="8"/>
    </row>
    <row r="4632" spans="1:14" x14ac:dyDescent="0.25">
      <c r="A4632" s="8">
        <v>40592</v>
      </c>
      <c r="B4632">
        <v>252349.6</v>
      </c>
      <c r="C4632">
        <v>0</v>
      </c>
      <c r="D4632">
        <v>62.03</v>
      </c>
      <c r="E4632">
        <v>3.43</v>
      </c>
      <c r="F4632">
        <v>127.99525</v>
      </c>
      <c r="G4632">
        <v>8.9510000000000005</v>
      </c>
      <c r="N4632" s="8"/>
    </row>
    <row r="4633" spans="1:14" x14ac:dyDescent="0.25">
      <c r="A4633" s="8">
        <v>40599</v>
      </c>
      <c r="B4633">
        <v>242901.21</v>
      </c>
      <c r="C4633">
        <v>0</v>
      </c>
      <c r="D4633">
        <v>54.89</v>
      </c>
      <c r="E4633">
        <v>3.3980000000000001</v>
      </c>
      <c r="F4633">
        <v>128.13</v>
      </c>
      <c r="G4633">
        <v>8.9510000000000005</v>
      </c>
      <c r="N4633" s="8"/>
    </row>
    <row r="4634" spans="1:14" x14ac:dyDescent="0.25">
      <c r="A4634" s="8">
        <v>40606</v>
      </c>
      <c r="B4634">
        <v>245435.8</v>
      </c>
      <c r="C4634">
        <v>0</v>
      </c>
      <c r="D4634">
        <v>59.51</v>
      </c>
      <c r="E4634">
        <v>3.6739999999999999</v>
      </c>
      <c r="F4634">
        <v>128.26474999999999</v>
      </c>
      <c r="G4634">
        <v>8.9510000000000005</v>
      </c>
      <c r="N4634" s="8"/>
    </row>
    <row r="4635" spans="1:14" x14ac:dyDescent="0.25">
      <c r="A4635" s="8">
        <v>40613</v>
      </c>
      <c r="B4635">
        <v>270921.44</v>
      </c>
      <c r="C4635">
        <v>0</v>
      </c>
      <c r="D4635">
        <v>66.510000000000005</v>
      </c>
      <c r="E4635">
        <v>3.63</v>
      </c>
      <c r="F4635">
        <v>128.39949999999999</v>
      </c>
      <c r="G4635">
        <v>8.9510000000000005</v>
      </c>
      <c r="N4635" s="8"/>
    </row>
    <row r="4636" spans="1:14" x14ac:dyDescent="0.25">
      <c r="A4636" s="8">
        <v>40620</v>
      </c>
      <c r="B4636">
        <v>247234.47</v>
      </c>
      <c r="C4636">
        <v>0</v>
      </c>
      <c r="D4636">
        <v>72.72</v>
      </c>
      <c r="E4636">
        <v>3.8919999999999999</v>
      </c>
      <c r="F4636">
        <v>128.5121935</v>
      </c>
      <c r="G4636">
        <v>8.9510000000000005</v>
      </c>
      <c r="N4636" s="8"/>
    </row>
    <row r="4637" spans="1:14" x14ac:dyDescent="0.25">
      <c r="A4637" s="8">
        <v>40627</v>
      </c>
      <c r="B4637">
        <v>238084.08</v>
      </c>
      <c r="C4637">
        <v>0</v>
      </c>
      <c r="D4637">
        <v>63.34</v>
      </c>
      <c r="E4637">
        <v>3.7160000000000002</v>
      </c>
      <c r="F4637">
        <v>128.61606449999999</v>
      </c>
      <c r="G4637">
        <v>8.9510000000000005</v>
      </c>
      <c r="N4637" s="8"/>
    </row>
    <row r="4638" spans="1:14" x14ac:dyDescent="0.25">
      <c r="A4638" s="8">
        <v>40634</v>
      </c>
      <c r="B4638">
        <v>232769.09</v>
      </c>
      <c r="C4638">
        <v>0</v>
      </c>
      <c r="D4638">
        <v>71.41</v>
      </c>
      <c r="E4638">
        <v>3.7719999999999998</v>
      </c>
      <c r="F4638">
        <v>128.71993549999999</v>
      </c>
      <c r="G4638">
        <v>8.6869999999999994</v>
      </c>
      <c r="N4638" s="8"/>
    </row>
    <row r="4639" spans="1:14" x14ac:dyDescent="0.25">
      <c r="A4639" s="8">
        <v>40641</v>
      </c>
      <c r="B4639">
        <v>271924.73</v>
      </c>
      <c r="C4639">
        <v>0</v>
      </c>
      <c r="D4639">
        <v>75.11</v>
      </c>
      <c r="E4639">
        <v>3.8180000000000001</v>
      </c>
      <c r="F4639">
        <v>128.82380649999999</v>
      </c>
      <c r="G4639">
        <v>8.6869999999999994</v>
      </c>
      <c r="N4639" s="8"/>
    </row>
    <row r="4640" spans="1:14" x14ac:dyDescent="0.25">
      <c r="A4640" s="8">
        <v>40648</v>
      </c>
      <c r="B4640">
        <v>275749.56</v>
      </c>
      <c r="C4640">
        <v>0</v>
      </c>
      <c r="D4640">
        <v>64.64</v>
      </c>
      <c r="E4640">
        <v>4.0890000000000004</v>
      </c>
      <c r="F4640">
        <v>128.9107333</v>
      </c>
      <c r="G4640">
        <v>8.6869999999999994</v>
      </c>
      <c r="N4640" s="8"/>
    </row>
    <row r="4641" spans="1:14" x14ac:dyDescent="0.25">
      <c r="A4641" s="8">
        <v>40655</v>
      </c>
      <c r="B4641">
        <v>248603.3</v>
      </c>
      <c r="C4641">
        <v>0</v>
      </c>
      <c r="D4641">
        <v>79.459999999999994</v>
      </c>
      <c r="E4641">
        <v>3.9169999999999998</v>
      </c>
      <c r="F4641">
        <v>128.95529999999999</v>
      </c>
      <c r="G4641">
        <v>8.6869999999999994</v>
      </c>
      <c r="N4641" s="8"/>
    </row>
    <row r="4642" spans="1:14" x14ac:dyDescent="0.25">
      <c r="A4642" s="8">
        <v>40662</v>
      </c>
      <c r="B4642">
        <v>248561.86</v>
      </c>
      <c r="C4642">
        <v>0</v>
      </c>
      <c r="D4642">
        <v>77.44</v>
      </c>
      <c r="E4642">
        <v>4.1509999999999998</v>
      </c>
      <c r="F4642">
        <v>128.99986670000001</v>
      </c>
      <c r="G4642">
        <v>8.6869999999999994</v>
      </c>
      <c r="N4642" s="8"/>
    </row>
    <row r="4643" spans="1:14" x14ac:dyDescent="0.25">
      <c r="A4643" s="8">
        <v>40669</v>
      </c>
      <c r="B4643">
        <v>257031.19</v>
      </c>
      <c r="C4643">
        <v>0</v>
      </c>
      <c r="D4643">
        <v>77.92</v>
      </c>
      <c r="E4643">
        <v>4.1929999999999996</v>
      </c>
      <c r="F4643">
        <v>129.04443330000001</v>
      </c>
      <c r="G4643">
        <v>8.6869999999999994</v>
      </c>
      <c r="N4643" s="8"/>
    </row>
    <row r="4644" spans="1:14" x14ac:dyDescent="0.25">
      <c r="A4644" s="8">
        <v>40676</v>
      </c>
      <c r="B4644">
        <v>279466.87</v>
      </c>
      <c r="C4644">
        <v>0</v>
      </c>
      <c r="D4644">
        <v>78.239999999999995</v>
      </c>
      <c r="E4644">
        <v>4.202</v>
      </c>
      <c r="F4644">
        <v>129.089</v>
      </c>
      <c r="G4644">
        <v>8.6869999999999994</v>
      </c>
      <c r="N4644" s="8"/>
    </row>
    <row r="4645" spans="1:14" x14ac:dyDescent="0.25">
      <c r="A4645" s="8">
        <v>40683</v>
      </c>
      <c r="B4645">
        <v>239206.26</v>
      </c>
      <c r="C4645">
        <v>0</v>
      </c>
      <c r="D4645">
        <v>76.069999999999993</v>
      </c>
      <c r="E4645">
        <v>3.99</v>
      </c>
      <c r="F4645">
        <v>129.07567739999999</v>
      </c>
      <c r="G4645">
        <v>8.6869999999999994</v>
      </c>
      <c r="N4645" s="8"/>
    </row>
    <row r="4646" spans="1:14" x14ac:dyDescent="0.25">
      <c r="A4646" s="8">
        <v>40690</v>
      </c>
      <c r="B4646">
        <v>239431.85</v>
      </c>
      <c r="C4646">
        <v>0</v>
      </c>
      <c r="D4646">
        <v>82.32</v>
      </c>
      <c r="E4646">
        <v>3.9329999999999998</v>
      </c>
      <c r="F4646">
        <v>129.06235480000001</v>
      </c>
      <c r="G4646">
        <v>8.6869999999999994</v>
      </c>
      <c r="N4646" s="8"/>
    </row>
    <row r="4647" spans="1:14" x14ac:dyDescent="0.25">
      <c r="A4647" s="8">
        <v>40697</v>
      </c>
      <c r="B4647">
        <v>243477.03</v>
      </c>
      <c r="C4647">
        <v>0</v>
      </c>
      <c r="D4647">
        <v>82.93</v>
      </c>
      <c r="E4647">
        <v>3.8929999999999998</v>
      </c>
      <c r="F4647">
        <v>129.04903229999999</v>
      </c>
      <c r="G4647">
        <v>8.6869999999999994</v>
      </c>
      <c r="N4647" s="8"/>
    </row>
    <row r="4648" spans="1:14" x14ac:dyDescent="0.25">
      <c r="A4648" s="8">
        <v>40704</v>
      </c>
      <c r="B4648">
        <v>258427.39</v>
      </c>
      <c r="C4648">
        <v>0</v>
      </c>
      <c r="D4648">
        <v>87.02</v>
      </c>
      <c r="E4648">
        <v>3.9809999999999999</v>
      </c>
      <c r="F4648">
        <v>129.03570970000001</v>
      </c>
      <c r="G4648">
        <v>8.6869999999999994</v>
      </c>
      <c r="N4648" s="8"/>
    </row>
    <row r="4649" spans="1:14" x14ac:dyDescent="0.25">
      <c r="A4649" s="8">
        <v>40711</v>
      </c>
      <c r="B4649">
        <v>238172.66</v>
      </c>
      <c r="C4649">
        <v>0</v>
      </c>
      <c r="D4649">
        <v>91.11</v>
      </c>
      <c r="E4649">
        <v>3.9350000000000001</v>
      </c>
      <c r="F4649">
        <v>129.04320000000001</v>
      </c>
      <c r="G4649">
        <v>8.6869999999999994</v>
      </c>
      <c r="N4649" s="8"/>
    </row>
    <row r="4650" spans="1:14" x14ac:dyDescent="0.25">
      <c r="A4650" s="8">
        <v>40718</v>
      </c>
      <c r="B4650">
        <v>238433.53</v>
      </c>
      <c r="C4650">
        <v>0</v>
      </c>
      <c r="D4650">
        <v>94.11</v>
      </c>
      <c r="E4650">
        <v>3.8069999999999999</v>
      </c>
      <c r="F4650">
        <v>129.06630000000001</v>
      </c>
      <c r="G4650">
        <v>8.6869999999999994</v>
      </c>
      <c r="N4650" s="8"/>
    </row>
    <row r="4651" spans="1:14" x14ac:dyDescent="0.25">
      <c r="A4651" s="8">
        <v>40725</v>
      </c>
      <c r="B4651">
        <v>226702.36</v>
      </c>
      <c r="C4651">
        <v>0</v>
      </c>
      <c r="D4651">
        <v>98.43</v>
      </c>
      <c r="E4651">
        <v>3.8420000000000001</v>
      </c>
      <c r="F4651">
        <v>129.08940000000001</v>
      </c>
      <c r="G4651">
        <v>8.4420000000000002</v>
      </c>
      <c r="N4651" s="8"/>
    </row>
    <row r="4652" spans="1:14" x14ac:dyDescent="0.25">
      <c r="A4652" s="8">
        <v>40732</v>
      </c>
      <c r="B4652">
        <v>262717.71000000002</v>
      </c>
      <c r="C4652">
        <v>0</v>
      </c>
      <c r="D4652">
        <v>96.44</v>
      </c>
      <c r="E4652">
        <v>3.7930000000000001</v>
      </c>
      <c r="F4652">
        <v>129.11250000000001</v>
      </c>
      <c r="G4652">
        <v>8.4420000000000002</v>
      </c>
      <c r="N4652" s="8"/>
    </row>
    <row r="4653" spans="1:14" x14ac:dyDescent="0.25">
      <c r="A4653" s="8">
        <v>40739</v>
      </c>
      <c r="B4653">
        <v>265003.46999999997</v>
      </c>
      <c r="C4653">
        <v>0</v>
      </c>
      <c r="D4653">
        <v>92.83</v>
      </c>
      <c r="E4653">
        <v>3.7789999999999999</v>
      </c>
      <c r="F4653">
        <v>129.13383870000001</v>
      </c>
      <c r="G4653">
        <v>8.4420000000000002</v>
      </c>
      <c r="N4653" s="8"/>
    </row>
    <row r="4654" spans="1:14" x14ac:dyDescent="0.25">
      <c r="A4654" s="8">
        <v>40746</v>
      </c>
      <c r="B4654">
        <v>238915.05</v>
      </c>
      <c r="C4654">
        <v>0</v>
      </c>
      <c r="D4654">
        <v>97.17</v>
      </c>
      <c r="E4654">
        <v>3.6970000000000001</v>
      </c>
      <c r="F4654">
        <v>129.1507742</v>
      </c>
      <c r="G4654">
        <v>8.4420000000000002</v>
      </c>
      <c r="N4654" s="8"/>
    </row>
    <row r="4655" spans="1:14" x14ac:dyDescent="0.25">
      <c r="A4655" s="8">
        <v>40753</v>
      </c>
      <c r="B4655">
        <v>224806.96</v>
      </c>
      <c r="C4655">
        <v>0</v>
      </c>
      <c r="D4655">
        <v>95.28</v>
      </c>
      <c r="E4655">
        <v>3.694</v>
      </c>
      <c r="F4655">
        <v>129.16770969999999</v>
      </c>
      <c r="G4655">
        <v>8.4420000000000002</v>
      </c>
      <c r="N4655" s="8"/>
    </row>
    <row r="4656" spans="1:14" x14ac:dyDescent="0.25">
      <c r="A4656" s="8">
        <v>40760</v>
      </c>
      <c r="B4656">
        <v>242456.39</v>
      </c>
      <c r="C4656">
        <v>0</v>
      </c>
      <c r="D4656">
        <v>96.93</v>
      </c>
      <c r="E4656">
        <v>3.8029999999999999</v>
      </c>
      <c r="F4656">
        <v>129.18464520000001</v>
      </c>
      <c r="G4656">
        <v>8.4420000000000002</v>
      </c>
      <c r="N4656" s="8"/>
    </row>
    <row r="4657" spans="1:14" x14ac:dyDescent="0.25">
      <c r="A4657" s="8">
        <v>40767</v>
      </c>
      <c r="B4657">
        <v>274721.84999999998</v>
      </c>
      <c r="C4657">
        <v>0</v>
      </c>
      <c r="D4657">
        <v>96</v>
      </c>
      <c r="E4657">
        <v>3.794</v>
      </c>
      <c r="F4657">
        <v>129.2015806</v>
      </c>
      <c r="G4657">
        <v>8.4420000000000002</v>
      </c>
      <c r="N4657" s="8"/>
    </row>
    <row r="4658" spans="1:14" x14ac:dyDescent="0.25">
      <c r="A4658" s="8">
        <v>40774</v>
      </c>
      <c r="B4658">
        <v>242771.37</v>
      </c>
      <c r="C4658">
        <v>0</v>
      </c>
      <c r="D4658">
        <v>95.89</v>
      </c>
      <c r="E4658">
        <v>3.7429999999999999</v>
      </c>
      <c r="F4658">
        <v>129.24058059999999</v>
      </c>
      <c r="G4658">
        <v>8.4420000000000002</v>
      </c>
      <c r="N4658" s="8"/>
    </row>
    <row r="4659" spans="1:14" x14ac:dyDescent="0.25">
      <c r="A4659" s="8">
        <v>40781</v>
      </c>
      <c r="B4659">
        <v>237095.82</v>
      </c>
      <c r="C4659">
        <v>0</v>
      </c>
      <c r="D4659">
        <v>99.66</v>
      </c>
      <c r="E4659">
        <v>3.6629999999999998</v>
      </c>
      <c r="F4659">
        <v>129.28325810000001</v>
      </c>
      <c r="G4659">
        <v>8.4420000000000002</v>
      </c>
      <c r="N4659" s="8"/>
    </row>
    <row r="4660" spans="1:14" x14ac:dyDescent="0.25">
      <c r="A4660" s="8">
        <v>40788</v>
      </c>
      <c r="B4660">
        <v>239198.36</v>
      </c>
      <c r="C4660">
        <v>0</v>
      </c>
      <c r="D4660">
        <v>99.2</v>
      </c>
      <c r="E4660">
        <v>3.798</v>
      </c>
      <c r="F4660">
        <v>129.32593550000001</v>
      </c>
      <c r="G4660">
        <v>8.4420000000000002</v>
      </c>
      <c r="N4660" s="8"/>
    </row>
    <row r="4661" spans="1:14" x14ac:dyDescent="0.25">
      <c r="A4661" s="8">
        <v>40795</v>
      </c>
      <c r="B4661">
        <v>281842.28000000003</v>
      </c>
      <c r="C4661">
        <v>1</v>
      </c>
      <c r="D4661">
        <v>96.22</v>
      </c>
      <c r="E4661">
        <v>3.7709999999999999</v>
      </c>
      <c r="F4661">
        <v>129.36861289999999</v>
      </c>
      <c r="G4661">
        <v>8.4420000000000002</v>
      </c>
      <c r="N4661" s="8"/>
    </row>
    <row r="4662" spans="1:14" x14ac:dyDescent="0.25">
      <c r="A4662" s="8">
        <v>40802</v>
      </c>
      <c r="B4662">
        <v>262407.57</v>
      </c>
      <c r="C4662">
        <v>0</v>
      </c>
      <c r="D4662">
        <v>85.79</v>
      </c>
      <c r="E4662">
        <v>3.7839999999999998</v>
      </c>
      <c r="F4662">
        <v>129.4306</v>
      </c>
      <c r="G4662">
        <v>8.4420000000000002</v>
      </c>
      <c r="N4662" s="8"/>
    </row>
    <row r="4663" spans="1:14" x14ac:dyDescent="0.25">
      <c r="A4663" s="8">
        <v>40809</v>
      </c>
      <c r="B4663">
        <v>234793.12</v>
      </c>
      <c r="C4663">
        <v>0</v>
      </c>
      <c r="D4663">
        <v>88.93</v>
      </c>
      <c r="E4663">
        <v>3.7890000000000001</v>
      </c>
      <c r="F4663">
        <v>129.51833329999999</v>
      </c>
      <c r="G4663">
        <v>8.4420000000000002</v>
      </c>
      <c r="N4663" s="8"/>
    </row>
    <row r="4664" spans="1:14" x14ac:dyDescent="0.25">
      <c r="A4664" s="8">
        <v>40816</v>
      </c>
      <c r="B4664">
        <v>229731.98</v>
      </c>
      <c r="C4664">
        <v>0</v>
      </c>
      <c r="D4664">
        <v>89.1</v>
      </c>
      <c r="E4664">
        <v>3.8769999999999998</v>
      </c>
      <c r="F4664">
        <v>129.60606670000001</v>
      </c>
      <c r="G4664">
        <v>8.4420000000000002</v>
      </c>
      <c r="N4664" s="8"/>
    </row>
    <row r="4665" spans="1:14" x14ac:dyDescent="0.25">
      <c r="A4665" s="8">
        <v>40823</v>
      </c>
      <c r="B4665">
        <v>262159.13</v>
      </c>
      <c r="C4665">
        <v>0</v>
      </c>
      <c r="D4665">
        <v>81.16</v>
      </c>
      <c r="E4665">
        <v>3.827</v>
      </c>
      <c r="F4665">
        <v>129.69380000000001</v>
      </c>
      <c r="G4665">
        <v>8.01</v>
      </c>
      <c r="N4665" s="8"/>
    </row>
    <row r="4666" spans="1:14" x14ac:dyDescent="0.25">
      <c r="A4666" s="8">
        <v>40830</v>
      </c>
      <c r="B4666">
        <v>272487.33</v>
      </c>
      <c r="C4666">
        <v>0</v>
      </c>
      <c r="D4666">
        <v>76.489999999999995</v>
      </c>
      <c r="E4666">
        <v>3.698</v>
      </c>
      <c r="F4666">
        <v>129.77064519999999</v>
      </c>
      <c r="G4666">
        <v>8.01</v>
      </c>
      <c r="N4666" s="8"/>
    </row>
    <row r="4667" spans="1:14" x14ac:dyDescent="0.25">
      <c r="A4667" s="8">
        <v>40837</v>
      </c>
      <c r="B4667">
        <v>233543.08</v>
      </c>
      <c r="C4667">
        <v>0</v>
      </c>
      <c r="D4667">
        <v>81.739999999999995</v>
      </c>
      <c r="E4667">
        <v>3.8420000000000001</v>
      </c>
      <c r="F4667">
        <v>129.78216130000001</v>
      </c>
      <c r="G4667">
        <v>8.01</v>
      </c>
      <c r="N4667" s="8"/>
    </row>
    <row r="4668" spans="1:14" x14ac:dyDescent="0.25">
      <c r="A4668" s="8">
        <v>40844</v>
      </c>
      <c r="B4668">
        <v>231319.96</v>
      </c>
      <c r="C4668">
        <v>0</v>
      </c>
      <c r="D4668">
        <v>76.73</v>
      </c>
      <c r="E4668">
        <v>3.843</v>
      </c>
      <c r="F4668">
        <v>129.79367740000001</v>
      </c>
      <c r="G4668">
        <v>8.01</v>
      </c>
      <c r="N4668" s="8"/>
    </row>
    <row r="4669" spans="1:14" x14ac:dyDescent="0.25">
      <c r="A4669" s="8">
        <v>40851</v>
      </c>
      <c r="B4669">
        <v>236157.12</v>
      </c>
      <c r="C4669">
        <v>0</v>
      </c>
      <c r="D4669">
        <v>71.91</v>
      </c>
      <c r="E4669">
        <v>3.8279999999999998</v>
      </c>
      <c r="F4669">
        <v>129.8051935</v>
      </c>
      <c r="G4669">
        <v>8.01</v>
      </c>
      <c r="N4669" s="8"/>
    </row>
    <row r="4670" spans="1:14" x14ac:dyDescent="0.25">
      <c r="A4670" s="8">
        <v>40858</v>
      </c>
      <c r="B4670">
        <v>271961.03999999998</v>
      </c>
      <c r="C4670">
        <v>0</v>
      </c>
      <c r="D4670">
        <v>58.75</v>
      </c>
      <c r="E4670">
        <v>3.677</v>
      </c>
      <c r="F4670">
        <v>129.81670969999999</v>
      </c>
      <c r="G4670">
        <v>8.01</v>
      </c>
      <c r="N4670" s="8"/>
    </row>
    <row r="4671" spans="1:14" x14ac:dyDescent="0.25">
      <c r="A4671" s="8">
        <v>40865</v>
      </c>
      <c r="B4671">
        <v>251294.5</v>
      </c>
      <c r="C4671">
        <v>0</v>
      </c>
      <c r="D4671">
        <v>63.35</v>
      </c>
      <c r="E4671">
        <v>3.669</v>
      </c>
      <c r="F4671">
        <v>129.8268333</v>
      </c>
      <c r="G4671">
        <v>8.01</v>
      </c>
      <c r="N4671" s="8"/>
    </row>
    <row r="4672" spans="1:14" x14ac:dyDescent="0.25">
      <c r="A4672" s="8">
        <v>40872</v>
      </c>
      <c r="B4672">
        <v>255996.47</v>
      </c>
      <c r="C4672">
        <v>1</v>
      </c>
      <c r="D4672">
        <v>62.35</v>
      </c>
      <c r="E4672">
        <v>3.76</v>
      </c>
      <c r="F4672">
        <v>129.8364</v>
      </c>
      <c r="G4672">
        <v>8.01</v>
      </c>
      <c r="N4672" s="8"/>
    </row>
    <row r="4673" spans="1:14" x14ac:dyDescent="0.25">
      <c r="A4673" s="8">
        <v>40879</v>
      </c>
      <c r="B4673">
        <v>220060.35</v>
      </c>
      <c r="C4673">
        <v>0</v>
      </c>
      <c r="D4673">
        <v>59.12</v>
      </c>
      <c r="E4673">
        <v>3.7010000000000001</v>
      </c>
      <c r="F4673">
        <v>129.84596669999999</v>
      </c>
      <c r="G4673">
        <v>8.01</v>
      </c>
      <c r="N4673" s="8"/>
    </row>
    <row r="4674" spans="1:14" x14ac:dyDescent="0.25">
      <c r="A4674" s="8">
        <v>40886</v>
      </c>
      <c r="B4674">
        <v>270373.05</v>
      </c>
      <c r="C4674">
        <v>0</v>
      </c>
      <c r="D4674">
        <v>47.7</v>
      </c>
      <c r="E4674">
        <v>3.6440000000000001</v>
      </c>
      <c r="F4674">
        <v>129.85553329999999</v>
      </c>
      <c r="G4674">
        <v>8.01</v>
      </c>
      <c r="N4674" s="8"/>
    </row>
    <row r="4675" spans="1:14" x14ac:dyDescent="0.25">
      <c r="A4675" s="8">
        <v>40893</v>
      </c>
      <c r="B4675">
        <v>259638.35</v>
      </c>
      <c r="C4675">
        <v>0</v>
      </c>
      <c r="D4675">
        <v>53.18</v>
      </c>
      <c r="E4675">
        <v>3.4889999999999999</v>
      </c>
      <c r="F4675">
        <v>129.8980645</v>
      </c>
      <c r="G4675">
        <v>8.01</v>
      </c>
      <c r="N4675" s="8"/>
    </row>
    <row r="4676" spans="1:14" x14ac:dyDescent="0.25">
      <c r="A4676" s="8">
        <v>40900</v>
      </c>
      <c r="B4676">
        <v>256235.19</v>
      </c>
      <c r="C4676">
        <v>0</v>
      </c>
      <c r="D4676">
        <v>53.39</v>
      </c>
      <c r="E4676">
        <v>3.5409999999999999</v>
      </c>
      <c r="F4676">
        <v>129.98454839999999</v>
      </c>
      <c r="G4676">
        <v>8.01</v>
      </c>
      <c r="N4676" s="8"/>
    </row>
    <row r="4677" spans="1:14" x14ac:dyDescent="0.25">
      <c r="A4677" s="8">
        <v>40907</v>
      </c>
      <c r="B4677">
        <v>215359.21</v>
      </c>
      <c r="C4677">
        <v>1</v>
      </c>
      <c r="D4677">
        <v>51.6</v>
      </c>
      <c r="E4677">
        <v>3.4279999999999999</v>
      </c>
      <c r="F4677">
        <v>130.07103230000001</v>
      </c>
      <c r="G4677">
        <v>8.01</v>
      </c>
      <c r="N4677" s="8"/>
    </row>
    <row r="4678" spans="1:14" x14ac:dyDescent="0.25">
      <c r="A4678" s="8">
        <v>40914</v>
      </c>
      <c r="B4678">
        <v>267058.08</v>
      </c>
      <c r="C4678">
        <v>0</v>
      </c>
      <c r="D4678">
        <v>60.92</v>
      </c>
      <c r="E4678">
        <v>3.4430000000000001</v>
      </c>
      <c r="F4678">
        <v>130.15751610000001</v>
      </c>
      <c r="G4678">
        <v>7.6029999999999998</v>
      </c>
      <c r="N4678" s="8"/>
    </row>
    <row r="4679" spans="1:14" x14ac:dyDescent="0.25">
      <c r="A4679" s="8">
        <v>40921</v>
      </c>
      <c r="B4679">
        <v>279447.21999999997</v>
      </c>
      <c r="C4679">
        <v>0</v>
      </c>
      <c r="D4679">
        <v>54.61</v>
      </c>
      <c r="E4679">
        <v>3.4769999999999999</v>
      </c>
      <c r="F4679">
        <v>130.244</v>
      </c>
      <c r="G4679">
        <v>7.6029999999999998</v>
      </c>
      <c r="N4679" s="8"/>
    </row>
    <row r="4680" spans="1:14" x14ac:dyDescent="0.25">
      <c r="A4680" s="8">
        <v>40928</v>
      </c>
      <c r="B4680">
        <v>244899.20000000001</v>
      </c>
      <c r="C4680">
        <v>0</v>
      </c>
      <c r="D4680">
        <v>55.99</v>
      </c>
      <c r="E4680">
        <v>3.66</v>
      </c>
      <c r="F4680">
        <v>130.27922580000001</v>
      </c>
      <c r="G4680">
        <v>7.6029999999999998</v>
      </c>
      <c r="N4680" s="8"/>
    </row>
    <row r="4681" spans="1:14" x14ac:dyDescent="0.25">
      <c r="A4681" s="8">
        <v>40935</v>
      </c>
      <c r="B4681">
        <v>236920.49</v>
      </c>
      <c r="C4681">
        <v>0</v>
      </c>
      <c r="D4681">
        <v>56.33</v>
      </c>
      <c r="E4681">
        <v>3.6749999999999998</v>
      </c>
      <c r="F4681">
        <v>130.31445160000001</v>
      </c>
      <c r="G4681">
        <v>7.6029999999999998</v>
      </c>
      <c r="N4681" s="8"/>
    </row>
    <row r="4682" spans="1:14" x14ac:dyDescent="0.25">
      <c r="A4682" s="8">
        <v>40942</v>
      </c>
      <c r="B4682">
        <v>256091.32</v>
      </c>
      <c r="C4682">
        <v>0</v>
      </c>
      <c r="D4682">
        <v>59.53</v>
      </c>
      <c r="E4682">
        <v>3.5430000000000001</v>
      </c>
      <c r="F4682">
        <v>130.34967739999999</v>
      </c>
      <c r="G4682">
        <v>7.6029999999999998</v>
      </c>
      <c r="N4682" s="8"/>
    </row>
    <row r="4683" spans="1:14" x14ac:dyDescent="0.25">
      <c r="A4683" s="8">
        <v>40949</v>
      </c>
      <c r="B4683">
        <v>282552.58</v>
      </c>
      <c r="C4683">
        <v>1</v>
      </c>
      <c r="D4683">
        <v>59.94</v>
      </c>
      <c r="E4683">
        <v>3.722</v>
      </c>
      <c r="F4683">
        <v>130.3849032</v>
      </c>
      <c r="G4683">
        <v>7.6029999999999998</v>
      </c>
      <c r="N4683" s="8"/>
    </row>
    <row r="4684" spans="1:14" x14ac:dyDescent="0.25">
      <c r="A4684" s="8">
        <v>40956</v>
      </c>
      <c r="B4684">
        <v>266300.98</v>
      </c>
      <c r="C4684">
        <v>0</v>
      </c>
      <c r="D4684">
        <v>57.8</v>
      </c>
      <c r="E4684">
        <v>3.7810000000000001</v>
      </c>
      <c r="F4684">
        <v>130.45462069999999</v>
      </c>
      <c r="G4684">
        <v>7.6029999999999998</v>
      </c>
      <c r="N4684" s="8"/>
    </row>
    <row r="4685" spans="1:14" x14ac:dyDescent="0.25">
      <c r="A4685" s="8">
        <v>40963</v>
      </c>
      <c r="B4685">
        <v>242526.7</v>
      </c>
      <c r="C4685">
        <v>0</v>
      </c>
      <c r="D4685">
        <v>59.41</v>
      </c>
      <c r="E4685">
        <v>3.95</v>
      </c>
      <c r="F4685">
        <v>130.55020690000001</v>
      </c>
      <c r="G4685">
        <v>7.6029999999999998</v>
      </c>
      <c r="N4685" s="8"/>
    </row>
    <row r="4686" spans="1:14" x14ac:dyDescent="0.25">
      <c r="A4686" s="8">
        <v>40970</v>
      </c>
      <c r="B4686">
        <v>248051.53</v>
      </c>
      <c r="C4686">
        <v>0</v>
      </c>
      <c r="D4686">
        <v>60.91</v>
      </c>
      <c r="E4686">
        <v>3.8820000000000001</v>
      </c>
      <c r="F4686">
        <v>130.64579309999999</v>
      </c>
      <c r="G4686">
        <v>7.6029999999999998</v>
      </c>
      <c r="N4686" s="8"/>
    </row>
    <row r="4687" spans="1:14" x14ac:dyDescent="0.25">
      <c r="A4687" s="8">
        <v>40977</v>
      </c>
      <c r="B4687">
        <v>287346.28999999998</v>
      </c>
      <c r="C4687">
        <v>0</v>
      </c>
      <c r="D4687">
        <v>62.2</v>
      </c>
      <c r="E4687">
        <v>3.9630000000000001</v>
      </c>
      <c r="F4687">
        <v>130.74137930000001</v>
      </c>
      <c r="G4687">
        <v>7.6029999999999998</v>
      </c>
      <c r="N4687" s="8"/>
    </row>
    <row r="4688" spans="1:14" x14ac:dyDescent="0.25">
      <c r="A4688" s="8">
        <v>40984</v>
      </c>
      <c r="B4688">
        <v>278067.73</v>
      </c>
      <c r="C4688">
        <v>0</v>
      </c>
      <c r="D4688">
        <v>65.989999999999995</v>
      </c>
      <c r="E4688">
        <v>4.2729999999999997</v>
      </c>
      <c r="F4688">
        <v>130.82619349999999</v>
      </c>
      <c r="G4688">
        <v>7.6029999999999998</v>
      </c>
      <c r="N4688" s="8"/>
    </row>
    <row r="4689" spans="1:14" x14ac:dyDescent="0.25">
      <c r="A4689" s="8">
        <v>40991</v>
      </c>
      <c r="B4689">
        <v>246970.97</v>
      </c>
      <c r="C4689">
        <v>0</v>
      </c>
      <c r="D4689">
        <v>60.82</v>
      </c>
      <c r="E4689">
        <v>4.2880000000000003</v>
      </c>
      <c r="F4689">
        <v>130.89664519999999</v>
      </c>
      <c r="G4689">
        <v>7.6029999999999998</v>
      </c>
      <c r="N4689" s="8"/>
    </row>
    <row r="4690" spans="1:14" x14ac:dyDescent="0.25">
      <c r="A4690" s="8">
        <v>40998</v>
      </c>
      <c r="B4690">
        <v>251327.67</v>
      </c>
      <c r="C4690">
        <v>0</v>
      </c>
      <c r="D4690">
        <v>71.34</v>
      </c>
      <c r="E4690">
        <v>4.2939999999999996</v>
      </c>
      <c r="F4690">
        <v>130.96709680000001</v>
      </c>
      <c r="G4690">
        <v>7.6029999999999998</v>
      </c>
      <c r="N4690" s="8"/>
    </row>
    <row r="4691" spans="1:14" x14ac:dyDescent="0.25">
      <c r="A4691" s="8">
        <v>41005</v>
      </c>
      <c r="B4691">
        <v>275911.96999999997</v>
      </c>
      <c r="C4691">
        <v>0</v>
      </c>
      <c r="D4691">
        <v>70.75</v>
      </c>
      <c r="E4691">
        <v>4.282</v>
      </c>
      <c r="F4691">
        <v>131.03754839999999</v>
      </c>
      <c r="G4691">
        <v>7.3959999999999999</v>
      </c>
      <c r="N4691" s="8"/>
    </row>
    <row r="4692" spans="1:14" x14ac:dyDescent="0.25">
      <c r="A4692" s="8">
        <v>41012</v>
      </c>
      <c r="B4692">
        <v>312698.67</v>
      </c>
      <c r="C4692">
        <v>0</v>
      </c>
      <c r="D4692">
        <v>73.17</v>
      </c>
      <c r="E4692">
        <v>4.2539999999999996</v>
      </c>
      <c r="F4692">
        <v>131.108</v>
      </c>
      <c r="G4692">
        <v>7.3959999999999999</v>
      </c>
      <c r="N4692" s="8"/>
    </row>
    <row r="4693" spans="1:14" x14ac:dyDescent="0.25">
      <c r="A4693" s="8">
        <v>41019</v>
      </c>
      <c r="B4693">
        <v>261837.2</v>
      </c>
      <c r="C4693">
        <v>0</v>
      </c>
      <c r="D4693">
        <v>72.94</v>
      </c>
      <c r="E4693">
        <v>4.1109999999999998</v>
      </c>
      <c r="F4693">
        <v>131.11733330000001</v>
      </c>
      <c r="G4693">
        <v>7.3959999999999999</v>
      </c>
      <c r="N4693" s="8"/>
    </row>
    <row r="4694" spans="1:14" x14ac:dyDescent="0.25">
      <c r="A4694" s="8">
        <v>41026</v>
      </c>
      <c r="B4694">
        <v>249798.75</v>
      </c>
      <c r="C4694">
        <v>0</v>
      </c>
      <c r="D4694">
        <v>83.07</v>
      </c>
      <c r="E4694">
        <v>4.0880000000000001</v>
      </c>
      <c r="F4694">
        <v>131.12666669999999</v>
      </c>
      <c r="G4694">
        <v>7.3959999999999999</v>
      </c>
      <c r="N4694" s="8"/>
    </row>
    <row r="4695" spans="1:14" x14ac:dyDescent="0.25">
      <c r="A4695" s="8">
        <v>41033</v>
      </c>
      <c r="B4695">
        <v>270497.51</v>
      </c>
      <c r="C4695">
        <v>0</v>
      </c>
      <c r="D4695">
        <v>82.43</v>
      </c>
      <c r="E4695">
        <v>4.0579999999999998</v>
      </c>
      <c r="F4695">
        <v>131.136</v>
      </c>
      <c r="G4695">
        <v>7.3959999999999999</v>
      </c>
      <c r="N4695" s="8"/>
    </row>
    <row r="4696" spans="1:14" x14ac:dyDescent="0.25">
      <c r="A4696" s="8">
        <v>41040</v>
      </c>
      <c r="B4696">
        <v>295841.84000000003</v>
      </c>
      <c r="C4696">
        <v>0</v>
      </c>
      <c r="D4696">
        <v>81.02</v>
      </c>
      <c r="E4696">
        <v>4.1859999999999999</v>
      </c>
      <c r="F4696">
        <v>131.1453333</v>
      </c>
      <c r="G4696">
        <v>7.3959999999999999</v>
      </c>
      <c r="N4696" s="8"/>
    </row>
    <row r="4697" spans="1:14" x14ac:dyDescent="0.25">
      <c r="A4697" s="8">
        <v>41047</v>
      </c>
      <c r="B4697">
        <v>276899.95</v>
      </c>
      <c r="C4697">
        <v>0</v>
      </c>
      <c r="D4697">
        <v>89.81</v>
      </c>
      <c r="E4697">
        <v>4.3079999999999998</v>
      </c>
      <c r="F4697">
        <v>131.09832259999999</v>
      </c>
      <c r="G4697">
        <v>7.3959999999999999</v>
      </c>
      <c r="N4697" s="8"/>
    </row>
    <row r="4698" spans="1:14" x14ac:dyDescent="0.25">
      <c r="A4698" s="8">
        <v>41054</v>
      </c>
      <c r="B4698">
        <v>261851.74</v>
      </c>
      <c r="C4698">
        <v>0</v>
      </c>
      <c r="D4698">
        <v>88.89</v>
      </c>
      <c r="E4698">
        <v>4.1269999999999998</v>
      </c>
      <c r="F4698">
        <v>131.02877419999999</v>
      </c>
      <c r="G4698">
        <v>7.3959999999999999</v>
      </c>
      <c r="N4698" s="8"/>
    </row>
    <row r="4699" spans="1:14" x14ac:dyDescent="0.25">
      <c r="A4699" s="8">
        <v>41061</v>
      </c>
      <c r="B4699">
        <v>261131.09</v>
      </c>
      <c r="C4699">
        <v>0</v>
      </c>
      <c r="D4699">
        <v>83.57</v>
      </c>
      <c r="E4699">
        <v>4.2770000000000001</v>
      </c>
      <c r="F4699">
        <v>130.95922580000001</v>
      </c>
      <c r="G4699">
        <v>7.3959999999999999</v>
      </c>
      <c r="N4699" s="8"/>
    </row>
    <row r="4700" spans="1:14" x14ac:dyDescent="0.25">
      <c r="A4700" s="8">
        <v>41068</v>
      </c>
      <c r="B4700">
        <v>286082.76</v>
      </c>
      <c r="C4700">
        <v>0</v>
      </c>
      <c r="D4700">
        <v>90.94</v>
      </c>
      <c r="E4700">
        <v>4.1029999999999998</v>
      </c>
      <c r="F4700">
        <v>130.88967740000001</v>
      </c>
      <c r="G4700">
        <v>7.3959999999999999</v>
      </c>
      <c r="N4700" s="8"/>
    </row>
    <row r="4701" spans="1:14" x14ac:dyDescent="0.25">
      <c r="A4701" s="8">
        <v>41075</v>
      </c>
      <c r="B4701">
        <v>290444.31</v>
      </c>
      <c r="C4701">
        <v>0</v>
      </c>
      <c r="D4701">
        <v>92.44</v>
      </c>
      <c r="E4701">
        <v>4.1440000000000001</v>
      </c>
      <c r="F4701">
        <v>130.82953330000001</v>
      </c>
      <c r="G4701">
        <v>7.3959999999999999</v>
      </c>
      <c r="N4701" s="8"/>
    </row>
    <row r="4702" spans="1:14" x14ac:dyDescent="0.25">
      <c r="A4702" s="8">
        <v>41082</v>
      </c>
      <c r="B4702">
        <v>261666.29</v>
      </c>
      <c r="C4702">
        <v>0</v>
      </c>
      <c r="D4702">
        <v>95.75</v>
      </c>
      <c r="E4702">
        <v>4.0140000000000002</v>
      </c>
      <c r="F4702">
        <v>130.7929</v>
      </c>
      <c r="G4702">
        <v>7.3959999999999999</v>
      </c>
      <c r="N4702" s="8"/>
    </row>
    <row r="4703" spans="1:14" x14ac:dyDescent="0.25">
      <c r="A4703" s="8">
        <v>41089</v>
      </c>
      <c r="B4703">
        <v>244338.31</v>
      </c>
      <c r="C4703">
        <v>0</v>
      </c>
      <c r="D4703">
        <v>98.15</v>
      </c>
      <c r="E4703">
        <v>3.875</v>
      </c>
      <c r="F4703">
        <v>130.7562667</v>
      </c>
      <c r="G4703">
        <v>7.3959999999999999</v>
      </c>
      <c r="N4703" s="8"/>
    </row>
    <row r="4704" spans="1:14" x14ac:dyDescent="0.25">
      <c r="A4704" s="8">
        <v>41096</v>
      </c>
      <c r="B4704">
        <v>273690.37</v>
      </c>
      <c r="C4704">
        <v>0</v>
      </c>
      <c r="D4704">
        <v>93.21</v>
      </c>
      <c r="E4704">
        <v>3.6659999999999999</v>
      </c>
      <c r="F4704">
        <v>130.7196333</v>
      </c>
      <c r="G4704">
        <v>7.1470000000000002</v>
      </c>
      <c r="N4704" s="8"/>
    </row>
    <row r="4705" spans="1:14" x14ac:dyDescent="0.25">
      <c r="A4705" s="8">
        <v>41103</v>
      </c>
      <c r="B4705">
        <v>287033.64</v>
      </c>
      <c r="C4705">
        <v>0</v>
      </c>
      <c r="D4705">
        <v>97.6</v>
      </c>
      <c r="E4705">
        <v>3.7229999999999999</v>
      </c>
      <c r="F4705">
        <v>130.68299999999999</v>
      </c>
      <c r="G4705">
        <v>7.1470000000000002</v>
      </c>
      <c r="N4705" s="8"/>
    </row>
    <row r="4706" spans="1:14" x14ac:dyDescent="0.25">
      <c r="A4706" s="8">
        <v>41110</v>
      </c>
      <c r="B4706">
        <v>253205.89</v>
      </c>
      <c r="C4706">
        <v>0</v>
      </c>
      <c r="D4706">
        <v>91.49</v>
      </c>
      <c r="E4706">
        <v>3.589</v>
      </c>
      <c r="F4706">
        <v>130.70129030000001</v>
      </c>
      <c r="G4706">
        <v>7.1470000000000002</v>
      </c>
      <c r="N4706" s="8"/>
    </row>
    <row r="4707" spans="1:14" x14ac:dyDescent="0.25">
      <c r="A4707" s="8">
        <v>41117</v>
      </c>
      <c r="B4707">
        <v>249134.32</v>
      </c>
      <c r="C4707">
        <v>0</v>
      </c>
      <c r="D4707">
        <v>93.95</v>
      </c>
      <c r="E4707">
        <v>3.7690000000000001</v>
      </c>
      <c r="F4707">
        <v>130.7195806</v>
      </c>
      <c r="G4707">
        <v>7.1470000000000002</v>
      </c>
      <c r="N4707" s="8"/>
    </row>
    <row r="4708" spans="1:14" x14ac:dyDescent="0.25">
      <c r="A4708" s="8">
        <v>41124</v>
      </c>
      <c r="B4708">
        <v>258533.12</v>
      </c>
      <c r="C4708">
        <v>0</v>
      </c>
      <c r="D4708">
        <v>92.13</v>
      </c>
      <c r="E4708">
        <v>3.5950000000000002</v>
      </c>
      <c r="F4708">
        <v>130.73787100000001</v>
      </c>
      <c r="G4708">
        <v>7.1470000000000002</v>
      </c>
      <c r="N4708" s="8"/>
    </row>
    <row r="4709" spans="1:14" x14ac:dyDescent="0.25">
      <c r="A4709" s="8">
        <v>41131</v>
      </c>
      <c r="B4709">
        <v>297753.49</v>
      </c>
      <c r="C4709">
        <v>0</v>
      </c>
      <c r="D4709">
        <v>100.07</v>
      </c>
      <c r="E4709">
        <v>3.8109999999999999</v>
      </c>
      <c r="F4709">
        <v>130.7561613</v>
      </c>
      <c r="G4709">
        <v>7.1470000000000002</v>
      </c>
      <c r="N4709" s="8"/>
    </row>
    <row r="4710" spans="1:14" x14ac:dyDescent="0.25">
      <c r="A4710" s="8">
        <v>41138</v>
      </c>
      <c r="B4710">
        <v>270097.76</v>
      </c>
      <c r="C4710">
        <v>0</v>
      </c>
      <c r="D4710">
        <v>96.79</v>
      </c>
      <c r="E4710">
        <v>4.0019999999999998</v>
      </c>
      <c r="F4710">
        <v>130.79096770000001</v>
      </c>
      <c r="G4710">
        <v>7.1470000000000002</v>
      </c>
      <c r="N4710" s="8"/>
    </row>
    <row r="4711" spans="1:14" x14ac:dyDescent="0.25">
      <c r="A4711" s="8">
        <v>41145</v>
      </c>
      <c r="B4711">
        <v>247672.56</v>
      </c>
      <c r="C4711">
        <v>0</v>
      </c>
      <c r="D4711">
        <v>89.62</v>
      </c>
      <c r="E4711">
        <v>4.0549999999999997</v>
      </c>
      <c r="F4711">
        <v>130.8381613</v>
      </c>
      <c r="G4711">
        <v>7.1470000000000002</v>
      </c>
      <c r="N4711" s="8"/>
    </row>
    <row r="4712" spans="1:14" x14ac:dyDescent="0.25">
      <c r="A4712" s="8">
        <v>41152</v>
      </c>
      <c r="B4712">
        <v>237129.81</v>
      </c>
      <c r="C4712">
        <v>0</v>
      </c>
      <c r="D4712">
        <v>94.55</v>
      </c>
      <c r="E4712">
        <v>3.8860000000000001</v>
      </c>
      <c r="F4712">
        <v>130.88535479999999</v>
      </c>
      <c r="G4712">
        <v>7.1470000000000002</v>
      </c>
      <c r="N4712" s="8"/>
    </row>
    <row r="4713" spans="1:14" x14ac:dyDescent="0.25">
      <c r="A4713" s="8">
        <v>41159</v>
      </c>
      <c r="B4713">
        <v>286428.78000000003</v>
      </c>
      <c r="C4713">
        <v>1</v>
      </c>
      <c r="D4713">
        <v>92.02</v>
      </c>
      <c r="E4713">
        <v>4.1239999999999997</v>
      </c>
      <c r="F4713">
        <v>130.9325484</v>
      </c>
      <c r="G4713">
        <v>7.1470000000000002</v>
      </c>
      <c r="N4713" s="8"/>
    </row>
    <row r="4714" spans="1:14" x14ac:dyDescent="0.25">
      <c r="A4714" s="8">
        <v>41166</v>
      </c>
      <c r="B4714">
        <v>277417.53000000003</v>
      </c>
      <c r="C4714">
        <v>0</v>
      </c>
      <c r="D4714">
        <v>83.4</v>
      </c>
      <c r="E4714">
        <v>3.9660000000000002</v>
      </c>
      <c r="F4714">
        <v>130.97766669999999</v>
      </c>
      <c r="G4714">
        <v>7.1470000000000002</v>
      </c>
      <c r="N4714" s="8"/>
    </row>
    <row r="4715" spans="1:14" x14ac:dyDescent="0.25">
      <c r="A4715" s="8">
        <v>41173</v>
      </c>
      <c r="B4715">
        <v>252709.58</v>
      </c>
      <c r="C4715">
        <v>0</v>
      </c>
      <c r="D4715">
        <v>86.53</v>
      </c>
      <c r="E4715">
        <v>4.125</v>
      </c>
      <c r="F4715">
        <v>131.01033330000001</v>
      </c>
      <c r="G4715">
        <v>7.1470000000000002</v>
      </c>
      <c r="N4715" s="8"/>
    </row>
    <row r="4716" spans="1:14" x14ac:dyDescent="0.25">
      <c r="A4716" s="8">
        <v>41180</v>
      </c>
      <c r="B4716">
        <v>242813.51</v>
      </c>
      <c r="C4716">
        <v>0</v>
      </c>
      <c r="D4716">
        <v>86.42</v>
      </c>
      <c r="E4716">
        <v>3.9660000000000002</v>
      </c>
      <c r="F4716">
        <v>131.04300000000001</v>
      </c>
      <c r="G4716">
        <v>7.1470000000000002</v>
      </c>
      <c r="N4716" s="8"/>
    </row>
    <row r="4717" spans="1:14" x14ac:dyDescent="0.25">
      <c r="A4717" s="8">
        <v>41187</v>
      </c>
      <c r="B4717">
        <v>265444.90000000002</v>
      </c>
      <c r="C4717">
        <v>0</v>
      </c>
      <c r="D4717">
        <v>85.18</v>
      </c>
      <c r="E4717">
        <v>4.1319999999999997</v>
      </c>
      <c r="F4717">
        <v>131.0756667</v>
      </c>
      <c r="G4717">
        <v>6.8949999999999996</v>
      </c>
      <c r="N4717" s="8"/>
    </row>
    <row r="4718" spans="1:14" x14ac:dyDescent="0.25">
      <c r="A4718" s="8">
        <v>41194</v>
      </c>
      <c r="B4718">
        <v>291781.15000000002</v>
      </c>
      <c r="C4718">
        <v>0</v>
      </c>
      <c r="D4718">
        <v>79.64</v>
      </c>
      <c r="E4718">
        <v>4.468</v>
      </c>
      <c r="F4718">
        <v>131.1083333</v>
      </c>
      <c r="G4718">
        <v>6.8949999999999996</v>
      </c>
      <c r="N4718" s="8"/>
    </row>
    <row r="4719" spans="1:14" x14ac:dyDescent="0.25">
      <c r="A4719" s="8">
        <v>41201</v>
      </c>
      <c r="B4719">
        <v>254412.34</v>
      </c>
      <c r="C4719">
        <v>0</v>
      </c>
      <c r="D4719">
        <v>75.55</v>
      </c>
      <c r="E4719">
        <v>4.4489999999999998</v>
      </c>
      <c r="F4719">
        <v>131.14996769999999</v>
      </c>
      <c r="G4719">
        <v>6.8949999999999996</v>
      </c>
      <c r="N4719" s="8"/>
    </row>
    <row r="4720" spans="1:14" x14ac:dyDescent="0.25">
      <c r="A4720" s="8">
        <v>41208</v>
      </c>
      <c r="B4720">
        <v>253731.13</v>
      </c>
      <c r="C4720">
        <v>0</v>
      </c>
      <c r="D4720">
        <v>73.7</v>
      </c>
      <c r="E4720">
        <v>4.3010000000000002</v>
      </c>
      <c r="F4720">
        <v>131.19309680000001</v>
      </c>
      <c r="G4720">
        <v>6.8949999999999996</v>
      </c>
      <c r="N4720" s="8"/>
    </row>
    <row r="4721" spans="1:14" x14ac:dyDescent="0.25">
      <c r="A4721" s="8">
        <v>40214</v>
      </c>
      <c r="B4721">
        <v>956228.96</v>
      </c>
      <c r="C4721">
        <v>0</v>
      </c>
      <c r="D4721">
        <v>35.44</v>
      </c>
      <c r="E4721">
        <v>2.5979999999999999</v>
      </c>
      <c r="F4721">
        <v>126.4420645</v>
      </c>
      <c r="G4721">
        <v>9.5210000000000008</v>
      </c>
      <c r="N4721" s="8"/>
    </row>
    <row r="4722" spans="1:14" x14ac:dyDescent="0.25">
      <c r="A4722" s="8">
        <v>40221</v>
      </c>
      <c r="B4722">
        <v>994610.99</v>
      </c>
      <c r="C4722">
        <v>1</v>
      </c>
      <c r="D4722">
        <v>36.130000000000003</v>
      </c>
      <c r="E4722">
        <v>2.573</v>
      </c>
      <c r="F4722">
        <v>126.49625810000001</v>
      </c>
      <c r="G4722">
        <v>9.5210000000000008</v>
      </c>
      <c r="N4722" s="8"/>
    </row>
    <row r="4723" spans="1:14" x14ac:dyDescent="0.25">
      <c r="A4723" s="8">
        <v>40228</v>
      </c>
      <c r="B4723">
        <v>983963.07</v>
      </c>
      <c r="C4723">
        <v>0</v>
      </c>
      <c r="D4723">
        <v>38.36</v>
      </c>
      <c r="E4723">
        <v>2.54</v>
      </c>
      <c r="F4723">
        <v>126.5262857</v>
      </c>
      <c r="G4723">
        <v>9.5210000000000008</v>
      </c>
      <c r="N4723" s="8"/>
    </row>
    <row r="4724" spans="1:14" x14ac:dyDescent="0.25">
      <c r="A4724" s="8">
        <v>40235</v>
      </c>
      <c r="B4724">
        <v>905756.13</v>
      </c>
      <c r="C4724">
        <v>0</v>
      </c>
      <c r="D4724">
        <v>37.28</v>
      </c>
      <c r="E4724">
        <v>2.59</v>
      </c>
      <c r="F4724">
        <v>126.5522857</v>
      </c>
      <c r="G4724">
        <v>9.5210000000000008</v>
      </c>
      <c r="N4724" s="8"/>
    </row>
    <row r="4725" spans="1:14" x14ac:dyDescent="0.25">
      <c r="A4725" s="8">
        <v>40242</v>
      </c>
      <c r="B4725">
        <v>918295.79</v>
      </c>
      <c r="C4725">
        <v>0</v>
      </c>
      <c r="D4725">
        <v>42.65</v>
      </c>
      <c r="E4725">
        <v>2.6539999999999999</v>
      </c>
      <c r="F4725">
        <v>126.5782857</v>
      </c>
      <c r="G4725">
        <v>9.5210000000000008</v>
      </c>
      <c r="N4725" s="8"/>
    </row>
    <row r="4726" spans="1:14" x14ac:dyDescent="0.25">
      <c r="A4726" s="8">
        <v>40249</v>
      </c>
      <c r="B4726">
        <v>921247.88</v>
      </c>
      <c r="C4726">
        <v>0</v>
      </c>
      <c r="D4726">
        <v>42.26</v>
      </c>
      <c r="E4726">
        <v>2.7040000000000002</v>
      </c>
      <c r="F4726">
        <v>126.60428570000001</v>
      </c>
      <c r="G4726">
        <v>9.5210000000000008</v>
      </c>
      <c r="N4726" s="8"/>
    </row>
    <row r="4727" spans="1:14" x14ac:dyDescent="0.25">
      <c r="A4727" s="8">
        <v>40256</v>
      </c>
      <c r="B4727">
        <v>892070.82</v>
      </c>
      <c r="C4727">
        <v>0</v>
      </c>
      <c r="D4727">
        <v>45.86</v>
      </c>
      <c r="E4727">
        <v>2.7429999999999999</v>
      </c>
      <c r="F4727">
        <v>126.6066452</v>
      </c>
      <c r="G4727">
        <v>9.5210000000000008</v>
      </c>
      <c r="N4727" s="8"/>
    </row>
    <row r="4728" spans="1:14" x14ac:dyDescent="0.25">
      <c r="A4728" s="8">
        <v>40263</v>
      </c>
      <c r="B4728">
        <v>880742.35</v>
      </c>
      <c r="C4728">
        <v>0</v>
      </c>
      <c r="D4728">
        <v>42.91</v>
      </c>
      <c r="E4728">
        <v>2.7519999999999998</v>
      </c>
      <c r="F4728">
        <v>126.6050645</v>
      </c>
      <c r="G4728">
        <v>9.5210000000000008</v>
      </c>
      <c r="N4728" s="8"/>
    </row>
    <row r="4729" spans="1:14" x14ac:dyDescent="0.25">
      <c r="A4729" s="8">
        <v>40270</v>
      </c>
      <c r="B4729">
        <v>979428.66</v>
      </c>
      <c r="C4729">
        <v>0</v>
      </c>
      <c r="D4729">
        <v>50.07</v>
      </c>
      <c r="E4729">
        <v>2.74</v>
      </c>
      <c r="F4729">
        <v>126.6034839</v>
      </c>
      <c r="G4729">
        <v>9.593</v>
      </c>
      <c r="N4729" s="8"/>
    </row>
    <row r="4730" spans="1:14" x14ac:dyDescent="0.25">
      <c r="A4730" s="8">
        <v>40277</v>
      </c>
      <c r="B4730">
        <v>950684.2</v>
      </c>
      <c r="C4730">
        <v>0</v>
      </c>
      <c r="D4730">
        <v>51.26</v>
      </c>
      <c r="E4730">
        <v>2.7730000000000001</v>
      </c>
      <c r="F4730">
        <v>126.6019032</v>
      </c>
      <c r="G4730">
        <v>9.593</v>
      </c>
      <c r="N4730" s="8"/>
    </row>
    <row r="4731" spans="1:14" x14ac:dyDescent="0.25">
      <c r="A4731" s="8">
        <v>40284</v>
      </c>
      <c r="B4731">
        <v>923344.54</v>
      </c>
      <c r="C4731">
        <v>0</v>
      </c>
      <c r="D4731">
        <v>59.18</v>
      </c>
      <c r="E4731">
        <v>2.81</v>
      </c>
      <c r="F4731">
        <v>126.5621</v>
      </c>
      <c r="G4731">
        <v>9.593</v>
      </c>
      <c r="N4731" s="8"/>
    </row>
    <row r="4732" spans="1:14" x14ac:dyDescent="0.25">
      <c r="A4732" s="8">
        <v>40291</v>
      </c>
      <c r="B4732">
        <v>910240.68</v>
      </c>
      <c r="C4732">
        <v>0</v>
      </c>
      <c r="D4732">
        <v>55.04</v>
      </c>
      <c r="E4732">
        <v>2.8050000000000002</v>
      </c>
      <c r="F4732">
        <v>126.4713333</v>
      </c>
      <c r="G4732">
        <v>9.593</v>
      </c>
      <c r="N4732" s="8"/>
    </row>
    <row r="4733" spans="1:14" x14ac:dyDescent="0.25">
      <c r="A4733" s="8">
        <v>40298</v>
      </c>
      <c r="B4733">
        <v>859922.19</v>
      </c>
      <c r="C4733">
        <v>0</v>
      </c>
      <c r="D4733">
        <v>56.58</v>
      </c>
      <c r="E4733">
        <v>2.7869999999999999</v>
      </c>
      <c r="F4733">
        <v>126.3805667</v>
      </c>
      <c r="G4733">
        <v>9.593</v>
      </c>
      <c r="N4733" s="8"/>
    </row>
    <row r="4734" spans="1:14" x14ac:dyDescent="0.25">
      <c r="A4734" s="8">
        <v>40305</v>
      </c>
      <c r="B4734">
        <v>953495.48</v>
      </c>
      <c r="C4734">
        <v>0</v>
      </c>
      <c r="D4734">
        <v>57.39</v>
      </c>
      <c r="E4734">
        <v>2.8359999999999999</v>
      </c>
      <c r="F4734">
        <v>126.2898</v>
      </c>
      <c r="G4734">
        <v>9.593</v>
      </c>
      <c r="N4734" s="8"/>
    </row>
    <row r="4735" spans="1:14" x14ac:dyDescent="0.25">
      <c r="A4735" s="8">
        <v>40312</v>
      </c>
      <c r="B4735">
        <v>933924.44</v>
      </c>
      <c r="C4735">
        <v>0</v>
      </c>
      <c r="D4735">
        <v>60.74</v>
      </c>
      <c r="E4735">
        <v>2.8450000000000002</v>
      </c>
      <c r="F4735">
        <v>126.2085484</v>
      </c>
      <c r="G4735">
        <v>9.593</v>
      </c>
      <c r="N4735" s="8"/>
    </row>
    <row r="4736" spans="1:14" x14ac:dyDescent="0.25">
      <c r="A4736" s="8">
        <v>40319</v>
      </c>
      <c r="B4736">
        <v>913616.32</v>
      </c>
      <c r="C4736">
        <v>0</v>
      </c>
      <c r="D4736">
        <v>63.99</v>
      </c>
      <c r="E4736">
        <v>2.82</v>
      </c>
      <c r="F4736">
        <v>126.1843871</v>
      </c>
      <c r="G4736">
        <v>9.593</v>
      </c>
      <c r="N4736" s="8"/>
    </row>
    <row r="4737" spans="1:14" x14ac:dyDescent="0.25">
      <c r="A4737" s="8">
        <v>40326</v>
      </c>
      <c r="B4737">
        <v>942868.38</v>
      </c>
      <c r="C4737">
        <v>0</v>
      </c>
      <c r="D4737">
        <v>68.680000000000007</v>
      </c>
      <c r="E4737">
        <v>2.7559999999999998</v>
      </c>
      <c r="F4737">
        <v>126.16022580000001</v>
      </c>
      <c r="G4737">
        <v>9.593</v>
      </c>
      <c r="N4737" s="8"/>
    </row>
    <row r="4738" spans="1:14" x14ac:dyDescent="0.25">
      <c r="A4738" s="8">
        <v>40333</v>
      </c>
      <c r="B4738">
        <v>966187.51</v>
      </c>
      <c r="C4738">
        <v>0</v>
      </c>
      <c r="D4738">
        <v>72.17</v>
      </c>
      <c r="E4738">
        <v>2.7010000000000001</v>
      </c>
      <c r="F4738">
        <v>126.1360645</v>
      </c>
      <c r="G4738">
        <v>9.593</v>
      </c>
      <c r="N4738" s="8"/>
    </row>
    <row r="4739" spans="1:14" x14ac:dyDescent="0.25">
      <c r="A4739" s="8">
        <v>40340</v>
      </c>
      <c r="B4739">
        <v>954681.56</v>
      </c>
      <c r="C4739">
        <v>0</v>
      </c>
      <c r="D4739">
        <v>80.84</v>
      </c>
      <c r="E4739">
        <v>2.6680000000000001</v>
      </c>
      <c r="F4739">
        <v>126.1119032</v>
      </c>
      <c r="G4739">
        <v>9.593</v>
      </c>
      <c r="N4739" s="8"/>
    </row>
    <row r="4740" spans="1:14" x14ac:dyDescent="0.25">
      <c r="A4740" s="8">
        <v>40347</v>
      </c>
      <c r="B4740">
        <v>941612.04</v>
      </c>
      <c r="C4740">
        <v>0</v>
      </c>
      <c r="D4740">
        <v>73.48</v>
      </c>
      <c r="E4740">
        <v>2.6349999999999998</v>
      </c>
      <c r="F4740">
        <v>126.114</v>
      </c>
      <c r="G4740">
        <v>9.593</v>
      </c>
      <c r="N4740" s="8"/>
    </row>
    <row r="4741" spans="1:14" x14ac:dyDescent="0.25">
      <c r="A4741" s="8">
        <v>40354</v>
      </c>
      <c r="B4741">
        <v>895800.07</v>
      </c>
      <c r="C4741">
        <v>0</v>
      </c>
      <c r="D4741">
        <v>78.47</v>
      </c>
      <c r="E4741">
        <v>2.6539999999999999</v>
      </c>
      <c r="F4741">
        <v>126.1266</v>
      </c>
      <c r="G4741">
        <v>9.593</v>
      </c>
      <c r="N4741" s="8"/>
    </row>
    <row r="4742" spans="1:14" x14ac:dyDescent="0.25">
      <c r="A4742" s="8">
        <v>40361</v>
      </c>
      <c r="B4742">
        <v>919229.36</v>
      </c>
      <c r="C4742">
        <v>0</v>
      </c>
      <c r="D4742">
        <v>73.66</v>
      </c>
      <c r="E4742">
        <v>2.6680000000000001</v>
      </c>
      <c r="F4742">
        <v>126.1392</v>
      </c>
      <c r="G4742">
        <v>9.8160000000000007</v>
      </c>
      <c r="N4742" s="8"/>
    </row>
    <row r="4743" spans="1:14" x14ac:dyDescent="0.25">
      <c r="A4743" s="8">
        <v>40368</v>
      </c>
      <c r="B4743">
        <v>911210.81</v>
      </c>
      <c r="C4743">
        <v>0</v>
      </c>
      <c r="D4743">
        <v>75</v>
      </c>
      <c r="E4743">
        <v>2.637</v>
      </c>
      <c r="F4743">
        <v>126.15179999999999</v>
      </c>
      <c r="G4743">
        <v>9.8160000000000007</v>
      </c>
      <c r="N4743" s="8"/>
    </row>
    <row r="4744" spans="1:14" x14ac:dyDescent="0.25">
      <c r="A4744" s="8">
        <v>40375</v>
      </c>
      <c r="B4744">
        <v>930269.79</v>
      </c>
      <c r="C4744">
        <v>0</v>
      </c>
      <c r="D4744">
        <v>78.53</v>
      </c>
      <c r="E4744">
        <v>2.621</v>
      </c>
      <c r="F4744">
        <v>126.1498065</v>
      </c>
      <c r="G4744">
        <v>9.8160000000000007</v>
      </c>
      <c r="N4744" s="8"/>
    </row>
    <row r="4745" spans="1:14" x14ac:dyDescent="0.25">
      <c r="A4745" s="8">
        <v>40382</v>
      </c>
      <c r="B4745">
        <v>902050.95</v>
      </c>
      <c r="C4745">
        <v>0</v>
      </c>
      <c r="D4745">
        <v>79.58</v>
      </c>
      <c r="E4745">
        <v>2.6120000000000001</v>
      </c>
      <c r="F4745">
        <v>126.1283548</v>
      </c>
      <c r="G4745">
        <v>9.8160000000000007</v>
      </c>
      <c r="N4745" s="8"/>
    </row>
    <row r="4746" spans="1:14" x14ac:dyDescent="0.25">
      <c r="A4746" s="8">
        <v>40389</v>
      </c>
      <c r="B4746">
        <v>875976.83</v>
      </c>
      <c r="C4746">
        <v>0</v>
      </c>
      <c r="D4746">
        <v>72.260000000000005</v>
      </c>
      <c r="E4746">
        <v>2.65</v>
      </c>
      <c r="F4746">
        <v>126.1069032</v>
      </c>
      <c r="G4746">
        <v>9.8160000000000007</v>
      </c>
      <c r="N4746" s="8"/>
    </row>
    <row r="4747" spans="1:14" x14ac:dyDescent="0.25">
      <c r="A4747" s="8">
        <v>40396</v>
      </c>
      <c r="B4747">
        <v>987435.35</v>
      </c>
      <c r="C4747">
        <v>0</v>
      </c>
      <c r="D4747">
        <v>73.8</v>
      </c>
      <c r="E4747">
        <v>2.64</v>
      </c>
      <c r="F4747">
        <v>126.0854516</v>
      </c>
      <c r="G4747">
        <v>9.8160000000000007</v>
      </c>
      <c r="N4747" s="8"/>
    </row>
    <row r="4748" spans="1:14" x14ac:dyDescent="0.25">
      <c r="A4748" s="8">
        <v>40403</v>
      </c>
      <c r="B4748">
        <v>951208.65</v>
      </c>
      <c r="C4748">
        <v>0</v>
      </c>
      <c r="D4748">
        <v>76.72</v>
      </c>
      <c r="E4748">
        <v>2.698</v>
      </c>
      <c r="F4748">
        <v>126.06399999999999</v>
      </c>
      <c r="G4748">
        <v>9.8160000000000007</v>
      </c>
      <c r="N4748" s="8"/>
    </row>
    <row r="4749" spans="1:14" x14ac:dyDescent="0.25">
      <c r="A4749" s="8">
        <v>40410</v>
      </c>
      <c r="B4749">
        <v>985152.94</v>
      </c>
      <c r="C4749">
        <v>0</v>
      </c>
      <c r="D4749">
        <v>76.45</v>
      </c>
      <c r="E4749">
        <v>2.6709999999999998</v>
      </c>
      <c r="F4749">
        <v>126.0766452</v>
      </c>
      <c r="G4749">
        <v>9.8160000000000007</v>
      </c>
      <c r="N4749" s="8"/>
    </row>
    <row r="4750" spans="1:14" x14ac:dyDescent="0.25">
      <c r="A4750" s="8">
        <v>40417</v>
      </c>
      <c r="B4750">
        <v>855421.39</v>
      </c>
      <c r="C4750">
        <v>0</v>
      </c>
      <c r="D4750">
        <v>72.87</v>
      </c>
      <c r="E4750">
        <v>2.621</v>
      </c>
      <c r="F4750">
        <v>126.0892903</v>
      </c>
      <c r="G4750">
        <v>9.8160000000000007</v>
      </c>
      <c r="N4750" s="8"/>
    </row>
    <row r="4751" spans="1:14" x14ac:dyDescent="0.25">
      <c r="A4751" s="8">
        <v>40424</v>
      </c>
      <c r="B4751">
        <v>964356.74</v>
      </c>
      <c r="C4751">
        <v>0</v>
      </c>
      <c r="D4751">
        <v>72.59</v>
      </c>
      <c r="E4751">
        <v>2.5840000000000001</v>
      </c>
      <c r="F4751">
        <v>126.1019355</v>
      </c>
      <c r="G4751">
        <v>9.8160000000000007</v>
      </c>
      <c r="N4751" s="8"/>
    </row>
    <row r="4752" spans="1:14" x14ac:dyDescent="0.25">
      <c r="A4752" s="8">
        <v>40431</v>
      </c>
      <c r="B4752">
        <v>932240.96</v>
      </c>
      <c r="C4752">
        <v>1</v>
      </c>
      <c r="D4752">
        <v>72.61</v>
      </c>
      <c r="E4752">
        <v>2.5739999999999998</v>
      </c>
      <c r="F4752">
        <v>126.1145806</v>
      </c>
      <c r="G4752">
        <v>9.8160000000000007</v>
      </c>
      <c r="N4752" s="8"/>
    </row>
    <row r="4753" spans="1:14" x14ac:dyDescent="0.25">
      <c r="A4753" s="8">
        <v>40438</v>
      </c>
      <c r="B4753">
        <v>885445.47</v>
      </c>
      <c r="C4753">
        <v>0</v>
      </c>
      <c r="D4753">
        <v>70.709999999999994</v>
      </c>
      <c r="E4753">
        <v>2.5939999999999999</v>
      </c>
      <c r="F4753">
        <v>126.1454667</v>
      </c>
      <c r="G4753">
        <v>9.8160000000000007</v>
      </c>
      <c r="N4753" s="8"/>
    </row>
    <row r="4754" spans="1:14" x14ac:dyDescent="0.25">
      <c r="A4754" s="8">
        <v>40445</v>
      </c>
      <c r="B4754">
        <v>867539.07</v>
      </c>
      <c r="C4754">
        <v>0</v>
      </c>
      <c r="D4754">
        <v>69.78</v>
      </c>
      <c r="E4754">
        <v>2.6419999999999999</v>
      </c>
      <c r="F4754">
        <v>126.1900333</v>
      </c>
      <c r="G4754">
        <v>9.8160000000000007</v>
      </c>
      <c r="N4754" s="8"/>
    </row>
    <row r="4755" spans="1:14" x14ac:dyDescent="0.25">
      <c r="A4755" s="8">
        <v>40452</v>
      </c>
      <c r="B4755">
        <v>865709.11</v>
      </c>
      <c r="C4755">
        <v>0</v>
      </c>
      <c r="D4755">
        <v>70.13</v>
      </c>
      <c r="E4755">
        <v>2.6190000000000002</v>
      </c>
      <c r="F4755">
        <v>126.2346</v>
      </c>
      <c r="G4755">
        <v>10.210000000000001</v>
      </c>
      <c r="N4755" s="8"/>
    </row>
    <row r="4756" spans="1:14" x14ac:dyDescent="0.25">
      <c r="A4756" s="8">
        <v>40459</v>
      </c>
      <c r="B4756">
        <v>931710.67</v>
      </c>
      <c r="C4756">
        <v>0</v>
      </c>
      <c r="D4756">
        <v>65.209999999999994</v>
      </c>
      <c r="E4756">
        <v>2.645</v>
      </c>
      <c r="F4756">
        <v>126.2791667</v>
      </c>
      <c r="G4756">
        <v>10.210000000000001</v>
      </c>
      <c r="N4756" s="8"/>
    </row>
    <row r="4757" spans="1:14" x14ac:dyDescent="0.25">
      <c r="A4757" s="8">
        <v>40466</v>
      </c>
      <c r="B4757">
        <v>888703.62</v>
      </c>
      <c r="C4757">
        <v>0</v>
      </c>
      <c r="D4757">
        <v>59.57</v>
      </c>
      <c r="E4757">
        <v>2.7320000000000002</v>
      </c>
      <c r="F4757">
        <v>126.32667739999999</v>
      </c>
      <c r="G4757">
        <v>10.210000000000001</v>
      </c>
      <c r="N4757" s="8"/>
    </row>
    <row r="4758" spans="1:14" x14ac:dyDescent="0.25">
      <c r="A4758" s="8">
        <v>40473</v>
      </c>
      <c r="B4758">
        <v>936293.6</v>
      </c>
      <c r="C4758">
        <v>0</v>
      </c>
      <c r="D4758">
        <v>58.11</v>
      </c>
      <c r="E4758">
        <v>2.7360000000000002</v>
      </c>
      <c r="F4758">
        <v>126.3815484</v>
      </c>
      <c r="G4758">
        <v>10.210000000000001</v>
      </c>
      <c r="N4758" s="8"/>
    </row>
    <row r="4759" spans="1:14" x14ac:dyDescent="0.25">
      <c r="A4759" s="8">
        <v>40480</v>
      </c>
      <c r="B4759">
        <v>926294.02</v>
      </c>
      <c r="C4759">
        <v>0</v>
      </c>
      <c r="D4759">
        <v>50.78</v>
      </c>
      <c r="E4759">
        <v>2.718</v>
      </c>
      <c r="F4759">
        <v>126.43641940000001</v>
      </c>
      <c r="G4759">
        <v>10.210000000000001</v>
      </c>
      <c r="N4759" s="8"/>
    </row>
    <row r="4760" spans="1:14" x14ac:dyDescent="0.25">
      <c r="A4760" s="8">
        <v>40487</v>
      </c>
      <c r="B4760">
        <v>972292.31</v>
      </c>
      <c r="C4760">
        <v>0</v>
      </c>
      <c r="D4760">
        <v>52.43</v>
      </c>
      <c r="E4760">
        <v>2.6989999999999998</v>
      </c>
      <c r="F4760">
        <v>126.4912903</v>
      </c>
      <c r="G4760">
        <v>10.210000000000001</v>
      </c>
      <c r="N4760" s="8"/>
    </row>
    <row r="4761" spans="1:14" x14ac:dyDescent="0.25">
      <c r="A4761" s="8">
        <v>40494</v>
      </c>
      <c r="B4761">
        <v>979730.78</v>
      </c>
      <c r="C4761">
        <v>0</v>
      </c>
      <c r="D4761">
        <v>47.2</v>
      </c>
      <c r="E4761">
        <v>2.7410000000000001</v>
      </c>
      <c r="F4761">
        <v>126.54616129999999</v>
      </c>
      <c r="G4761">
        <v>10.210000000000001</v>
      </c>
      <c r="N4761" s="8"/>
    </row>
    <row r="4762" spans="1:14" x14ac:dyDescent="0.25">
      <c r="A4762" s="8">
        <v>40501</v>
      </c>
      <c r="B4762">
        <v>955766.33</v>
      </c>
      <c r="C4762">
        <v>0</v>
      </c>
      <c r="D4762">
        <v>40.93</v>
      </c>
      <c r="E4762">
        <v>2.78</v>
      </c>
      <c r="F4762">
        <v>126.60720000000001</v>
      </c>
      <c r="G4762">
        <v>10.210000000000001</v>
      </c>
      <c r="N4762" s="8"/>
    </row>
    <row r="4763" spans="1:14" x14ac:dyDescent="0.25">
      <c r="A4763" s="8">
        <v>40508</v>
      </c>
      <c r="B4763">
        <v>1309476.68</v>
      </c>
      <c r="C4763">
        <v>1</v>
      </c>
      <c r="D4763">
        <v>41.13</v>
      </c>
      <c r="E4763">
        <v>2.7519999999999998</v>
      </c>
      <c r="F4763">
        <v>126.66926669999999</v>
      </c>
      <c r="G4763">
        <v>10.210000000000001</v>
      </c>
      <c r="N4763" s="8"/>
    </row>
    <row r="4764" spans="1:14" x14ac:dyDescent="0.25">
      <c r="A4764" s="8">
        <v>40515</v>
      </c>
      <c r="B4764">
        <v>1001512.21</v>
      </c>
      <c r="C4764">
        <v>0</v>
      </c>
      <c r="D4764">
        <v>34.700000000000003</v>
      </c>
      <c r="E4764">
        <v>2.7269999999999999</v>
      </c>
      <c r="F4764">
        <v>126.7313333</v>
      </c>
      <c r="G4764">
        <v>10.210000000000001</v>
      </c>
      <c r="N4764" s="8"/>
    </row>
    <row r="4765" spans="1:14" x14ac:dyDescent="0.25">
      <c r="A4765" s="8">
        <v>40522</v>
      </c>
      <c r="B4765">
        <v>1086661.02</v>
      </c>
      <c r="C4765">
        <v>0</v>
      </c>
      <c r="D4765">
        <v>41.93</v>
      </c>
      <c r="E4765">
        <v>2.86</v>
      </c>
      <c r="F4765">
        <v>126.79340000000001</v>
      </c>
      <c r="G4765">
        <v>10.210000000000001</v>
      </c>
      <c r="N4765" s="8"/>
    </row>
    <row r="4766" spans="1:14" x14ac:dyDescent="0.25">
      <c r="A4766" s="8">
        <v>40529</v>
      </c>
      <c r="B4766">
        <v>1227148.1299999999</v>
      </c>
      <c r="C4766">
        <v>0</v>
      </c>
      <c r="D4766">
        <v>42.64</v>
      </c>
      <c r="E4766">
        <v>2.8839999999999999</v>
      </c>
      <c r="F4766">
        <v>126.8794839</v>
      </c>
      <c r="G4766">
        <v>10.210000000000001</v>
      </c>
      <c r="N4766" s="8"/>
    </row>
    <row r="4767" spans="1:14" x14ac:dyDescent="0.25">
      <c r="A4767" s="8">
        <v>40536</v>
      </c>
      <c r="B4767">
        <v>1620748.25</v>
      </c>
      <c r="C4767">
        <v>0</v>
      </c>
      <c r="D4767">
        <v>42.74</v>
      </c>
      <c r="E4767">
        <v>2.887</v>
      </c>
      <c r="F4767">
        <v>126.9835806</v>
      </c>
      <c r="G4767">
        <v>10.210000000000001</v>
      </c>
      <c r="N4767" s="8"/>
    </row>
    <row r="4768" spans="1:14" x14ac:dyDescent="0.25">
      <c r="A4768" s="8">
        <v>40543</v>
      </c>
      <c r="B4768">
        <v>902109.69</v>
      </c>
      <c r="C4768">
        <v>1</v>
      </c>
      <c r="D4768">
        <v>34.11</v>
      </c>
      <c r="E4768">
        <v>2.9550000000000001</v>
      </c>
      <c r="F4768">
        <v>127.0876774</v>
      </c>
      <c r="G4768">
        <v>10.210000000000001</v>
      </c>
      <c r="N4768" s="8"/>
    </row>
    <row r="4769" spans="1:14" x14ac:dyDescent="0.25">
      <c r="A4769" s="8">
        <v>40550</v>
      </c>
      <c r="B4769">
        <v>900646.94</v>
      </c>
      <c r="C4769">
        <v>0</v>
      </c>
      <c r="D4769">
        <v>24.5</v>
      </c>
      <c r="E4769">
        <v>2.98</v>
      </c>
      <c r="F4769">
        <v>127.1917742</v>
      </c>
      <c r="G4769">
        <v>10.398</v>
      </c>
      <c r="N4769" s="8"/>
    </row>
    <row r="4770" spans="1:14" x14ac:dyDescent="0.25">
      <c r="A4770" s="8">
        <v>40557</v>
      </c>
      <c r="B4770">
        <v>898610.33</v>
      </c>
      <c r="C4770">
        <v>0</v>
      </c>
      <c r="D4770">
        <v>30.75</v>
      </c>
      <c r="E4770">
        <v>2.992</v>
      </c>
      <c r="F4770">
        <v>127.30093549999999</v>
      </c>
      <c r="G4770">
        <v>10.398</v>
      </c>
      <c r="N4770" s="8"/>
    </row>
    <row r="4771" spans="1:14" x14ac:dyDescent="0.25">
      <c r="A4771" s="8">
        <v>40564</v>
      </c>
      <c r="B4771">
        <v>891025.39</v>
      </c>
      <c r="C4771">
        <v>0</v>
      </c>
      <c r="D4771">
        <v>39.57</v>
      </c>
      <c r="E4771">
        <v>3.0169999999999999</v>
      </c>
      <c r="F4771">
        <v>127.4404839</v>
      </c>
      <c r="G4771">
        <v>10.398</v>
      </c>
      <c r="N4771" s="8"/>
    </row>
    <row r="4772" spans="1:14" x14ac:dyDescent="0.25">
      <c r="A4772" s="8">
        <v>40571</v>
      </c>
      <c r="B4772">
        <v>836717.75</v>
      </c>
      <c r="C4772">
        <v>0</v>
      </c>
      <c r="D4772">
        <v>34.68</v>
      </c>
      <c r="E4772">
        <v>3.0219999999999998</v>
      </c>
      <c r="F4772">
        <v>127.5800323</v>
      </c>
      <c r="G4772">
        <v>10.398</v>
      </c>
      <c r="N4772" s="8"/>
    </row>
    <row r="4773" spans="1:14" x14ac:dyDescent="0.25">
      <c r="A4773" s="8">
        <v>40578</v>
      </c>
      <c r="B4773">
        <v>971932.87</v>
      </c>
      <c r="C4773">
        <v>0</v>
      </c>
      <c r="D4773">
        <v>23.82</v>
      </c>
      <c r="E4773">
        <v>2.996</v>
      </c>
      <c r="F4773">
        <v>127.7195806</v>
      </c>
      <c r="G4773">
        <v>10.398</v>
      </c>
      <c r="N4773" s="8"/>
    </row>
    <row r="4774" spans="1:14" x14ac:dyDescent="0.25">
      <c r="A4774" s="8">
        <v>40585</v>
      </c>
      <c r="B4774">
        <v>1015654.6</v>
      </c>
      <c r="C4774">
        <v>1</v>
      </c>
      <c r="D4774">
        <v>28.66</v>
      </c>
      <c r="E4774">
        <v>3.0329999999999999</v>
      </c>
      <c r="F4774">
        <v>127.859129</v>
      </c>
      <c r="G4774">
        <v>10.398</v>
      </c>
      <c r="N4774" s="8"/>
    </row>
    <row r="4775" spans="1:14" x14ac:dyDescent="0.25">
      <c r="A4775" s="8">
        <v>40592</v>
      </c>
      <c r="B4775">
        <v>1062629.3</v>
      </c>
      <c r="C4775">
        <v>0</v>
      </c>
      <c r="D4775">
        <v>45.12</v>
      </c>
      <c r="E4775">
        <v>3.0579999999999998</v>
      </c>
      <c r="F4775">
        <v>127.99525</v>
      </c>
      <c r="G4775">
        <v>10.398</v>
      </c>
      <c r="N4775" s="8"/>
    </row>
    <row r="4776" spans="1:14" x14ac:dyDescent="0.25">
      <c r="A4776" s="8">
        <v>40599</v>
      </c>
      <c r="B4776">
        <v>953331.45</v>
      </c>
      <c r="C4776">
        <v>0</v>
      </c>
      <c r="D4776">
        <v>44.57</v>
      </c>
      <c r="E4776">
        <v>3.0870000000000002</v>
      </c>
      <c r="F4776">
        <v>128.13</v>
      </c>
      <c r="G4776">
        <v>10.398</v>
      </c>
      <c r="N4776" s="8"/>
    </row>
    <row r="4777" spans="1:14" x14ac:dyDescent="0.25">
      <c r="A4777" s="8">
        <v>40606</v>
      </c>
      <c r="B4777">
        <v>963910.81</v>
      </c>
      <c r="C4777">
        <v>0</v>
      </c>
      <c r="D4777">
        <v>46.21</v>
      </c>
      <c r="E4777">
        <v>3.3050000000000002</v>
      </c>
      <c r="F4777">
        <v>128.26474999999999</v>
      </c>
      <c r="G4777">
        <v>10.398</v>
      </c>
      <c r="N4777" s="8"/>
    </row>
    <row r="4778" spans="1:14" x14ac:dyDescent="0.25">
      <c r="A4778" s="8">
        <v>40613</v>
      </c>
      <c r="B4778">
        <v>943951.67</v>
      </c>
      <c r="C4778">
        <v>0</v>
      </c>
      <c r="D4778">
        <v>45.87</v>
      </c>
      <c r="E4778">
        <v>3.4609999999999999</v>
      </c>
      <c r="F4778">
        <v>128.39949999999999</v>
      </c>
      <c r="G4778">
        <v>10.398</v>
      </c>
      <c r="N4778" s="8"/>
    </row>
    <row r="4779" spans="1:14" x14ac:dyDescent="0.25">
      <c r="A4779" s="8">
        <v>40620</v>
      </c>
      <c r="B4779">
        <v>1014218.8</v>
      </c>
      <c r="C4779">
        <v>0</v>
      </c>
      <c r="D4779">
        <v>55.58</v>
      </c>
      <c r="E4779">
        <v>3.4950000000000001</v>
      </c>
      <c r="F4779">
        <v>128.5121935</v>
      </c>
      <c r="G4779">
        <v>10.398</v>
      </c>
      <c r="N4779" s="8"/>
    </row>
    <row r="4780" spans="1:14" x14ac:dyDescent="0.25">
      <c r="A4780" s="8">
        <v>40627</v>
      </c>
      <c r="B4780">
        <v>922898.38</v>
      </c>
      <c r="C4780">
        <v>0</v>
      </c>
      <c r="D4780">
        <v>53.11</v>
      </c>
      <c r="E4780">
        <v>3.48</v>
      </c>
      <c r="F4780">
        <v>128.61606449999999</v>
      </c>
      <c r="G4780">
        <v>10.398</v>
      </c>
      <c r="N4780" s="8"/>
    </row>
    <row r="4781" spans="1:14" x14ac:dyDescent="0.25">
      <c r="A4781" s="8">
        <v>40634</v>
      </c>
      <c r="B4781">
        <v>884233.67</v>
      </c>
      <c r="C4781">
        <v>0</v>
      </c>
      <c r="D4781">
        <v>55.46</v>
      </c>
      <c r="E4781">
        <v>3.5209999999999999</v>
      </c>
      <c r="F4781">
        <v>128.71993549999999</v>
      </c>
      <c r="G4781">
        <v>10.581</v>
      </c>
      <c r="N4781" s="8"/>
    </row>
    <row r="4782" spans="1:14" x14ac:dyDescent="0.25">
      <c r="A4782" s="8">
        <v>40641</v>
      </c>
      <c r="B4782">
        <v>975479.83</v>
      </c>
      <c r="C4782">
        <v>0</v>
      </c>
      <c r="D4782">
        <v>58.59</v>
      </c>
      <c r="E4782">
        <v>3.605</v>
      </c>
      <c r="F4782">
        <v>128.82380649999999</v>
      </c>
      <c r="G4782">
        <v>10.581</v>
      </c>
      <c r="N4782" s="8"/>
    </row>
    <row r="4783" spans="1:14" x14ac:dyDescent="0.25">
      <c r="A4783" s="8">
        <v>40648</v>
      </c>
      <c r="B4783">
        <v>941829</v>
      </c>
      <c r="C4783">
        <v>0</v>
      </c>
      <c r="D4783">
        <v>53.3</v>
      </c>
      <c r="E4783">
        <v>3.7240000000000002</v>
      </c>
      <c r="F4783">
        <v>128.9107333</v>
      </c>
      <c r="G4783">
        <v>10.581</v>
      </c>
      <c r="N4783" s="8"/>
    </row>
    <row r="4784" spans="1:14" x14ac:dyDescent="0.25">
      <c r="A4784" s="8">
        <v>40655</v>
      </c>
      <c r="B4784">
        <v>1051518.45</v>
      </c>
      <c r="C4784">
        <v>0</v>
      </c>
      <c r="D4784">
        <v>63.83</v>
      </c>
      <c r="E4784">
        <v>3.7810000000000001</v>
      </c>
      <c r="F4784">
        <v>128.95529999999999</v>
      </c>
      <c r="G4784">
        <v>10.581</v>
      </c>
      <c r="N4784" s="8"/>
    </row>
    <row r="4785" spans="1:14" x14ac:dyDescent="0.25">
      <c r="A4785" s="8">
        <v>40662</v>
      </c>
      <c r="B4785">
        <v>895973.02</v>
      </c>
      <c r="C4785">
        <v>0</v>
      </c>
      <c r="D4785">
        <v>57.73</v>
      </c>
      <c r="E4785">
        <v>3.7810000000000001</v>
      </c>
      <c r="F4785">
        <v>128.99986670000001</v>
      </c>
      <c r="G4785">
        <v>10.581</v>
      </c>
      <c r="N4785" s="8"/>
    </row>
    <row r="4786" spans="1:14" x14ac:dyDescent="0.25">
      <c r="A4786" s="8">
        <v>40669</v>
      </c>
      <c r="B4786">
        <v>965853.58</v>
      </c>
      <c r="C4786">
        <v>0</v>
      </c>
      <c r="D4786">
        <v>54.4</v>
      </c>
      <c r="E4786">
        <v>3.8660000000000001</v>
      </c>
      <c r="F4786">
        <v>129.04443330000001</v>
      </c>
      <c r="G4786">
        <v>10.581</v>
      </c>
      <c r="N4786" s="8"/>
    </row>
    <row r="4787" spans="1:14" x14ac:dyDescent="0.25">
      <c r="A4787" s="8">
        <v>40676</v>
      </c>
      <c r="B4787">
        <v>966232.69</v>
      </c>
      <c r="C4787">
        <v>0</v>
      </c>
      <c r="D4787">
        <v>63.05</v>
      </c>
      <c r="E4787">
        <v>3.8719999999999999</v>
      </c>
      <c r="F4787">
        <v>129.089</v>
      </c>
      <c r="G4787">
        <v>10.581</v>
      </c>
      <c r="N4787" s="8"/>
    </row>
    <row r="4788" spans="1:14" x14ac:dyDescent="0.25">
      <c r="A4788" s="8">
        <v>40683</v>
      </c>
      <c r="B4788">
        <v>945018.83</v>
      </c>
      <c r="C4788">
        <v>0</v>
      </c>
      <c r="D4788">
        <v>61.47</v>
      </c>
      <c r="E4788">
        <v>3.8809999999999998</v>
      </c>
      <c r="F4788">
        <v>129.07567739999999</v>
      </c>
      <c r="G4788">
        <v>10.581</v>
      </c>
      <c r="N4788" s="8"/>
    </row>
    <row r="4789" spans="1:14" x14ac:dyDescent="0.25">
      <c r="A4789" s="8">
        <v>40690</v>
      </c>
      <c r="B4789">
        <v>941311.83</v>
      </c>
      <c r="C4789">
        <v>0</v>
      </c>
      <c r="D4789">
        <v>65.989999999999995</v>
      </c>
      <c r="E4789">
        <v>3.7709999999999999</v>
      </c>
      <c r="F4789">
        <v>129.06235480000001</v>
      </c>
      <c r="G4789">
        <v>10.581</v>
      </c>
      <c r="N4789" s="8"/>
    </row>
    <row r="4790" spans="1:14" x14ac:dyDescent="0.25">
      <c r="A4790" s="8">
        <v>40697</v>
      </c>
      <c r="B4790">
        <v>947229.24</v>
      </c>
      <c r="C4790">
        <v>0</v>
      </c>
      <c r="D4790">
        <v>74.64</v>
      </c>
      <c r="E4790">
        <v>3.6829999999999998</v>
      </c>
      <c r="F4790">
        <v>129.04903229999999</v>
      </c>
      <c r="G4790">
        <v>10.581</v>
      </c>
      <c r="N4790" s="8"/>
    </row>
    <row r="4791" spans="1:14" x14ac:dyDescent="0.25">
      <c r="A4791" s="8">
        <v>40704</v>
      </c>
      <c r="B4791">
        <v>943912.77</v>
      </c>
      <c r="C4791">
        <v>0</v>
      </c>
      <c r="D4791">
        <v>74.569999999999993</v>
      </c>
      <c r="E4791">
        <v>3.64</v>
      </c>
      <c r="F4791">
        <v>129.03570970000001</v>
      </c>
      <c r="G4791">
        <v>10.581</v>
      </c>
      <c r="N4791" s="8"/>
    </row>
    <row r="4792" spans="1:14" x14ac:dyDescent="0.25">
      <c r="A4792" s="8">
        <v>40711</v>
      </c>
      <c r="B4792">
        <v>968258.09</v>
      </c>
      <c r="C4792">
        <v>0</v>
      </c>
      <c r="D4792">
        <v>76.58</v>
      </c>
      <c r="E4792">
        <v>3.6179999999999999</v>
      </c>
      <c r="F4792">
        <v>129.04320000000001</v>
      </c>
      <c r="G4792">
        <v>10.581</v>
      </c>
      <c r="N4792" s="8"/>
    </row>
    <row r="4793" spans="1:14" x14ac:dyDescent="0.25">
      <c r="A4793" s="8">
        <v>40718</v>
      </c>
      <c r="B4793">
        <v>923795.04</v>
      </c>
      <c r="C4793">
        <v>0</v>
      </c>
      <c r="D4793">
        <v>77.16</v>
      </c>
      <c r="E4793">
        <v>3.57</v>
      </c>
      <c r="F4793">
        <v>129.06630000000001</v>
      </c>
      <c r="G4793">
        <v>10.581</v>
      </c>
      <c r="N4793" s="8"/>
    </row>
    <row r="4794" spans="1:14" x14ac:dyDescent="0.25">
      <c r="A4794" s="8">
        <v>40725</v>
      </c>
      <c r="B4794">
        <v>911106.22</v>
      </c>
      <c r="C4794">
        <v>0</v>
      </c>
      <c r="D4794">
        <v>81.96</v>
      </c>
      <c r="E4794">
        <v>3.504</v>
      </c>
      <c r="F4794">
        <v>129.08940000000001</v>
      </c>
      <c r="G4794">
        <v>10.641</v>
      </c>
      <c r="N4794" s="8"/>
    </row>
    <row r="4795" spans="1:14" x14ac:dyDescent="0.25">
      <c r="A4795" s="8">
        <v>40732</v>
      </c>
      <c r="B4795">
        <v>926934.57</v>
      </c>
      <c r="C4795">
        <v>0</v>
      </c>
      <c r="D4795">
        <v>80.84</v>
      </c>
      <c r="E4795">
        <v>3.4689999999999999</v>
      </c>
      <c r="F4795">
        <v>129.11250000000001</v>
      </c>
      <c r="G4795">
        <v>10.641</v>
      </c>
      <c r="N4795" s="8"/>
    </row>
    <row r="4796" spans="1:14" x14ac:dyDescent="0.25">
      <c r="A4796" s="8">
        <v>40739</v>
      </c>
      <c r="B4796">
        <v>903882.96</v>
      </c>
      <c r="C4796">
        <v>0</v>
      </c>
      <c r="D4796">
        <v>78.09</v>
      </c>
      <c r="E4796">
        <v>3.5630000000000002</v>
      </c>
      <c r="F4796">
        <v>129.13383870000001</v>
      </c>
      <c r="G4796">
        <v>10.641</v>
      </c>
      <c r="N4796" s="8"/>
    </row>
    <row r="4797" spans="1:14" x14ac:dyDescent="0.25">
      <c r="A4797" s="8">
        <v>40746</v>
      </c>
      <c r="B4797">
        <v>913236.62</v>
      </c>
      <c r="C4797">
        <v>0</v>
      </c>
      <c r="D4797">
        <v>80.75</v>
      </c>
      <c r="E4797">
        <v>3.6269999999999998</v>
      </c>
      <c r="F4797">
        <v>129.1507742</v>
      </c>
      <c r="G4797">
        <v>10.641</v>
      </c>
      <c r="N4797" s="8"/>
    </row>
    <row r="4798" spans="1:14" x14ac:dyDescent="0.25">
      <c r="A4798" s="8">
        <v>40753</v>
      </c>
      <c r="B4798">
        <v>851461.9</v>
      </c>
      <c r="C4798">
        <v>0</v>
      </c>
      <c r="D4798">
        <v>78.040000000000006</v>
      </c>
      <c r="E4798">
        <v>3.6589999999999998</v>
      </c>
      <c r="F4798">
        <v>129.16770969999999</v>
      </c>
      <c r="G4798">
        <v>10.641</v>
      </c>
      <c r="N4798" s="8"/>
    </row>
    <row r="4799" spans="1:14" x14ac:dyDescent="0.25">
      <c r="A4799" s="8">
        <v>40760</v>
      </c>
      <c r="B4799">
        <v>942236.45</v>
      </c>
      <c r="C4799">
        <v>0</v>
      </c>
      <c r="D4799">
        <v>76.709999999999994</v>
      </c>
      <c r="E4799">
        <v>3.6619999999999999</v>
      </c>
      <c r="F4799">
        <v>129.18464520000001</v>
      </c>
      <c r="G4799">
        <v>10.641</v>
      </c>
      <c r="N4799" s="8"/>
    </row>
    <row r="4800" spans="1:14" x14ac:dyDescent="0.25">
      <c r="A4800" s="8">
        <v>40767</v>
      </c>
      <c r="B4800">
        <v>956251.18</v>
      </c>
      <c r="C4800">
        <v>0</v>
      </c>
      <c r="D4800">
        <v>80.23</v>
      </c>
      <c r="E4800">
        <v>3.617</v>
      </c>
      <c r="F4800">
        <v>129.2015806</v>
      </c>
      <c r="G4800">
        <v>10.641</v>
      </c>
      <c r="N4800" s="8"/>
    </row>
    <row r="4801" spans="1:14" x14ac:dyDescent="0.25">
      <c r="A4801" s="8">
        <v>40774</v>
      </c>
      <c r="B4801">
        <v>960418.54</v>
      </c>
      <c r="C4801">
        <v>0</v>
      </c>
      <c r="D4801">
        <v>77.08</v>
      </c>
      <c r="E4801">
        <v>3.55</v>
      </c>
      <c r="F4801">
        <v>129.24058059999999</v>
      </c>
      <c r="G4801">
        <v>10.641</v>
      </c>
      <c r="N4801" s="8"/>
    </row>
    <row r="4802" spans="1:14" x14ac:dyDescent="0.25">
      <c r="A4802" s="8">
        <v>40781</v>
      </c>
      <c r="B4802">
        <v>871404.6</v>
      </c>
      <c r="C4802">
        <v>0</v>
      </c>
      <c r="D4802">
        <v>77.27</v>
      </c>
      <c r="E4802">
        <v>3.5230000000000001</v>
      </c>
      <c r="F4802">
        <v>129.28325810000001</v>
      </c>
      <c r="G4802">
        <v>10.641</v>
      </c>
      <c r="N4802" s="8"/>
    </row>
    <row r="4803" spans="1:14" x14ac:dyDescent="0.25">
      <c r="A4803" s="8">
        <v>40788</v>
      </c>
      <c r="B4803">
        <v>926455.64</v>
      </c>
      <c r="C4803">
        <v>0</v>
      </c>
      <c r="D4803">
        <v>78.239999999999995</v>
      </c>
      <c r="E4803">
        <v>3.5329999999999999</v>
      </c>
      <c r="F4803">
        <v>129.32593550000001</v>
      </c>
      <c r="G4803">
        <v>10.641</v>
      </c>
      <c r="N4803" s="8"/>
    </row>
    <row r="4804" spans="1:14" x14ac:dyDescent="0.25">
      <c r="A4804" s="8">
        <v>40795</v>
      </c>
      <c r="B4804">
        <v>930506.14</v>
      </c>
      <c r="C4804">
        <v>1</v>
      </c>
      <c r="D4804">
        <v>70.05</v>
      </c>
      <c r="E4804">
        <v>3.5539999999999998</v>
      </c>
      <c r="F4804">
        <v>129.36861289999999</v>
      </c>
      <c r="G4804">
        <v>10.641</v>
      </c>
      <c r="N4804" s="8"/>
    </row>
    <row r="4805" spans="1:14" x14ac:dyDescent="0.25">
      <c r="A4805" s="8">
        <v>40802</v>
      </c>
      <c r="B4805">
        <v>927249.61</v>
      </c>
      <c r="C4805">
        <v>0</v>
      </c>
      <c r="D4805">
        <v>64.94</v>
      </c>
      <c r="E4805">
        <v>3.532</v>
      </c>
      <c r="F4805">
        <v>129.4306</v>
      </c>
      <c r="G4805">
        <v>10.641</v>
      </c>
      <c r="N4805" s="8"/>
    </row>
    <row r="4806" spans="1:14" x14ac:dyDescent="0.25">
      <c r="A4806" s="8">
        <v>40809</v>
      </c>
      <c r="B4806">
        <v>902852.73</v>
      </c>
      <c r="C4806">
        <v>0</v>
      </c>
      <c r="D4806">
        <v>66.23</v>
      </c>
      <c r="E4806">
        <v>3.4729999999999999</v>
      </c>
      <c r="F4806">
        <v>129.51833329999999</v>
      </c>
      <c r="G4806">
        <v>10.641</v>
      </c>
      <c r="N4806" s="8"/>
    </row>
    <row r="4807" spans="1:14" x14ac:dyDescent="0.25">
      <c r="A4807" s="8">
        <v>40816</v>
      </c>
      <c r="B4807">
        <v>871847.85</v>
      </c>
      <c r="C4807">
        <v>0</v>
      </c>
      <c r="D4807">
        <v>69.44</v>
      </c>
      <c r="E4807">
        <v>3.371</v>
      </c>
      <c r="F4807">
        <v>129.60606670000001</v>
      </c>
      <c r="G4807">
        <v>10.641</v>
      </c>
      <c r="N4807" s="8"/>
    </row>
    <row r="4808" spans="1:14" x14ac:dyDescent="0.25">
      <c r="A4808" s="8">
        <v>40823</v>
      </c>
      <c r="B4808">
        <v>954069.45</v>
      </c>
      <c r="C4808">
        <v>0</v>
      </c>
      <c r="D4808">
        <v>60.42</v>
      </c>
      <c r="E4808">
        <v>3.2989999999999999</v>
      </c>
      <c r="F4808">
        <v>129.69380000000001</v>
      </c>
      <c r="G4808">
        <v>10.148</v>
      </c>
      <c r="N4808" s="8"/>
    </row>
    <row r="4809" spans="1:14" x14ac:dyDescent="0.25">
      <c r="A4809" s="8">
        <v>40830</v>
      </c>
      <c r="B4809">
        <v>911788.79</v>
      </c>
      <c r="C4809">
        <v>0</v>
      </c>
      <c r="D4809">
        <v>54.72</v>
      </c>
      <c r="E4809">
        <v>3.2829999999999999</v>
      </c>
      <c r="F4809">
        <v>129.77064519999999</v>
      </c>
      <c r="G4809">
        <v>10.148</v>
      </c>
      <c r="N4809" s="8"/>
    </row>
    <row r="4810" spans="1:14" x14ac:dyDescent="0.25">
      <c r="A4810" s="8">
        <v>40837</v>
      </c>
      <c r="B4810">
        <v>953693.23</v>
      </c>
      <c r="C4810">
        <v>0</v>
      </c>
      <c r="D4810">
        <v>58.93</v>
      </c>
      <c r="E4810">
        <v>3.3610000000000002</v>
      </c>
      <c r="F4810">
        <v>129.78216130000001</v>
      </c>
      <c r="G4810">
        <v>10.148</v>
      </c>
      <c r="N4810" s="8"/>
    </row>
    <row r="4811" spans="1:14" x14ac:dyDescent="0.25">
      <c r="A4811" s="8">
        <v>40844</v>
      </c>
      <c r="B4811">
        <v>958063.87</v>
      </c>
      <c r="C4811">
        <v>0</v>
      </c>
      <c r="D4811">
        <v>54.56</v>
      </c>
      <c r="E4811">
        <v>3.3620000000000001</v>
      </c>
      <c r="F4811">
        <v>129.79367740000001</v>
      </c>
      <c r="G4811">
        <v>10.148</v>
      </c>
      <c r="N4811" s="8"/>
    </row>
    <row r="4812" spans="1:14" x14ac:dyDescent="0.25">
      <c r="A4812" s="8">
        <v>40851</v>
      </c>
      <c r="B4812">
        <v>992621.93</v>
      </c>
      <c r="C4812">
        <v>0</v>
      </c>
      <c r="D4812">
        <v>48.04</v>
      </c>
      <c r="E4812">
        <v>3.3220000000000001</v>
      </c>
      <c r="F4812">
        <v>129.8051935</v>
      </c>
      <c r="G4812">
        <v>10.148</v>
      </c>
      <c r="N4812" s="8"/>
    </row>
    <row r="4813" spans="1:14" x14ac:dyDescent="0.25">
      <c r="A4813" s="8">
        <v>40858</v>
      </c>
      <c r="B4813">
        <v>991570.02</v>
      </c>
      <c r="C4813">
        <v>0</v>
      </c>
      <c r="D4813">
        <v>41.04</v>
      </c>
      <c r="E4813">
        <v>3.286</v>
      </c>
      <c r="F4813">
        <v>129.81670969999999</v>
      </c>
      <c r="G4813">
        <v>10.148</v>
      </c>
      <c r="N4813" s="8"/>
    </row>
    <row r="4814" spans="1:14" x14ac:dyDescent="0.25">
      <c r="A4814" s="8">
        <v>40865</v>
      </c>
      <c r="B4814">
        <v>947552.44</v>
      </c>
      <c r="C4814">
        <v>0</v>
      </c>
      <c r="D4814">
        <v>46</v>
      </c>
      <c r="E4814">
        <v>3.294</v>
      </c>
      <c r="F4814">
        <v>129.8268333</v>
      </c>
      <c r="G4814">
        <v>10.148</v>
      </c>
      <c r="N4814" s="8"/>
    </row>
    <row r="4815" spans="1:14" x14ac:dyDescent="0.25">
      <c r="A4815" s="8">
        <v>40872</v>
      </c>
      <c r="B4815">
        <v>1345595.82</v>
      </c>
      <c r="C4815">
        <v>1</v>
      </c>
      <c r="D4815">
        <v>45.99</v>
      </c>
      <c r="E4815">
        <v>3.2250000000000001</v>
      </c>
      <c r="F4815">
        <v>129.8364</v>
      </c>
      <c r="G4815">
        <v>10.148</v>
      </c>
      <c r="N4815" s="8"/>
    </row>
    <row r="4816" spans="1:14" x14ac:dyDescent="0.25">
      <c r="A4816" s="8">
        <v>40879</v>
      </c>
      <c r="B4816">
        <v>988742.08</v>
      </c>
      <c r="C4816">
        <v>0</v>
      </c>
      <c r="D4816">
        <v>39.75</v>
      </c>
      <c r="E4816">
        <v>3.1760000000000002</v>
      </c>
      <c r="F4816">
        <v>129.84596669999999</v>
      </c>
      <c r="G4816">
        <v>10.148</v>
      </c>
      <c r="N4816" s="8"/>
    </row>
    <row r="4817" spans="1:14" x14ac:dyDescent="0.25">
      <c r="A4817" s="8">
        <v>40886</v>
      </c>
      <c r="B4817">
        <v>1084243.9099999999</v>
      </c>
      <c r="C4817">
        <v>0</v>
      </c>
      <c r="D4817">
        <v>24.69</v>
      </c>
      <c r="E4817">
        <v>3.153</v>
      </c>
      <c r="F4817">
        <v>129.85553329999999</v>
      </c>
      <c r="G4817">
        <v>10.148</v>
      </c>
      <c r="N4817" s="8"/>
    </row>
    <row r="4818" spans="1:14" x14ac:dyDescent="0.25">
      <c r="A4818" s="8">
        <v>40893</v>
      </c>
      <c r="B4818">
        <v>1151052.8600000001</v>
      </c>
      <c r="C4818">
        <v>0</v>
      </c>
      <c r="D4818">
        <v>32.31</v>
      </c>
      <c r="E4818">
        <v>3.149</v>
      </c>
      <c r="F4818">
        <v>129.8980645</v>
      </c>
      <c r="G4818">
        <v>10.148</v>
      </c>
      <c r="N4818" s="8"/>
    </row>
    <row r="4819" spans="1:14" x14ac:dyDescent="0.25">
      <c r="A4819" s="8">
        <v>40900</v>
      </c>
      <c r="B4819">
        <v>1593655.96</v>
      </c>
      <c r="C4819">
        <v>0</v>
      </c>
      <c r="D4819">
        <v>32.450000000000003</v>
      </c>
      <c r="E4819">
        <v>3.1030000000000002</v>
      </c>
      <c r="F4819">
        <v>129.98454839999999</v>
      </c>
      <c r="G4819">
        <v>10.148</v>
      </c>
      <c r="N4819" s="8"/>
    </row>
    <row r="4820" spans="1:14" x14ac:dyDescent="0.25">
      <c r="A4820" s="8">
        <v>40907</v>
      </c>
      <c r="B4820">
        <v>965512.36</v>
      </c>
      <c r="C4820">
        <v>1</v>
      </c>
      <c r="D4820">
        <v>28.84</v>
      </c>
      <c r="E4820">
        <v>3.1190000000000002</v>
      </c>
      <c r="F4820">
        <v>130.07103230000001</v>
      </c>
      <c r="G4820">
        <v>10.148</v>
      </c>
      <c r="N4820" s="8"/>
    </row>
    <row r="4821" spans="1:14" x14ac:dyDescent="0.25">
      <c r="A4821" s="8">
        <v>40914</v>
      </c>
      <c r="B4821">
        <v>953844.85</v>
      </c>
      <c r="C4821">
        <v>0</v>
      </c>
      <c r="D4821">
        <v>36.39</v>
      </c>
      <c r="E4821">
        <v>3.1579999999999999</v>
      </c>
      <c r="F4821">
        <v>130.15751610000001</v>
      </c>
      <c r="G4821">
        <v>9.6530000000000005</v>
      </c>
      <c r="N4821" s="8"/>
    </row>
    <row r="4822" spans="1:14" x14ac:dyDescent="0.25">
      <c r="A4822" s="8">
        <v>40921</v>
      </c>
      <c r="B4822">
        <v>913755.12</v>
      </c>
      <c r="C4822">
        <v>0</v>
      </c>
      <c r="D4822">
        <v>33.99</v>
      </c>
      <c r="E4822">
        <v>3.2629999999999999</v>
      </c>
      <c r="F4822">
        <v>130.244</v>
      </c>
      <c r="G4822">
        <v>9.6530000000000005</v>
      </c>
      <c r="N4822" s="8"/>
    </row>
    <row r="4823" spans="1:14" x14ac:dyDescent="0.25">
      <c r="A4823" s="8">
        <v>40928</v>
      </c>
      <c r="B4823">
        <v>910899.05</v>
      </c>
      <c r="C4823">
        <v>0</v>
      </c>
      <c r="D4823">
        <v>39.28</v>
      </c>
      <c r="E4823">
        <v>3.2730000000000001</v>
      </c>
      <c r="F4823">
        <v>130.27922580000001</v>
      </c>
      <c r="G4823">
        <v>9.6530000000000005</v>
      </c>
      <c r="N4823" s="8"/>
    </row>
    <row r="4824" spans="1:14" x14ac:dyDescent="0.25">
      <c r="A4824" s="8">
        <v>40935</v>
      </c>
      <c r="B4824">
        <v>872450.37</v>
      </c>
      <c r="C4824">
        <v>0</v>
      </c>
      <c r="D4824">
        <v>39.81</v>
      </c>
      <c r="E4824">
        <v>3.29</v>
      </c>
      <c r="F4824">
        <v>130.31445160000001</v>
      </c>
      <c r="G4824">
        <v>9.6530000000000005</v>
      </c>
      <c r="N4824" s="8"/>
    </row>
    <row r="4825" spans="1:14" x14ac:dyDescent="0.25">
      <c r="A4825" s="8">
        <v>40942</v>
      </c>
      <c r="B4825">
        <v>939367.14</v>
      </c>
      <c r="C4825">
        <v>0</v>
      </c>
      <c r="D4825">
        <v>38.64</v>
      </c>
      <c r="E4825">
        <v>3.3540000000000001</v>
      </c>
      <c r="F4825">
        <v>130.34967739999999</v>
      </c>
      <c r="G4825">
        <v>9.6530000000000005</v>
      </c>
      <c r="N4825" s="8"/>
    </row>
    <row r="4826" spans="1:14" x14ac:dyDescent="0.25">
      <c r="A4826" s="8">
        <v>40949</v>
      </c>
      <c r="B4826">
        <v>1047658.09</v>
      </c>
      <c r="C4826">
        <v>1</v>
      </c>
      <c r="D4826">
        <v>36.700000000000003</v>
      </c>
      <c r="E4826">
        <v>3.411</v>
      </c>
      <c r="F4826">
        <v>130.3849032</v>
      </c>
      <c r="G4826">
        <v>9.6530000000000005</v>
      </c>
      <c r="N4826" s="8"/>
    </row>
    <row r="4827" spans="1:14" x14ac:dyDescent="0.25">
      <c r="A4827" s="8">
        <v>40956</v>
      </c>
      <c r="B4827">
        <v>1123446.51</v>
      </c>
      <c r="C4827">
        <v>0</v>
      </c>
      <c r="D4827">
        <v>37.25</v>
      </c>
      <c r="E4827">
        <v>3.4929999999999999</v>
      </c>
      <c r="F4827">
        <v>130.45462069999999</v>
      </c>
      <c r="G4827">
        <v>9.6530000000000005</v>
      </c>
      <c r="N4827" s="8"/>
    </row>
    <row r="4828" spans="1:14" x14ac:dyDescent="0.25">
      <c r="A4828" s="8">
        <v>40963</v>
      </c>
      <c r="B4828">
        <v>950154.23999999999</v>
      </c>
      <c r="C4828">
        <v>0</v>
      </c>
      <c r="D4828">
        <v>39.89</v>
      </c>
      <c r="E4828">
        <v>3.5409999999999999</v>
      </c>
      <c r="F4828">
        <v>130.55020690000001</v>
      </c>
      <c r="G4828">
        <v>9.6530000000000005</v>
      </c>
      <c r="N4828" s="8"/>
    </row>
    <row r="4829" spans="1:14" x14ac:dyDescent="0.25">
      <c r="A4829" s="8">
        <v>40970</v>
      </c>
      <c r="B4829">
        <v>990263.7</v>
      </c>
      <c r="C4829">
        <v>0</v>
      </c>
      <c r="D4829">
        <v>42.74</v>
      </c>
      <c r="E4829">
        <v>3.6190000000000002</v>
      </c>
      <c r="F4829">
        <v>130.64579309999999</v>
      </c>
      <c r="G4829">
        <v>9.6530000000000005</v>
      </c>
      <c r="N4829" s="8"/>
    </row>
    <row r="4830" spans="1:14" x14ac:dyDescent="0.25">
      <c r="A4830" s="8">
        <v>40977</v>
      </c>
      <c r="B4830">
        <v>976393.43</v>
      </c>
      <c r="C4830">
        <v>0</v>
      </c>
      <c r="D4830">
        <v>42.7</v>
      </c>
      <c r="E4830">
        <v>3.6669999999999998</v>
      </c>
      <c r="F4830">
        <v>130.74137930000001</v>
      </c>
      <c r="G4830">
        <v>9.6530000000000005</v>
      </c>
      <c r="N4830" s="8"/>
    </row>
    <row r="4831" spans="1:14" x14ac:dyDescent="0.25">
      <c r="A4831" s="8">
        <v>40984</v>
      </c>
      <c r="B4831">
        <v>999298.43</v>
      </c>
      <c r="C4831">
        <v>0</v>
      </c>
      <c r="D4831">
        <v>48.09</v>
      </c>
      <c r="E4831">
        <v>3.7069999999999999</v>
      </c>
      <c r="F4831">
        <v>130.82619349999999</v>
      </c>
      <c r="G4831">
        <v>9.6530000000000005</v>
      </c>
      <c r="N4831" s="8"/>
    </row>
    <row r="4832" spans="1:14" x14ac:dyDescent="0.25">
      <c r="A4832" s="8">
        <v>40991</v>
      </c>
      <c r="B4832">
        <v>945143.33</v>
      </c>
      <c r="C4832">
        <v>0</v>
      </c>
      <c r="D4832">
        <v>47.93</v>
      </c>
      <c r="E4832">
        <v>3.7589999999999999</v>
      </c>
      <c r="F4832">
        <v>130.89664519999999</v>
      </c>
      <c r="G4832">
        <v>9.6530000000000005</v>
      </c>
      <c r="N4832" s="8"/>
    </row>
    <row r="4833" spans="1:14" x14ac:dyDescent="0.25">
      <c r="A4833" s="8">
        <v>40998</v>
      </c>
      <c r="B4833">
        <v>938861.77</v>
      </c>
      <c r="C4833">
        <v>0</v>
      </c>
      <c r="D4833">
        <v>59.29</v>
      </c>
      <c r="E4833">
        <v>3.82</v>
      </c>
      <c r="F4833">
        <v>130.96709680000001</v>
      </c>
      <c r="G4833">
        <v>9.6530000000000005</v>
      </c>
      <c r="N4833" s="8"/>
    </row>
    <row r="4834" spans="1:14" x14ac:dyDescent="0.25">
      <c r="A4834" s="8">
        <v>41005</v>
      </c>
      <c r="B4834">
        <v>1091020.3700000001</v>
      </c>
      <c r="C4834">
        <v>0</v>
      </c>
      <c r="D4834">
        <v>54.42</v>
      </c>
      <c r="E4834">
        <v>3.8639999999999999</v>
      </c>
      <c r="F4834">
        <v>131.03754839999999</v>
      </c>
      <c r="G4834">
        <v>9.5749999999999993</v>
      </c>
      <c r="N4834" s="8"/>
    </row>
    <row r="4835" spans="1:14" x14ac:dyDescent="0.25">
      <c r="A4835" s="8">
        <v>41012</v>
      </c>
      <c r="B4835">
        <v>987353.65</v>
      </c>
      <c r="C4835">
        <v>0</v>
      </c>
      <c r="D4835">
        <v>59.12</v>
      </c>
      <c r="E4835">
        <v>3.8809999999999998</v>
      </c>
      <c r="F4835">
        <v>131.108</v>
      </c>
      <c r="G4835">
        <v>9.5749999999999993</v>
      </c>
      <c r="N4835" s="8"/>
    </row>
    <row r="4836" spans="1:14" x14ac:dyDescent="0.25">
      <c r="A4836" s="8">
        <v>41019</v>
      </c>
      <c r="B4836">
        <v>977628.78</v>
      </c>
      <c r="C4836">
        <v>0</v>
      </c>
      <c r="D4836">
        <v>55.34</v>
      </c>
      <c r="E4836">
        <v>3.8639999999999999</v>
      </c>
      <c r="F4836">
        <v>131.11733330000001</v>
      </c>
      <c r="G4836">
        <v>9.5749999999999993</v>
      </c>
      <c r="N4836" s="8"/>
    </row>
    <row r="4837" spans="1:14" x14ac:dyDescent="0.25">
      <c r="A4837" s="8">
        <v>41026</v>
      </c>
      <c r="B4837">
        <v>940299.87</v>
      </c>
      <c r="C4837">
        <v>0</v>
      </c>
      <c r="D4837">
        <v>66.489999999999995</v>
      </c>
      <c r="E4837">
        <v>3.81</v>
      </c>
      <c r="F4837">
        <v>131.12666669999999</v>
      </c>
      <c r="G4837">
        <v>9.5749999999999993</v>
      </c>
      <c r="N4837" s="8"/>
    </row>
    <row r="4838" spans="1:14" x14ac:dyDescent="0.25">
      <c r="A4838" s="8">
        <v>41033</v>
      </c>
      <c r="B4838">
        <v>991104.4</v>
      </c>
      <c r="C4838">
        <v>0</v>
      </c>
      <c r="D4838">
        <v>65.040000000000006</v>
      </c>
      <c r="E4838">
        <v>3.7469999999999999</v>
      </c>
      <c r="F4838">
        <v>131.136</v>
      </c>
      <c r="G4838">
        <v>9.5749999999999993</v>
      </c>
      <c r="N4838" s="8"/>
    </row>
    <row r="4839" spans="1:14" x14ac:dyDescent="0.25">
      <c r="A4839" s="8">
        <v>41040</v>
      </c>
      <c r="B4839">
        <v>949625.52</v>
      </c>
      <c r="C4839">
        <v>0</v>
      </c>
      <c r="D4839">
        <v>61.92</v>
      </c>
      <c r="E4839">
        <v>3.6850000000000001</v>
      </c>
      <c r="F4839">
        <v>131.1453333</v>
      </c>
      <c r="G4839">
        <v>9.5749999999999993</v>
      </c>
      <c r="N4839" s="8"/>
    </row>
    <row r="4840" spans="1:14" x14ac:dyDescent="0.25">
      <c r="A4840" s="8">
        <v>41047</v>
      </c>
      <c r="B4840">
        <v>998672.85</v>
      </c>
      <c r="C4840">
        <v>0</v>
      </c>
      <c r="D4840">
        <v>64.97</v>
      </c>
      <c r="E4840">
        <v>3.62</v>
      </c>
      <c r="F4840">
        <v>131.09832259999999</v>
      </c>
      <c r="G4840">
        <v>9.5749999999999993</v>
      </c>
      <c r="N4840" s="8"/>
    </row>
    <row r="4841" spans="1:14" x14ac:dyDescent="0.25">
      <c r="A4841" s="8">
        <v>41054</v>
      </c>
      <c r="B4841">
        <v>1015737.61</v>
      </c>
      <c r="C4841">
        <v>0</v>
      </c>
      <c r="D4841">
        <v>72.42</v>
      </c>
      <c r="E4841">
        <v>3.5510000000000002</v>
      </c>
      <c r="F4841">
        <v>131.02877419999999</v>
      </c>
      <c r="G4841">
        <v>9.5749999999999993</v>
      </c>
      <c r="N4841" s="8"/>
    </row>
    <row r="4842" spans="1:14" x14ac:dyDescent="0.25">
      <c r="A4842" s="8">
        <v>41061</v>
      </c>
      <c r="B4842">
        <v>977062.44</v>
      </c>
      <c r="C4842">
        <v>0</v>
      </c>
      <c r="D4842">
        <v>70.41</v>
      </c>
      <c r="E4842">
        <v>3.4830000000000001</v>
      </c>
      <c r="F4842">
        <v>130.95922580000001</v>
      </c>
      <c r="G4842">
        <v>9.5749999999999993</v>
      </c>
      <c r="N4842" s="8"/>
    </row>
    <row r="4843" spans="1:14" x14ac:dyDescent="0.25">
      <c r="A4843" s="8">
        <v>41068</v>
      </c>
      <c r="B4843">
        <v>999511.29</v>
      </c>
      <c r="C4843">
        <v>0</v>
      </c>
      <c r="D4843">
        <v>75.349999999999994</v>
      </c>
      <c r="E4843">
        <v>3.4329999999999998</v>
      </c>
      <c r="F4843">
        <v>130.88967740000001</v>
      </c>
      <c r="G4843">
        <v>9.5749999999999993</v>
      </c>
      <c r="N4843" s="8"/>
    </row>
    <row r="4844" spans="1:14" x14ac:dyDescent="0.25">
      <c r="A4844" s="8">
        <v>41075</v>
      </c>
      <c r="B4844">
        <v>982345.51</v>
      </c>
      <c r="C4844">
        <v>0</v>
      </c>
      <c r="D4844">
        <v>76.48</v>
      </c>
      <c r="E4844">
        <v>3.3719999999999999</v>
      </c>
      <c r="F4844">
        <v>130.82953330000001</v>
      </c>
      <c r="G4844">
        <v>9.5749999999999993</v>
      </c>
      <c r="N4844" s="8"/>
    </row>
    <row r="4845" spans="1:14" x14ac:dyDescent="0.25">
      <c r="A4845" s="8">
        <v>41082</v>
      </c>
      <c r="B4845">
        <v>1000285.1</v>
      </c>
      <c r="C4845">
        <v>0</v>
      </c>
      <c r="D4845">
        <v>78.849999999999994</v>
      </c>
      <c r="E4845">
        <v>3.3290000000000002</v>
      </c>
      <c r="F4845">
        <v>130.7929</v>
      </c>
      <c r="G4845">
        <v>9.5749999999999993</v>
      </c>
      <c r="N4845" s="8"/>
    </row>
    <row r="4846" spans="1:14" x14ac:dyDescent="0.25">
      <c r="A4846" s="8">
        <v>41089</v>
      </c>
      <c r="B4846">
        <v>942970.63</v>
      </c>
      <c r="C4846">
        <v>0</v>
      </c>
      <c r="D4846">
        <v>81.91</v>
      </c>
      <c r="E4846">
        <v>3.2570000000000001</v>
      </c>
      <c r="F4846">
        <v>130.7562667</v>
      </c>
      <c r="G4846">
        <v>9.5749999999999993</v>
      </c>
      <c r="N4846" s="8"/>
    </row>
    <row r="4847" spans="1:14" x14ac:dyDescent="0.25">
      <c r="A4847" s="8">
        <v>41096</v>
      </c>
      <c r="B4847">
        <v>1007867.68</v>
      </c>
      <c r="C4847">
        <v>0</v>
      </c>
      <c r="D4847">
        <v>77.95</v>
      </c>
      <c r="E4847">
        <v>3.1869999999999998</v>
      </c>
      <c r="F4847">
        <v>130.7196333</v>
      </c>
      <c r="G4847">
        <v>9.2850000000000001</v>
      </c>
      <c r="N4847" s="8"/>
    </row>
    <row r="4848" spans="1:14" x14ac:dyDescent="0.25">
      <c r="A4848" s="8">
        <v>41103</v>
      </c>
      <c r="B4848">
        <v>954677.75</v>
      </c>
      <c r="C4848">
        <v>0</v>
      </c>
      <c r="D4848">
        <v>74.02</v>
      </c>
      <c r="E4848">
        <v>3.2240000000000002</v>
      </c>
      <c r="F4848">
        <v>130.68299999999999</v>
      </c>
      <c r="G4848">
        <v>9.2850000000000001</v>
      </c>
      <c r="N4848" s="8"/>
    </row>
    <row r="4849" spans="1:14" x14ac:dyDescent="0.25">
      <c r="A4849" s="8">
        <v>41110</v>
      </c>
      <c r="B4849">
        <v>950929.59</v>
      </c>
      <c r="C4849">
        <v>0</v>
      </c>
      <c r="D4849">
        <v>77.7</v>
      </c>
      <c r="E4849">
        <v>3.2629999999999999</v>
      </c>
      <c r="F4849">
        <v>130.70129030000001</v>
      </c>
      <c r="G4849">
        <v>9.2850000000000001</v>
      </c>
      <c r="N4849" s="8"/>
    </row>
    <row r="4850" spans="1:14" x14ac:dyDescent="0.25">
      <c r="A4850" s="8">
        <v>41117</v>
      </c>
      <c r="B4850">
        <v>917883.79</v>
      </c>
      <c r="C4850">
        <v>0</v>
      </c>
      <c r="D4850">
        <v>77.3</v>
      </c>
      <c r="E4850">
        <v>3.3559999999999999</v>
      </c>
      <c r="F4850">
        <v>130.7195806</v>
      </c>
      <c r="G4850">
        <v>9.2850000000000001</v>
      </c>
      <c r="N4850" s="8"/>
    </row>
    <row r="4851" spans="1:14" x14ac:dyDescent="0.25">
      <c r="A4851" s="8">
        <v>41124</v>
      </c>
      <c r="B4851">
        <v>973250.41</v>
      </c>
      <c r="C4851">
        <v>0</v>
      </c>
      <c r="D4851">
        <v>78.930000000000007</v>
      </c>
      <c r="E4851">
        <v>3.3740000000000001</v>
      </c>
      <c r="F4851">
        <v>130.73787100000001</v>
      </c>
      <c r="G4851">
        <v>9.2850000000000001</v>
      </c>
      <c r="N4851" s="8"/>
    </row>
    <row r="4852" spans="1:14" x14ac:dyDescent="0.25">
      <c r="A4852" s="8">
        <v>41131</v>
      </c>
      <c r="B4852">
        <v>1004523.59</v>
      </c>
      <c r="C4852">
        <v>0</v>
      </c>
      <c r="D4852">
        <v>78.260000000000005</v>
      </c>
      <c r="E4852">
        <v>3.476</v>
      </c>
      <c r="F4852">
        <v>130.7561613</v>
      </c>
      <c r="G4852">
        <v>9.2850000000000001</v>
      </c>
      <c r="N4852" s="8"/>
    </row>
    <row r="4853" spans="1:14" x14ac:dyDescent="0.25">
      <c r="A4853" s="8">
        <v>41138</v>
      </c>
      <c r="B4853">
        <v>1013820.86</v>
      </c>
      <c r="C4853">
        <v>0</v>
      </c>
      <c r="D4853">
        <v>77.78</v>
      </c>
      <c r="E4853">
        <v>3.552</v>
      </c>
      <c r="F4853">
        <v>130.79096770000001</v>
      </c>
      <c r="G4853">
        <v>9.2850000000000001</v>
      </c>
      <c r="N4853" s="8"/>
    </row>
    <row r="4854" spans="1:14" x14ac:dyDescent="0.25">
      <c r="A4854" s="8">
        <v>41145</v>
      </c>
      <c r="B4854">
        <v>926250.21</v>
      </c>
      <c r="C4854">
        <v>0</v>
      </c>
      <c r="D4854">
        <v>72.44</v>
      </c>
      <c r="E4854">
        <v>3.61</v>
      </c>
      <c r="F4854">
        <v>130.8381613</v>
      </c>
      <c r="G4854">
        <v>9.2850000000000001</v>
      </c>
      <c r="N4854" s="8"/>
    </row>
    <row r="4855" spans="1:14" x14ac:dyDescent="0.25">
      <c r="A4855" s="8">
        <v>41152</v>
      </c>
      <c r="B4855">
        <v>933487.71</v>
      </c>
      <c r="C4855">
        <v>0</v>
      </c>
      <c r="D4855">
        <v>75.89</v>
      </c>
      <c r="E4855">
        <v>3.6459999999999999</v>
      </c>
      <c r="F4855">
        <v>130.88535479999999</v>
      </c>
      <c r="G4855">
        <v>9.2850000000000001</v>
      </c>
      <c r="N4855" s="8"/>
    </row>
    <row r="4856" spans="1:14" x14ac:dyDescent="0.25">
      <c r="A4856" s="8">
        <v>41159</v>
      </c>
      <c r="B4856">
        <v>976415.56</v>
      </c>
      <c r="C4856">
        <v>1</v>
      </c>
      <c r="D4856">
        <v>78.260000000000005</v>
      </c>
      <c r="E4856">
        <v>3.7090000000000001</v>
      </c>
      <c r="F4856">
        <v>130.9325484</v>
      </c>
      <c r="G4856">
        <v>9.2850000000000001</v>
      </c>
      <c r="N4856" s="8"/>
    </row>
    <row r="4857" spans="1:14" x14ac:dyDescent="0.25">
      <c r="A4857" s="8">
        <v>41166</v>
      </c>
      <c r="B4857">
        <v>955211.7</v>
      </c>
      <c r="C4857">
        <v>0</v>
      </c>
      <c r="D4857">
        <v>64.28</v>
      </c>
      <c r="E4857">
        <v>3.706</v>
      </c>
      <c r="F4857">
        <v>130.97766669999999</v>
      </c>
      <c r="G4857">
        <v>9.2850000000000001</v>
      </c>
      <c r="N4857" s="8"/>
    </row>
    <row r="4858" spans="1:14" x14ac:dyDescent="0.25">
      <c r="A4858" s="8">
        <v>41173</v>
      </c>
      <c r="B4858">
        <v>943047.78</v>
      </c>
      <c r="C4858">
        <v>0</v>
      </c>
      <c r="D4858">
        <v>66.08</v>
      </c>
      <c r="E4858">
        <v>3.7210000000000001</v>
      </c>
      <c r="F4858">
        <v>131.01033330000001</v>
      </c>
      <c r="G4858">
        <v>9.2850000000000001</v>
      </c>
      <c r="N4858" s="8"/>
    </row>
    <row r="4859" spans="1:14" x14ac:dyDescent="0.25">
      <c r="A4859" s="8">
        <v>41180</v>
      </c>
      <c r="B4859">
        <v>928629.31</v>
      </c>
      <c r="C4859">
        <v>0</v>
      </c>
      <c r="D4859">
        <v>67.06</v>
      </c>
      <c r="E4859">
        <v>3.6659999999999999</v>
      </c>
      <c r="F4859">
        <v>131.04300000000001</v>
      </c>
      <c r="G4859">
        <v>9.2850000000000001</v>
      </c>
      <c r="N4859" s="8"/>
    </row>
    <row r="4860" spans="1:14" x14ac:dyDescent="0.25">
      <c r="A4860" s="8">
        <v>41187</v>
      </c>
      <c r="B4860">
        <v>968896.68</v>
      </c>
      <c r="C4860">
        <v>0</v>
      </c>
      <c r="D4860">
        <v>65.41</v>
      </c>
      <c r="E4860">
        <v>3.62</v>
      </c>
      <c r="F4860">
        <v>131.0756667</v>
      </c>
      <c r="G4860">
        <v>8.8390000000000004</v>
      </c>
      <c r="N4860" s="8"/>
    </row>
    <row r="4861" spans="1:14" x14ac:dyDescent="0.25">
      <c r="A4861" s="8">
        <v>41194</v>
      </c>
      <c r="B4861">
        <v>948613.39</v>
      </c>
      <c r="C4861">
        <v>0</v>
      </c>
      <c r="D4861">
        <v>59.94</v>
      </c>
      <c r="E4861">
        <v>3.6030000000000002</v>
      </c>
      <c r="F4861">
        <v>131.1083333</v>
      </c>
      <c r="G4861">
        <v>8.8390000000000004</v>
      </c>
      <c r="N4861" s="8"/>
    </row>
    <row r="4862" spans="1:14" x14ac:dyDescent="0.25">
      <c r="A4862" s="8">
        <v>41201</v>
      </c>
      <c r="B4862">
        <v>963516.28</v>
      </c>
      <c r="C4862">
        <v>0</v>
      </c>
      <c r="D4862">
        <v>58.47</v>
      </c>
      <c r="E4862">
        <v>3.61</v>
      </c>
      <c r="F4862">
        <v>131.14996769999999</v>
      </c>
      <c r="G4862">
        <v>8.8390000000000004</v>
      </c>
      <c r="N4862" s="8"/>
    </row>
    <row r="4863" spans="1:14" x14ac:dyDescent="0.25">
      <c r="A4863" s="8">
        <v>41208</v>
      </c>
      <c r="B4863">
        <v>956987.81</v>
      </c>
      <c r="C4863">
        <v>0</v>
      </c>
      <c r="D4863">
        <v>57.95</v>
      </c>
      <c r="E4863">
        <v>3.5139999999999998</v>
      </c>
      <c r="F4863">
        <v>131.19309680000001</v>
      </c>
      <c r="G4863">
        <v>8.8390000000000004</v>
      </c>
      <c r="N4863" s="8"/>
    </row>
    <row r="4864" spans="1:14" x14ac:dyDescent="0.25">
      <c r="A4864" s="8">
        <v>40214</v>
      </c>
      <c r="B4864">
        <v>1230613.5</v>
      </c>
      <c r="C4864">
        <v>0</v>
      </c>
      <c r="D4864">
        <v>27.19</v>
      </c>
      <c r="E4864">
        <v>2.7839999999999998</v>
      </c>
      <c r="F4864">
        <v>135.35246079999999</v>
      </c>
      <c r="G4864">
        <v>9.2620000000000005</v>
      </c>
      <c r="N4864" s="8"/>
    </row>
    <row r="4865" spans="1:14" x14ac:dyDescent="0.25">
      <c r="A4865" s="8">
        <v>40221</v>
      </c>
      <c r="B4865">
        <v>1168815.31</v>
      </c>
      <c r="C4865">
        <v>1</v>
      </c>
      <c r="D4865">
        <v>29.81</v>
      </c>
      <c r="E4865">
        <v>2.7730000000000001</v>
      </c>
      <c r="F4865">
        <v>135.41130759999999</v>
      </c>
      <c r="G4865">
        <v>9.2620000000000005</v>
      </c>
      <c r="N4865" s="8"/>
    </row>
    <row r="4866" spans="1:14" x14ac:dyDescent="0.25">
      <c r="A4866" s="8">
        <v>40228</v>
      </c>
      <c r="B4866">
        <v>1270658.6399999999</v>
      </c>
      <c r="C4866">
        <v>0</v>
      </c>
      <c r="D4866">
        <v>32.44</v>
      </c>
      <c r="E4866">
        <v>2.7450000000000001</v>
      </c>
      <c r="F4866">
        <v>135.46577809999999</v>
      </c>
      <c r="G4866">
        <v>9.2620000000000005</v>
      </c>
      <c r="N4866" s="8"/>
    </row>
    <row r="4867" spans="1:14" x14ac:dyDescent="0.25">
      <c r="A4867" s="8">
        <v>40235</v>
      </c>
      <c r="B4867">
        <v>1020651.74</v>
      </c>
      <c r="C4867">
        <v>0</v>
      </c>
      <c r="D4867">
        <v>36</v>
      </c>
      <c r="E4867">
        <v>2.754</v>
      </c>
      <c r="F4867">
        <v>135.5195191</v>
      </c>
      <c r="G4867">
        <v>9.2620000000000005</v>
      </c>
      <c r="N4867" s="8"/>
    </row>
    <row r="4868" spans="1:14" x14ac:dyDescent="0.25">
      <c r="A4868" s="8">
        <v>40242</v>
      </c>
      <c r="B4868">
        <v>1162610.27</v>
      </c>
      <c r="C4868">
        <v>0</v>
      </c>
      <c r="D4868">
        <v>38.07</v>
      </c>
      <c r="E4868">
        <v>2.7770000000000001</v>
      </c>
      <c r="F4868">
        <v>135.57326019999999</v>
      </c>
      <c r="G4868">
        <v>9.2620000000000005</v>
      </c>
      <c r="N4868" s="8"/>
    </row>
    <row r="4869" spans="1:14" x14ac:dyDescent="0.25">
      <c r="A4869" s="8">
        <v>40249</v>
      </c>
      <c r="B4869">
        <v>1150344.3899999999</v>
      </c>
      <c r="C4869">
        <v>0</v>
      </c>
      <c r="D4869">
        <v>45.98</v>
      </c>
      <c r="E4869">
        <v>2.8180000000000001</v>
      </c>
      <c r="F4869">
        <v>135.62700129999999</v>
      </c>
      <c r="G4869">
        <v>9.2620000000000005</v>
      </c>
      <c r="N4869" s="8"/>
    </row>
    <row r="4870" spans="1:14" x14ac:dyDescent="0.25">
      <c r="A4870" s="8">
        <v>40256</v>
      </c>
      <c r="B4870">
        <v>1117536.0900000001</v>
      </c>
      <c r="C4870">
        <v>0</v>
      </c>
      <c r="D4870">
        <v>49.04</v>
      </c>
      <c r="E4870">
        <v>2.8439999999999999</v>
      </c>
      <c r="F4870">
        <v>135.6682247</v>
      </c>
      <c r="G4870">
        <v>9.2620000000000005</v>
      </c>
      <c r="N4870" s="8"/>
    </row>
    <row r="4871" spans="1:14" x14ac:dyDescent="0.25">
      <c r="A4871" s="8">
        <v>40263</v>
      </c>
      <c r="B4871">
        <v>1078900.44</v>
      </c>
      <c r="C4871">
        <v>0</v>
      </c>
      <c r="D4871">
        <v>52.34</v>
      </c>
      <c r="E4871">
        <v>2.8540000000000001</v>
      </c>
      <c r="F4871">
        <v>135.7073618</v>
      </c>
      <c r="G4871">
        <v>9.2620000000000005</v>
      </c>
      <c r="N4871" s="8"/>
    </row>
    <row r="4872" spans="1:14" x14ac:dyDescent="0.25">
      <c r="A4872" s="8">
        <v>40270</v>
      </c>
      <c r="B4872">
        <v>1189556.47</v>
      </c>
      <c r="C4872">
        <v>0</v>
      </c>
      <c r="D4872">
        <v>46.9</v>
      </c>
      <c r="E4872">
        <v>2.85</v>
      </c>
      <c r="F4872">
        <v>135.74649880000001</v>
      </c>
      <c r="G4872">
        <v>9.0510000000000002</v>
      </c>
      <c r="N4872" s="8"/>
    </row>
    <row r="4873" spans="1:14" x14ac:dyDescent="0.25">
      <c r="A4873" s="8">
        <v>40277</v>
      </c>
      <c r="B4873">
        <v>1198014.97</v>
      </c>
      <c r="C4873">
        <v>0</v>
      </c>
      <c r="D4873">
        <v>62.62</v>
      </c>
      <c r="E4873">
        <v>2.8690000000000002</v>
      </c>
      <c r="F4873">
        <v>135.78563589999999</v>
      </c>
      <c r="G4873">
        <v>9.0510000000000002</v>
      </c>
      <c r="N4873" s="8"/>
    </row>
    <row r="4874" spans="1:14" x14ac:dyDescent="0.25">
      <c r="A4874" s="8">
        <v>40284</v>
      </c>
      <c r="B4874">
        <v>1084487.55</v>
      </c>
      <c r="C4874">
        <v>0</v>
      </c>
      <c r="D4874">
        <v>54.95</v>
      </c>
      <c r="E4874">
        <v>2.899</v>
      </c>
      <c r="F4874">
        <v>135.82724999999999</v>
      </c>
      <c r="G4874">
        <v>9.0510000000000002</v>
      </c>
      <c r="N4874" s="8"/>
    </row>
    <row r="4875" spans="1:14" x14ac:dyDescent="0.25">
      <c r="A4875" s="8">
        <v>40291</v>
      </c>
      <c r="B4875">
        <v>1110827.48</v>
      </c>
      <c r="C4875">
        <v>0</v>
      </c>
      <c r="D4875">
        <v>53.91</v>
      </c>
      <c r="E4875">
        <v>2.9020000000000001</v>
      </c>
      <c r="F4875">
        <v>135.87216670000001</v>
      </c>
      <c r="G4875">
        <v>9.0510000000000002</v>
      </c>
      <c r="N4875" s="8"/>
    </row>
    <row r="4876" spans="1:14" x14ac:dyDescent="0.25">
      <c r="A4876" s="8">
        <v>40298</v>
      </c>
      <c r="B4876">
        <v>1096930.6499999999</v>
      </c>
      <c r="C4876">
        <v>0</v>
      </c>
      <c r="D4876">
        <v>53.55</v>
      </c>
      <c r="E4876">
        <v>2.9209999999999998</v>
      </c>
      <c r="F4876">
        <v>135.9170833</v>
      </c>
      <c r="G4876">
        <v>9.0510000000000002</v>
      </c>
      <c r="N4876" s="8"/>
    </row>
    <row r="4877" spans="1:14" x14ac:dyDescent="0.25">
      <c r="A4877" s="8">
        <v>40305</v>
      </c>
      <c r="B4877">
        <v>1182099.8799999999</v>
      </c>
      <c r="C4877">
        <v>0</v>
      </c>
      <c r="D4877">
        <v>69.02</v>
      </c>
      <c r="E4877">
        <v>2.9660000000000002</v>
      </c>
      <c r="F4877">
        <v>135.96199999999999</v>
      </c>
      <c r="G4877">
        <v>9.0510000000000002</v>
      </c>
      <c r="N4877" s="8"/>
    </row>
    <row r="4878" spans="1:14" x14ac:dyDescent="0.25">
      <c r="A4878" s="8">
        <v>40312</v>
      </c>
      <c r="B4878">
        <v>1104277.57</v>
      </c>
      <c r="C4878">
        <v>0</v>
      </c>
      <c r="D4878">
        <v>53.82</v>
      </c>
      <c r="E4878">
        <v>2.9820000000000002</v>
      </c>
      <c r="F4878">
        <v>136.01039399999999</v>
      </c>
      <c r="G4878">
        <v>9.0510000000000002</v>
      </c>
      <c r="N4878" s="8"/>
    </row>
    <row r="4879" spans="1:14" x14ac:dyDescent="0.25">
      <c r="A4879" s="8">
        <v>40319</v>
      </c>
      <c r="B4879">
        <v>1078182.18</v>
      </c>
      <c r="C4879">
        <v>0</v>
      </c>
      <c r="D4879">
        <v>63.31</v>
      </c>
      <c r="E4879">
        <v>2.9580000000000002</v>
      </c>
      <c r="F4879">
        <v>136.0796521</v>
      </c>
      <c r="G4879">
        <v>9.0510000000000002</v>
      </c>
      <c r="N4879" s="8"/>
    </row>
    <row r="4880" spans="1:14" x14ac:dyDescent="0.25">
      <c r="A4880" s="8">
        <v>40326</v>
      </c>
      <c r="B4880">
        <v>1223777.48</v>
      </c>
      <c r="C4880">
        <v>0</v>
      </c>
      <c r="D4880">
        <v>67.88</v>
      </c>
      <c r="E4880">
        <v>2.899</v>
      </c>
      <c r="F4880">
        <v>136.14891009999999</v>
      </c>
      <c r="G4880">
        <v>9.0510000000000002</v>
      </c>
      <c r="N4880" s="8"/>
    </row>
    <row r="4881" spans="1:14" x14ac:dyDescent="0.25">
      <c r="A4881" s="8">
        <v>40333</v>
      </c>
      <c r="B4881">
        <v>1282378.71</v>
      </c>
      <c r="C4881">
        <v>0</v>
      </c>
      <c r="D4881">
        <v>74.290000000000006</v>
      </c>
      <c r="E4881">
        <v>2.847</v>
      </c>
      <c r="F4881">
        <v>136.21816820000001</v>
      </c>
      <c r="G4881">
        <v>9.0510000000000002</v>
      </c>
      <c r="N4881" s="8"/>
    </row>
    <row r="4882" spans="1:14" x14ac:dyDescent="0.25">
      <c r="A4882" s="8">
        <v>40340</v>
      </c>
      <c r="B4882">
        <v>1160412.71</v>
      </c>
      <c r="C4882">
        <v>0</v>
      </c>
      <c r="D4882">
        <v>68.900000000000006</v>
      </c>
      <c r="E4882">
        <v>2.8090000000000002</v>
      </c>
      <c r="F4882">
        <v>136.28742629999999</v>
      </c>
      <c r="G4882">
        <v>9.0510000000000002</v>
      </c>
      <c r="N4882" s="8"/>
    </row>
    <row r="4883" spans="1:14" x14ac:dyDescent="0.25">
      <c r="A4883" s="8">
        <v>40347</v>
      </c>
      <c r="B4883">
        <v>1198025.76</v>
      </c>
      <c r="C4883">
        <v>0</v>
      </c>
      <c r="D4883">
        <v>70</v>
      </c>
      <c r="E4883">
        <v>2.78</v>
      </c>
      <c r="F4883">
        <v>136.32433929999999</v>
      </c>
      <c r="G4883">
        <v>9.0510000000000002</v>
      </c>
      <c r="N4883" s="8"/>
    </row>
    <row r="4884" spans="1:14" x14ac:dyDescent="0.25">
      <c r="A4884" s="8">
        <v>40354</v>
      </c>
      <c r="B4884">
        <v>1230245.74</v>
      </c>
      <c r="C4884">
        <v>0</v>
      </c>
      <c r="D4884">
        <v>78.02</v>
      </c>
      <c r="E4884">
        <v>2.8079999999999998</v>
      </c>
      <c r="F4884">
        <v>136.3483143</v>
      </c>
      <c r="G4884">
        <v>9.0510000000000002</v>
      </c>
      <c r="N4884" s="8"/>
    </row>
    <row r="4885" spans="1:14" x14ac:dyDescent="0.25">
      <c r="A4885" s="8">
        <v>40361</v>
      </c>
      <c r="B4885">
        <v>1245827.08</v>
      </c>
      <c r="C4885">
        <v>0</v>
      </c>
      <c r="D4885">
        <v>76.25</v>
      </c>
      <c r="E4885">
        <v>2.8149999999999999</v>
      </c>
      <c r="F4885">
        <v>136.37228930000001</v>
      </c>
      <c r="G4885">
        <v>8.8610000000000007</v>
      </c>
      <c r="N4885" s="8"/>
    </row>
    <row r="4886" spans="1:14" x14ac:dyDescent="0.25">
      <c r="A4886" s="8">
        <v>40368</v>
      </c>
      <c r="B4886">
        <v>1268766.76</v>
      </c>
      <c r="C4886">
        <v>0</v>
      </c>
      <c r="D4886">
        <v>82.69</v>
      </c>
      <c r="E4886">
        <v>2.7930000000000001</v>
      </c>
      <c r="F4886">
        <v>136.39626430000001</v>
      </c>
      <c r="G4886">
        <v>8.8610000000000007</v>
      </c>
      <c r="N4886" s="8"/>
    </row>
    <row r="4887" spans="1:14" x14ac:dyDescent="0.25">
      <c r="A4887" s="8">
        <v>40375</v>
      </c>
      <c r="B4887">
        <v>1124414.8700000001</v>
      </c>
      <c r="C4887">
        <v>0</v>
      </c>
      <c r="D4887">
        <v>78.260000000000005</v>
      </c>
      <c r="E4887">
        <v>2.7829999999999999</v>
      </c>
      <c r="F4887">
        <v>136.41798270000001</v>
      </c>
      <c r="G4887">
        <v>8.8610000000000007</v>
      </c>
      <c r="N4887" s="8"/>
    </row>
    <row r="4888" spans="1:14" x14ac:dyDescent="0.25">
      <c r="A4888" s="8">
        <v>40382</v>
      </c>
      <c r="B4888">
        <v>1121756.43</v>
      </c>
      <c r="C4888">
        <v>0</v>
      </c>
      <c r="D4888">
        <v>81.56</v>
      </c>
      <c r="E4888">
        <v>2.7709999999999999</v>
      </c>
      <c r="F4888">
        <v>136.4366924</v>
      </c>
      <c r="G4888">
        <v>8.8610000000000007</v>
      </c>
      <c r="N4888" s="8"/>
    </row>
    <row r="4889" spans="1:14" x14ac:dyDescent="0.25">
      <c r="A4889" s="8">
        <v>40389</v>
      </c>
      <c r="B4889">
        <v>1139131.78</v>
      </c>
      <c r="C4889">
        <v>0</v>
      </c>
      <c r="D4889">
        <v>79.78</v>
      </c>
      <c r="E4889">
        <v>2.7810000000000001</v>
      </c>
      <c r="F4889">
        <v>136.45540209999999</v>
      </c>
      <c r="G4889">
        <v>8.8610000000000007</v>
      </c>
      <c r="N4889" s="8"/>
    </row>
    <row r="4890" spans="1:14" x14ac:dyDescent="0.25">
      <c r="A4890" s="8">
        <v>40396</v>
      </c>
      <c r="B4890">
        <v>1180183.3899999999</v>
      </c>
      <c r="C4890">
        <v>0</v>
      </c>
      <c r="D4890">
        <v>77.45</v>
      </c>
      <c r="E4890">
        <v>2.7839999999999998</v>
      </c>
      <c r="F4890">
        <v>136.4741118</v>
      </c>
      <c r="G4890">
        <v>8.8610000000000007</v>
      </c>
      <c r="N4890" s="8"/>
    </row>
    <row r="4891" spans="1:14" x14ac:dyDescent="0.25">
      <c r="A4891" s="8">
        <v>40403</v>
      </c>
      <c r="B4891">
        <v>1090587.5</v>
      </c>
      <c r="C4891">
        <v>0</v>
      </c>
      <c r="D4891">
        <v>77.36</v>
      </c>
      <c r="E4891">
        <v>2.8050000000000002</v>
      </c>
      <c r="F4891">
        <v>136.4928214</v>
      </c>
      <c r="G4891">
        <v>8.8610000000000007</v>
      </c>
      <c r="N4891" s="8"/>
    </row>
    <row r="4892" spans="1:14" x14ac:dyDescent="0.25">
      <c r="A4892" s="8">
        <v>40410</v>
      </c>
      <c r="B4892">
        <v>1033719.5</v>
      </c>
      <c r="C4892">
        <v>0</v>
      </c>
      <c r="D4892">
        <v>75.16</v>
      </c>
      <c r="E4892">
        <v>2.7789999999999999</v>
      </c>
      <c r="F4892">
        <v>136.5249182</v>
      </c>
      <c r="G4892">
        <v>8.8610000000000007</v>
      </c>
      <c r="N4892" s="8"/>
    </row>
    <row r="4893" spans="1:14" x14ac:dyDescent="0.25">
      <c r="A4893" s="8">
        <v>40417</v>
      </c>
      <c r="B4893">
        <v>917693.06</v>
      </c>
      <c r="C4893">
        <v>0</v>
      </c>
      <c r="D4893">
        <v>70.31</v>
      </c>
      <c r="E4893">
        <v>2.7549999999999999</v>
      </c>
      <c r="F4893">
        <v>136.55701500000001</v>
      </c>
      <c r="G4893">
        <v>8.8610000000000007</v>
      </c>
      <c r="N4893" s="8"/>
    </row>
    <row r="4894" spans="1:14" x14ac:dyDescent="0.25">
      <c r="A4894" s="8">
        <v>40424</v>
      </c>
      <c r="B4894">
        <v>948660.79</v>
      </c>
      <c r="C4894">
        <v>0</v>
      </c>
      <c r="D4894">
        <v>78.52</v>
      </c>
      <c r="E4894">
        <v>2.7149999999999999</v>
      </c>
      <c r="F4894">
        <v>136.58911180000001</v>
      </c>
      <c r="G4894">
        <v>8.8610000000000007</v>
      </c>
      <c r="N4894" s="8"/>
    </row>
    <row r="4895" spans="1:14" x14ac:dyDescent="0.25">
      <c r="A4895" s="8">
        <v>40431</v>
      </c>
      <c r="B4895">
        <v>961685.98</v>
      </c>
      <c r="C4895">
        <v>1</v>
      </c>
      <c r="D4895">
        <v>70.38</v>
      </c>
      <c r="E4895">
        <v>2.6989999999999998</v>
      </c>
      <c r="F4895">
        <v>136.62120849999999</v>
      </c>
      <c r="G4895">
        <v>8.8610000000000007</v>
      </c>
      <c r="N4895" s="8"/>
    </row>
    <row r="4896" spans="1:14" x14ac:dyDescent="0.25">
      <c r="A4896" s="8">
        <v>40438</v>
      </c>
      <c r="B4896">
        <v>831443.61</v>
      </c>
      <c r="C4896">
        <v>0</v>
      </c>
      <c r="D4896">
        <v>64.5</v>
      </c>
      <c r="E4896">
        <v>2.706</v>
      </c>
      <c r="F4896">
        <v>136.63380710000001</v>
      </c>
      <c r="G4896">
        <v>8.8610000000000007</v>
      </c>
      <c r="N4896" s="8"/>
    </row>
    <row r="4897" spans="1:14" x14ac:dyDescent="0.25">
      <c r="A4897" s="8">
        <v>40445</v>
      </c>
      <c r="B4897">
        <v>758069.78</v>
      </c>
      <c r="C4897">
        <v>0</v>
      </c>
      <c r="D4897">
        <v>67.08</v>
      </c>
      <c r="E4897">
        <v>2.7130000000000001</v>
      </c>
      <c r="F4897">
        <v>136.63178210000001</v>
      </c>
      <c r="G4897">
        <v>8.8610000000000007</v>
      </c>
      <c r="N4897" s="8"/>
    </row>
    <row r="4898" spans="1:14" x14ac:dyDescent="0.25">
      <c r="A4898" s="8">
        <v>40452</v>
      </c>
      <c r="B4898">
        <v>771065.21</v>
      </c>
      <c r="C4898">
        <v>0</v>
      </c>
      <c r="D4898">
        <v>70.19</v>
      </c>
      <c r="E4898">
        <v>2.7069999999999999</v>
      </c>
      <c r="F4898">
        <v>136.62975710000001</v>
      </c>
      <c r="G4898">
        <v>8.7629999999999999</v>
      </c>
      <c r="N4898" s="8"/>
    </row>
    <row r="4899" spans="1:14" x14ac:dyDescent="0.25">
      <c r="A4899" s="8">
        <v>40459</v>
      </c>
      <c r="B4899">
        <v>874615.32</v>
      </c>
      <c r="C4899">
        <v>0</v>
      </c>
      <c r="D4899">
        <v>57.78</v>
      </c>
      <c r="E4899">
        <v>2.7639999999999998</v>
      </c>
      <c r="F4899">
        <v>136.6277321</v>
      </c>
      <c r="G4899">
        <v>8.7629999999999999</v>
      </c>
      <c r="N4899" s="8"/>
    </row>
    <row r="4900" spans="1:14" x14ac:dyDescent="0.25">
      <c r="A4900" s="8">
        <v>40466</v>
      </c>
      <c r="B4900">
        <v>798376.99</v>
      </c>
      <c r="C4900">
        <v>0</v>
      </c>
      <c r="D4900">
        <v>58.38</v>
      </c>
      <c r="E4900">
        <v>2.8679999999999999</v>
      </c>
      <c r="F4900">
        <v>136.64019350000001</v>
      </c>
      <c r="G4900">
        <v>8.7629999999999999</v>
      </c>
      <c r="N4900" s="8"/>
    </row>
    <row r="4901" spans="1:14" x14ac:dyDescent="0.25">
      <c r="A4901" s="8">
        <v>40473</v>
      </c>
      <c r="B4901">
        <v>827705.82</v>
      </c>
      <c r="C4901">
        <v>0</v>
      </c>
      <c r="D4901">
        <v>52.82</v>
      </c>
      <c r="E4901">
        <v>2.9169999999999998</v>
      </c>
      <c r="F4901">
        <v>136.68887100000001</v>
      </c>
      <c r="G4901">
        <v>8.7629999999999999</v>
      </c>
      <c r="N4901" s="8"/>
    </row>
    <row r="4902" spans="1:14" x14ac:dyDescent="0.25">
      <c r="A4902" s="8">
        <v>40480</v>
      </c>
      <c r="B4902">
        <v>857797.33</v>
      </c>
      <c r="C4902">
        <v>0</v>
      </c>
      <c r="D4902">
        <v>61.02</v>
      </c>
      <c r="E4902">
        <v>2.9209999999999998</v>
      </c>
      <c r="F4902">
        <v>136.73754840000001</v>
      </c>
      <c r="G4902">
        <v>8.7629999999999999</v>
      </c>
      <c r="N4902" s="8"/>
    </row>
    <row r="4903" spans="1:14" x14ac:dyDescent="0.25">
      <c r="A4903" s="8">
        <v>40487</v>
      </c>
      <c r="B4903">
        <v>843755.12</v>
      </c>
      <c r="C4903">
        <v>0</v>
      </c>
      <c r="D4903">
        <v>45.91</v>
      </c>
      <c r="E4903">
        <v>2.9169999999999998</v>
      </c>
      <c r="F4903">
        <v>136.78622580000001</v>
      </c>
      <c r="G4903">
        <v>8.7629999999999999</v>
      </c>
      <c r="N4903" s="8"/>
    </row>
    <row r="4904" spans="1:14" x14ac:dyDescent="0.25">
      <c r="A4904" s="8">
        <v>40494</v>
      </c>
      <c r="B4904">
        <v>870914.69</v>
      </c>
      <c r="C4904">
        <v>0</v>
      </c>
      <c r="D4904">
        <v>45.9</v>
      </c>
      <c r="E4904">
        <v>2.931</v>
      </c>
      <c r="F4904">
        <v>136.83490320000001</v>
      </c>
      <c r="G4904">
        <v>8.7629999999999999</v>
      </c>
      <c r="N4904" s="8"/>
    </row>
    <row r="4905" spans="1:14" x14ac:dyDescent="0.25">
      <c r="A4905" s="8">
        <v>40501</v>
      </c>
      <c r="B4905">
        <v>846850.35</v>
      </c>
      <c r="C4905">
        <v>0</v>
      </c>
      <c r="D4905">
        <v>50.81</v>
      </c>
      <c r="E4905">
        <v>3</v>
      </c>
      <c r="F4905">
        <v>136.7715714</v>
      </c>
      <c r="G4905">
        <v>8.7629999999999999</v>
      </c>
      <c r="N4905" s="8"/>
    </row>
    <row r="4906" spans="1:14" x14ac:dyDescent="0.25">
      <c r="A4906" s="8">
        <v>40508</v>
      </c>
      <c r="B4906">
        <v>1781866.98</v>
      </c>
      <c r="C4906">
        <v>1</v>
      </c>
      <c r="D4906">
        <v>46.67</v>
      </c>
      <c r="E4906">
        <v>3.0390000000000001</v>
      </c>
      <c r="F4906">
        <v>136.68957140000001</v>
      </c>
      <c r="G4906">
        <v>8.7629999999999999</v>
      </c>
      <c r="N4906" s="8"/>
    </row>
    <row r="4907" spans="1:14" x14ac:dyDescent="0.25">
      <c r="A4907" s="8">
        <v>40515</v>
      </c>
      <c r="B4907">
        <v>982598.88</v>
      </c>
      <c r="C4907">
        <v>0</v>
      </c>
      <c r="D4907">
        <v>41.81</v>
      </c>
      <c r="E4907">
        <v>3.0459999999999998</v>
      </c>
      <c r="F4907">
        <v>136.60757140000001</v>
      </c>
      <c r="G4907">
        <v>8.7629999999999999</v>
      </c>
      <c r="N4907" s="8"/>
    </row>
    <row r="4908" spans="1:14" x14ac:dyDescent="0.25">
      <c r="A4908" s="8">
        <v>40522</v>
      </c>
      <c r="B4908">
        <v>1108580.19</v>
      </c>
      <c r="C4908">
        <v>0</v>
      </c>
      <c r="D4908">
        <v>30.83</v>
      </c>
      <c r="E4908">
        <v>3.109</v>
      </c>
      <c r="F4908">
        <v>136.52557139999999</v>
      </c>
      <c r="G4908">
        <v>8.7629999999999999</v>
      </c>
      <c r="N4908" s="8"/>
    </row>
    <row r="4909" spans="1:14" x14ac:dyDescent="0.25">
      <c r="A4909" s="8">
        <v>40529</v>
      </c>
      <c r="B4909">
        <v>1314987.3999999999</v>
      </c>
      <c r="C4909">
        <v>0</v>
      </c>
      <c r="D4909">
        <v>31.62</v>
      </c>
      <c r="E4909">
        <v>3.14</v>
      </c>
      <c r="F4909">
        <v>136.52928109999999</v>
      </c>
      <c r="G4909">
        <v>8.7629999999999999</v>
      </c>
      <c r="N4909" s="8"/>
    </row>
    <row r="4910" spans="1:14" x14ac:dyDescent="0.25">
      <c r="A4910" s="8">
        <v>40536</v>
      </c>
      <c r="B4910">
        <v>1779236.54</v>
      </c>
      <c r="C4910">
        <v>0</v>
      </c>
      <c r="D4910">
        <v>31.34</v>
      </c>
      <c r="E4910">
        <v>3.141</v>
      </c>
      <c r="F4910">
        <v>136.597273</v>
      </c>
      <c r="G4910">
        <v>8.7629999999999999</v>
      </c>
      <c r="N4910" s="8"/>
    </row>
    <row r="4911" spans="1:14" x14ac:dyDescent="0.25">
      <c r="A4911" s="8">
        <v>40543</v>
      </c>
      <c r="B4911">
        <v>576332.05000000005</v>
      </c>
      <c r="C4911">
        <v>1</v>
      </c>
      <c r="D4911">
        <v>29.59</v>
      </c>
      <c r="E4911">
        <v>3.1789999999999998</v>
      </c>
      <c r="F4911">
        <v>136.66526500000001</v>
      </c>
      <c r="G4911">
        <v>8.7629999999999999</v>
      </c>
      <c r="N4911" s="8"/>
    </row>
    <row r="4912" spans="1:14" x14ac:dyDescent="0.25">
      <c r="A4912" s="8">
        <v>40550</v>
      </c>
      <c r="B4912">
        <v>649289.75</v>
      </c>
      <c r="C4912">
        <v>0</v>
      </c>
      <c r="D4912">
        <v>34.42</v>
      </c>
      <c r="E4912">
        <v>3.1930000000000001</v>
      </c>
      <c r="F4912">
        <v>136.73325689999999</v>
      </c>
      <c r="G4912">
        <v>8.5489999999999995</v>
      </c>
      <c r="N4912" s="8"/>
    </row>
    <row r="4913" spans="1:14" x14ac:dyDescent="0.25">
      <c r="A4913" s="8">
        <v>40557</v>
      </c>
      <c r="B4913">
        <v>687670.78</v>
      </c>
      <c r="C4913">
        <v>0</v>
      </c>
      <c r="D4913">
        <v>25.7</v>
      </c>
      <c r="E4913">
        <v>3.2050000000000001</v>
      </c>
      <c r="F4913">
        <v>136.80347699999999</v>
      </c>
      <c r="G4913">
        <v>8.5489999999999995</v>
      </c>
      <c r="N4913" s="8"/>
    </row>
    <row r="4914" spans="1:14" x14ac:dyDescent="0.25">
      <c r="A4914" s="8">
        <v>40564</v>
      </c>
      <c r="B4914">
        <v>659902.06999999995</v>
      </c>
      <c r="C4914">
        <v>0</v>
      </c>
      <c r="D4914">
        <v>30.13</v>
      </c>
      <c r="E4914">
        <v>3.2290000000000001</v>
      </c>
      <c r="F4914">
        <v>136.88706569999999</v>
      </c>
      <c r="G4914">
        <v>8.5489999999999995</v>
      </c>
      <c r="N4914" s="8"/>
    </row>
    <row r="4915" spans="1:14" x14ac:dyDescent="0.25">
      <c r="A4915" s="8">
        <v>40571</v>
      </c>
      <c r="B4915">
        <v>633289.78</v>
      </c>
      <c r="C4915">
        <v>0</v>
      </c>
      <c r="D4915">
        <v>23.64</v>
      </c>
      <c r="E4915">
        <v>3.2370000000000001</v>
      </c>
      <c r="F4915">
        <v>136.9706544</v>
      </c>
      <c r="G4915">
        <v>8.5489999999999995</v>
      </c>
      <c r="N4915" s="8"/>
    </row>
    <row r="4916" spans="1:14" x14ac:dyDescent="0.25">
      <c r="A4916" s="8">
        <v>40578</v>
      </c>
      <c r="B4916">
        <v>747577.05</v>
      </c>
      <c r="C4916">
        <v>0</v>
      </c>
      <c r="D4916">
        <v>28.7</v>
      </c>
      <c r="E4916">
        <v>3.2309999999999999</v>
      </c>
      <c r="F4916">
        <v>137.05424310000001</v>
      </c>
      <c r="G4916">
        <v>8.5489999999999995</v>
      </c>
      <c r="N4916" s="8"/>
    </row>
    <row r="4917" spans="1:14" x14ac:dyDescent="0.25">
      <c r="A4917" s="8">
        <v>40585</v>
      </c>
      <c r="B4917">
        <v>859258.17</v>
      </c>
      <c r="C4917">
        <v>1</v>
      </c>
      <c r="D4917">
        <v>30.45</v>
      </c>
      <c r="E4917">
        <v>3.2389999999999999</v>
      </c>
      <c r="F4917">
        <v>137.13783179999999</v>
      </c>
      <c r="G4917">
        <v>8.5489999999999995</v>
      </c>
      <c r="N4917" s="8"/>
    </row>
    <row r="4918" spans="1:14" x14ac:dyDescent="0.25">
      <c r="A4918" s="8">
        <v>40592</v>
      </c>
      <c r="B4918">
        <v>865305.88</v>
      </c>
      <c r="C4918">
        <v>0</v>
      </c>
      <c r="D4918">
        <v>39.32</v>
      </c>
      <c r="E4918">
        <v>3.2450000000000001</v>
      </c>
      <c r="F4918">
        <v>137.2511849</v>
      </c>
      <c r="G4918">
        <v>8.5489999999999995</v>
      </c>
      <c r="N4918" s="8"/>
    </row>
    <row r="4919" spans="1:14" x14ac:dyDescent="0.25">
      <c r="A4919" s="8">
        <v>40599</v>
      </c>
      <c r="B4919">
        <v>841129.26</v>
      </c>
      <c r="C4919">
        <v>0</v>
      </c>
      <c r="D4919">
        <v>33.049999999999997</v>
      </c>
      <c r="E4919">
        <v>3.274</v>
      </c>
      <c r="F4919">
        <v>137.3764439</v>
      </c>
      <c r="G4919">
        <v>8.5489999999999995</v>
      </c>
      <c r="N4919" s="8"/>
    </row>
    <row r="4920" spans="1:14" x14ac:dyDescent="0.25">
      <c r="A4920" s="8">
        <v>40606</v>
      </c>
      <c r="B4920">
        <v>850448.54</v>
      </c>
      <c r="C4920">
        <v>0</v>
      </c>
      <c r="D4920">
        <v>36.99</v>
      </c>
      <c r="E4920">
        <v>3.4329999999999998</v>
      </c>
      <c r="F4920">
        <v>137.5017028</v>
      </c>
      <c r="G4920">
        <v>8.5489999999999995</v>
      </c>
      <c r="N4920" s="8"/>
    </row>
    <row r="4921" spans="1:14" x14ac:dyDescent="0.25">
      <c r="A4921" s="8">
        <v>40613</v>
      </c>
      <c r="B4921">
        <v>830601.39</v>
      </c>
      <c r="C4921">
        <v>0</v>
      </c>
      <c r="D4921">
        <v>43.64</v>
      </c>
      <c r="E4921">
        <v>3.5819999999999999</v>
      </c>
      <c r="F4921">
        <v>137.62696170000001</v>
      </c>
      <c r="G4921">
        <v>8.5489999999999995</v>
      </c>
      <c r="N4921" s="8"/>
    </row>
    <row r="4922" spans="1:14" x14ac:dyDescent="0.25">
      <c r="A4922" s="8">
        <v>40620</v>
      </c>
      <c r="B4922">
        <v>800662.82</v>
      </c>
      <c r="C4922">
        <v>0</v>
      </c>
      <c r="D4922">
        <v>46.65</v>
      </c>
      <c r="E4922">
        <v>3.6309999999999998</v>
      </c>
      <c r="F4922">
        <v>137.7398929</v>
      </c>
      <c r="G4922">
        <v>8.5489999999999995</v>
      </c>
      <c r="N4922" s="8"/>
    </row>
    <row r="4923" spans="1:14" x14ac:dyDescent="0.25">
      <c r="A4923" s="8">
        <v>40627</v>
      </c>
      <c r="B4923">
        <v>762184.1</v>
      </c>
      <c r="C4923">
        <v>0</v>
      </c>
      <c r="D4923">
        <v>40.11</v>
      </c>
      <c r="E4923">
        <v>3.625</v>
      </c>
      <c r="F4923">
        <v>137.84789290000001</v>
      </c>
      <c r="G4923">
        <v>8.5489999999999995</v>
      </c>
      <c r="N4923" s="8"/>
    </row>
    <row r="4924" spans="1:14" x14ac:dyDescent="0.25">
      <c r="A4924" s="8">
        <v>40634</v>
      </c>
      <c r="B4924">
        <v>762620.94</v>
      </c>
      <c r="C4924">
        <v>0</v>
      </c>
      <c r="D4924">
        <v>37.270000000000003</v>
      </c>
      <c r="E4924">
        <v>3.6379999999999999</v>
      </c>
      <c r="F4924">
        <v>137.95589290000001</v>
      </c>
      <c r="G4924">
        <v>8.5120000000000005</v>
      </c>
      <c r="N4924" s="8"/>
    </row>
    <row r="4925" spans="1:14" x14ac:dyDescent="0.25">
      <c r="A4925" s="8">
        <v>40641</v>
      </c>
      <c r="B4925">
        <v>813352.41</v>
      </c>
      <c r="C4925">
        <v>0</v>
      </c>
      <c r="D4925">
        <v>46.87</v>
      </c>
      <c r="E4925">
        <v>3.72</v>
      </c>
      <c r="F4925">
        <v>138.06389290000001</v>
      </c>
      <c r="G4925">
        <v>8.5120000000000005</v>
      </c>
      <c r="N4925" s="8"/>
    </row>
    <row r="4926" spans="1:14" x14ac:dyDescent="0.25">
      <c r="A4926" s="8">
        <v>40648</v>
      </c>
      <c r="B4926">
        <v>795157.2</v>
      </c>
      <c r="C4926">
        <v>0</v>
      </c>
      <c r="D4926">
        <v>52.24</v>
      </c>
      <c r="E4926">
        <v>3.8210000000000002</v>
      </c>
      <c r="F4926">
        <v>138.16469520000001</v>
      </c>
      <c r="G4926">
        <v>8.5120000000000005</v>
      </c>
      <c r="N4926" s="8"/>
    </row>
    <row r="4927" spans="1:14" x14ac:dyDescent="0.25">
      <c r="A4927" s="8">
        <v>40655</v>
      </c>
      <c r="B4927">
        <v>841778.34</v>
      </c>
      <c r="C4927">
        <v>0</v>
      </c>
      <c r="D4927">
        <v>50.02</v>
      </c>
      <c r="E4927">
        <v>3.8919999999999999</v>
      </c>
      <c r="F4927">
        <v>138.24750359999999</v>
      </c>
      <c r="G4927">
        <v>8.5120000000000005</v>
      </c>
      <c r="N4927" s="8"/>
    </row>
    <row r="4928" spans="1:14" x14ac:dyDescent="0.25">
      <c r="A4928" s="8">
        <v>40662</v>
      </c>
      <c r="B4928">
        <v>811824.06</v>
      </c>
      <c r="C4928">
        <v>0</v>
      </c>
      <c r="D4928">
        <v>61.71</v>
      </c>
      <c r="E4928">
        <v>3.9620000000000002</v>
      </c>
      <c r="F4928">
        <v>138.3303119</v>
      </c>
      <c r="G4928">
        <v>8.5120000000000005</v>
      </c>
      <c r="N4928" s="8"/>
    </row>
    <row r="4929" spans="1:14" x14ac:dyDescent="0.25">
      <c r="A4929" s="8">
        <v>40669</v>
      </c>
      <c r="B4929">
        <v>835181.18</v>
      </c>
      <c r="C4929">
        <v>0</v>
      </c>
      <c r="D4929">
        <v>56.48</v>
      </c>
      <c r="E4929">
        <v>4.0460000000000003</v>
      </c>
      <c r="F4929">
        <v>138.41312020000001</v>
      </c>
      <c r="G4929">
        <v>8.5120000000000005</v>
      </c>
      <c r="N4929" s="8"/>
    </row>
    <row r="4930" spans="1:14" x14ac:dyDescent="0.25">
      <c r="A4930" s="8">
        <v>40676</v>
      </c>
      <c r="B4930">
        <v>826155.95</v>
      </c>
      <c r="C4930">
        <v>0</v>
      </c>
      <c r="D4930">
        <v>60.07</v>
      </c>
      <c r="E4930">
        <v>4.0659999999999998</v>
      </c>
      <c r="F4930">
        <v>138.49592860000001</v>
      </c>
      <c r="G4930">
        <v>8.5120000000000005</v>
      </c>
      <c r="N4930" s="8"/>
    </row>
    <row r="4931" spans="1:14" x14ac:dyDescent="0.25">
      <c r="A4931" s="8">
        <v>40683</v>
      </c>
      <c r="B4931">
        <v>776838.56</v>
      </c>
      <c r="C4931">
        <v>0</v>
      </c>
      <c r="D4931">
        <v>60.22</v>
      </c>
      <c r="E4931">
        <v>4.0620000000000003</v>
      </c>
      <c r="F4931">
        <v>138.58710600000001</v>
      </c>
      <c r="G4931">
        <v>8.5120000000000005</v>
      </c>
      <c r="N4931" s="8"/>
    </row>
    <row r="4932" spans="1:14" x14ac:dyDescent="0.25">
      <c r="A4932" s="8">
        <v>40690</v>
      </c>
      <c r="B4932">
        <v>850708.6</v>
      </c>
      <c r="C4932">
        <v>0</v>
      </c>
      <c r="D4932">
        <v>66.430000000000007</v>
      </c>
      <c r="E4932">
        <v>3.9849999999999999</v>
      </c>
      <c r="F4932">
        <v>138.6782834</v>
      </c>
      <c r="G4932">
        <v>8.5120000000000005</v>
      </c>
      <c r="N4932" s="8"/>
    </row>
    <row r="4933" spans="1:14" x14ac:dyDescent="0.25">
      <c r="A4933" s="8">
        <v>40697</v>
      </c>
      <c r="B4933">
        <v>955466.84</v>
      </c>
      <c r="C4933">
        <v>0</v>
      </c>
      <c r="D4933">
        <v>74.17</v>
      </c>
      <c r="E4933">
        <v>3.9220000000000002</v>
      </c>
      <c r="F4933">
        <v>138.76946079999999</v>
      </c>
      <c r="G4933">
        <v>8.5120000000000005</v>
      </c>
      <c r="N4933" s="8"/>
    </row>
    <row r="4934" spans="1:14" x14ac:dyDescent="0.25">
      <c r="A4934" s="8">
        <v>40704</v>
      </c>
      <c r="B4934">
        <v>855130.21</v>
      </c>
      <c r="C4934">
        <v>0</v>
      </c>
      <c r="D4934">
        <v>73.260000000000005</v>
      </c>
      <c r="E4934">
        <v>3.8809999999999998</v>
      </c>
      <c r="F4934">
        <v>138.86063820000001</v>
      </c>
      <c r="G4934">
        <v>8.5120000000000005</v>
      </c>
      <c r="N4934" s="8"/>
    </row>
    <row r="4935" spans="1:14" x14ac:dyDescent="0.25">
      <c r="A4935" s="8">
        <v>40711</v>
      </c>
      <c r="B4935">
        <v>828594.86</v>
      </c>
      <c r="C4935">
        <v>0</v>
      </c>
      <c r="D4935">
        <v>67.03</v>
      </c>
      <c r="E4935">
        <v>3.8420000000000001</v>
      </c>
      <c r="F4935">
        <v>139.00283329999999</v>
      </c>
      <c r="G4935">
        <v>8.5120000000000005</v>
      </c>
      <c r="N4935" s="8"/>
    </row>
    <row r="4936" spans="1:14" x14ac:dyDescent="0.25">
      <c r="A4936" s="8">
        <v>40718</v>
      </c>
      <c r="B4936">
        <v>849397.57</v>
      </c>
      <c r="C4936">
        <v>0</v>
      </c>
      <c r="D4936">
        <v>72.02</v>
      </c>
      <c r="E4936">
        <v>3.8039999999999998</v>
      </c>
      <c r="F4936">
        <v>139.18329170000001</v>
      </c>
      <c r="G4936">
        <v>8.5120000000000005</v>
      </c>
      <c r="N4936" s="8"/>
    </row>
    <row r="4937" spans="1:14" x14ac:dyDescent="0.25">
      <c r="A4937" s="8">
        <v>40725</v>
      </c>
      <c r="B4937">
        <v>874453.88</v>
      </c>
      <c r="C4937">
        <v>0</v>
      </c>
      <c r="D4937">
        <v>73.760000000000005</v>
      </c>
      <c r="E4937">
        <v>3.7480000000000002</v>
      </c>
      <c r="F4937">
        <v>139.36375000000001</v>
      </c>
      <c r="G4937">
        <v>8.6839999999999993</v>
      </c>
      <c r="N4937" s="8"/>
    </row>
    <row r="4938" spans="1:14" x14ac:dyDescent="0.25">
      <c r="A4938" s="8">
        <v>40732</v>
      </c>
      <c r="B4938">
        <v>827717.85</v>
      </c>
      <c r="C4938">
        <v>0</v>
      </c>
      <c r="D4938">
        <v>76.87</v>
      </c>
      <c r="E4938">
        <v>3.7109999999999999</v>
      </c>
      <c r="F4938">
        <v>139.54420830000001</v>
      </c>
      <c r="G4938">
        <v>8.6839999999999993</v>
      </c>
      <c r="N4938" s="8"/>
    </row>
    <row r="4939" spans="1:14" x14ac:dyDescent="0.25">
      <c r="A4939" s="8">
        <v>40739</v>
      </c>
      <c r="B4939">
        <v>813845.5</v>
      </c>
      <c r="C4939">
        <v>0</v>
      </c>
      <c r="D4939">
        <v>77.83</v>
      </c>
      <c r="E4939">
        <v>3.76</v>
      </c>
      <c r="F4939">
        <v>139.70063250000001</v>
      </c>
      <c r="G4939">
        <v>8.6839999999999993</v>
      </c>
      <c r="N4939" s="8"/>
    </row>
    <row r="4940" spans="1:14" x14ac:dyDescent="0.25">
      <c r="A4940" s="8">
        <v>40746</v>
      </c>
      <c r="B4940">
        <v>820188.42</v>
      </c>
      <c r="C4940">
        <v>0</v>
      </c>
      <c r="D4940">
        <v>82.28</v>
      </c>
      <c r="E4940">
        <v>3.8109999999999999</v>
      </c>
      <c r="F4940">
        <v>139.7969712</v>
      </c>
      <c r="G4940">
        <v>8.6839999999999993</v>
      </c>
      <c r="N4940" s="8"/>
    </row>
    <row r="4941" spans="1:14" x14ac:dyDescent="0.25">
      <c r="A4941" s="8">
        <v>40753</v>
      </c>
      <c r="B4941">
        <v>770820.27</v>
      </c>
      <c r="C4941">
        <v>0</v>
      </c>
      <c r="D4941">
        <v>79.41</v>
      </c>
      <c r="E4941">
        <v>3.8290000000000002</v>
      </c>
      <c r="F4941">
        <v>139.89330989999999</v>
      </c>
      <c r="G4941">
        <v>8.6839999999999993</v>
      </c>
      <c r="N4941" s="8"/>
    </row>
    <row r="4942" spans="1:14" x14ac:dyDescent="0.25">
      <c r="A4942" s="8">
        <v>40760</v>
      </c>
      <c r="B4942">
        <v>826820.71</v>
      </c>
      <c r="C4942">
        <v>0</v>
      </c>
      <c r="D4942">
        <v>78.14</v>
      </c>
      <c r="E4942">
        <v>3.8420000000000001</v>
      </c>
      <c r="F4942">
        <v>139.98964860000001</v>
      </c>
      <c r="G4942">
        <v>8.6839999999999993</v>
      </c>
      <c r="N4942" s="8"/>
    </row>
    <row r="4943" spans="1:14" x14ac:dyDescent="0.25">
      <c r="A4943" s="8">
        <v>40767</v>
      </c>
      <c r="B4943">
        <v>819911.89</v>
      </c>
      <c r="C4943">
        <v>0</v>
      </c>
      <c r="D4943">
        <v>76.67</v>
      </c>
      <c r="E4943">
        <v>3.8119999999999998</v>
      </c>
      <c r="F4943">
        <v>140.0859873</v>
      </c>
      <c r="G4943">
        <v>8.6839999999999993</v>
      </c>
      <c r="N4943" s="8"/>
    </row>
    <row r="4944" spans="1:14" x14ac:dyDescent="0.25">
      <c r="A4944" s="8">
        <v>40774</v>
      </c>
      <c r="B4944">
        <v>820288.35</v>
      </c>
      <c r="C4944">
        <v>0</v>
      </c>
      <c r="D4944">
        <v>72.97</v>
      </c>
      <c r="E4944">
        <v>3.7469999999999999</v>
      </c>
      <c r="F4944">
        <v>140.12892049999999</v>
      </c>
      <c r="G4944">
        <v>8.6839999999999993</v>
      </c>
      <c r="N4944" s="8"/>
    </row>
    <row r="4945" spans="1:14" x14ac:dyDescent="0.25">
      <c r="A4945" s="8">
        <v>40781</v>
      </c>
      <c r="B4945">
        <v>897037.25</v>
      </c>
      <c r="C4945">
        <v>0</v>
      </c>
      <c r="D4945">
        <v>72.88</v>
      </c>
      <c r="E4945">
        <v>3.7040000000000002</v>
      </c>
      <c r="F4945">
        <v>140.1629528</v>
      </c>
      <c r="G4945">
        <v>8.6839999999999993</v>
      </c>
      <c r="N4945" s="8"/>
    </row>
    <row r="4946" spans="1:14" x14ac:dyDescent="0.25">
      <c r="A4946" s="8">
        <v>40788</v>
      </c>
      <c r="B4946">
        <v>813486.55</v>
      </c>
      <c r="C4946">
        <v>0</v>
      </c>
      <c r="D4946">
        <v>71.44</v>
      </c>
      <c r="E4946">
        <v>3.7029999999999998</v>
      </c>
      <c r="F4946">
        <v>140.19698500000001</v>
      </c>
      <c r="G4946">
        <v>8.6839999999999993</v>
      </c>
      <c r="N4946" s="8"/>
    </row>
    <row r="4947" spans="1:14" x14ac:dyDescent="0.25">
      <c r="A4947" s="8">
        <v>40795</v>
      </c>
      <c r="B4947">
        <v>922440.64</v>
      </c>
      <c r="C4947">
        <v>1</v>
      </c>
      <c r="D4947">
        <v>70.930000000000007</v>
      </c>
      <c r="E4947">
        <v>3.738</v>
      </c>
      <c r="F4947">
        <v>140.23101729999999</v>
      </c>
      <c r="G4947">
        <v>8.6839999999999993</v>
      </c>
      <c r="N4947" s="8"/>
    </row>
    <row r="4948" spans="1:14" x14ac:dyDescent="0.25">
      <c r="A4948" s="8">
        <v>40802</v>
      </c>
      <c r="B4948">
        <v>738792.11</v>
      </c>
      <c r="C4948">
        <v>0</v>
      </c>
      <c r="D4948">
        <v>69.650000000000006</v>
      </c>
      <c r="E4948">
        <v>3.742</v>
      </c>
      <c r="F4948">
        <v>140.27350000000001</v>
      </c>
      <c r="G4948">
        <v>8.6839999999999993</v>
      </c>
      <c r="N4948" s="8"/>
    </row>
    <row r="4949" spans="1:14" x14ac:dyDescent="0.25">
      <c r="A4949" s="8">
        <v>40809</v>
      </c>
      <c r="B4949">
        <v>705802.45</v>
      </c>
      <c r="C4949">
        <v>0</v>
      </c>
      <c r="D4949">
        <v>63.61</v>
      </c>
      <c r="E4949">
        <v>3.7109999999999999</v>
      </c>
      <c r="F4949">
        <v>140.32724999999999</v>
      </c>
      <c r="G4949">
        <v>8.6839999999999993</v>
      </c>
      <c r="N4949" s="8"/>
    </row>
    <row r="4950" spans="1:14" x14ac:dyDescent="0.25">
      <c r="A4950" s="8">
        <v>40816</v>
      </c>
      <c r="B4950">
        <v>749676.95</v>
      </c>
      <c r="C4950">
        <v>0</v>
      </c>
      <c r="D4950">
        <v>70.92</v>
      </c>
      <c r="E4950">
        <v>3.645</v>
      </c>
      <c r="F4950">
        <v>140.381</v>
      </c>
      <c r="G4950">
        <v>8.6839999999999993</v>
      </c>
      <c r="N4950" s="8"/>
    </row>
    <row r="4951" spans="1:14" x14ac:dyDescent="0.25">
      <c r="A4951" s="8">
        <v>40823</v>
      </c>
      <c r="B4951">
        <v>791637.53</v>
      </c>
      <c r="C4951">
        <v>0</v>
      </c>
      <c r="D4951">
        <v>56.91</v>
      </c>
      <c r="E4951">
        <v>3.5830000000000002</v>
      </c>
      <c r="F4951">
        <v>140.43475000000001</v>
      </c>
      <c r="G4951">
        <v>8.7449999999999992</v>
      </c>
      <c r="N4951" s="8"/>
    </row>
    <row r="4952" spans="1:14" x14ac:dyDescent="0.25">
      <c r="A4952" s="8">
        <v>40830</v>
      </c>
      <c r="B4952">
        <v>772859.25</v>
      </c>
      <c r="C4952">
        <v>0</v>
      </c>
      <c r="D4952">
        <v>64.78</v>
      </c>
      <c r="E4952">
        <v>3.5409999999999999</v>
      </c>
      <c r="F4952">
        <v>140.47841940000001</v>
      </c>
      <c r="G4952">
        <v>8.7449999999999992</v>
      </c>
      <c r="N4952" s="8"/>
    </row>
    <row r="4953" spans="1:14" x14ac:dyDescent="0.25">
      <c r="A4953" s="8">
        <v>40837</v>
      </c>
      <c r="B4953">
        <v>811328.4</v>
      </c>
      <c r="C4953">
        <v>0</v>
      </c>
      <c r="D4953">
        <v>59.62</v>
      </c>
      <c r="E4953">
        <v>3.57</v>
      </c>
      <c r="F4953">
        <v>140.4616048</v>
      </c>
      <c r="G4953">
        <v>8.7449999999999992</v>
      </c>
      <c r="N4953" s="8"/>
    </row>
    <row r="4954" spans="1:14" x14ac:dyDescent="0.25">
      <c r="A4954" s="8">
        <v>40844</v>
      </c>
      <c r="B4954">
        <v>808821.5</v>
      </c>
      <c r="C4954">
        <v>0</v>
      </c>
      <c r="D4954">
        <v>51.81</v>
      </c>
      <c r="E4954">
        <v>3.569</v>
      </c>
      <c r="F4954">
        <v>140.44479029999999</v>
      </c>
      <c r="G4954">
        <v>8.7449999999999992</v>
      </c>
      <c r="N4954" s="8"/>
    </row>
    <row r="4955" spans="1:14" x14ac:dyDescent="0.25">
      <c r="A4955" s="8">
        <v>40851</v>
      </c>
      <c r="B4955">
        <v>653468.75</v>
      </c>
      <c r="C4955">
        <v>0</v>
      </c>
      <c r="D4955">
        <v>44.46</v>
      </c>
      <c r="E4955">
        <v>3.5510000000000002</v>
      </c>
      <c r="F4955">
        <v>140.42797580000001</v>
      </c>
      <c r="G4955">
        <v>8.7449999999999992</v>
      </c>
      <c r="N4955" s="8"/>
    </row>
    <row r="4956" spans="1:14" x14ac:dyDescent="0.25">
      <c r="A4956" s="8">
        <v>40858</v>
      </c>
      <c r="B4956">
        <v>880576.33</v>
      </c>
      <c r="C4956">
        <v>0</v>
      </c>
      <c r="D4956">
        <v>49.69</v>
      </c>
      <c r="E4956">
        <v>3.53</v>
      </c>
      <c r="F4956">
        <v>140.4111613</v>
      </c>
      <c r="G4956">
        <v>8.7449999999999992</v>
      </c>
      <c r="N4956" s="8"/>
    </row>
    <row r="4957" spans="1:14" x14ac:dyDescent="0.25">
      <c r="A4957" s="8">
        <v>40865</v>
      </c>
      <c r="B4957">
        <v>820964.1</v>
      </c>
      <c r="C4957">
        <v>0</v>
      </c>
      <c r="D4957">
        <v>51.42</v>
      </c>
      <c r="E4957">
        <v>3.53</v>
      </c>
      <c r="F4957">
        <v>140.4127857</v>
      </c>
      <c r="G4957">
        <v>8.7449999999999992</v>
      </c>
      <c r="N4957" s="8"/>
    </row>
    <row r="4958" spans="1:14" x14ac:dyDescent="0.25">
      <c r="A4958" s="8">
        <v>40872</v>
      </c>
      <c r="B4958">
        <v>1733822.4</v>
      </c>
      <c r="C4958">
        <v>1</v>
      </c>
      <c r="D4958">
        <v>47.88</v>
      </c>
      <c r="E4958">
        <v>3.492</v>
      </c>
      <c r="F4958">
        <v>140.42178569999999</v>
      </c>
      <c r="G4958">
        <v>8.7449999999999992</v>
      </c>
      <c r="N4958" s="8"/>
    </row>
    <row r="4959" spans="1:14" x14ac:dyDescent="0.25">
      <c r="A4959" s="8">
        <v>40879</v>
      </c>
      <c r="B4959">
        <v>903606.03</v>
      </c>
      <c r="C4959">
        <v>0</v>
      </c>
      <c r="D4959">
        <v>50.55</v>
      </c>
      <c r="E4959">
        <v>3.452</v>
      </c>
      <c r="F4959">
        <v>140.4307857</v>
      </c>
      <c r="G4959">
        <v>8.7449999999999992</v>
      </c>
      <c r="N4959" s="8"/>
    </row>
    <row r="4960" spans="1:14" x14ac:dyDescent="0.25">
      <c r="A4960" s="8">
        <v>40886</v>
      </c>
      <c r="B4960">
        <v>948964.99</v>
      </c>
      <c r="C4960">
        <v>0</v>
      </c>
      <c r="D4960">
        <v>46.28</v>
      </c>
      <c r="E4960">
        <v>3.415</v>
      </c>
      <c r="F4960">
        <v>140.43978569999999</v>
      </c>
      <c r="G4960">
        <v>8.7449999999999992</v>
      </c>
      <c r="N4960" s="8"/>
    </row>
    <row r="4961" spans="1:14" x14ac:dyDescent="0.25">
      <c r="A4961" s="8">
        <v>40893</v>
      </c>
      <c r="B4961">
        <v>1115255.6499999999</v>
      </c>
      <c r="C4961">
        <v>0</v>
      </c>
      <c r="D4961">
        <v>40.68</v>
      </c>
      <c r="E4961">
        <v>3.4129999999999998</v>
      </c>
      <c r="F4961">
        <v>140.4700795</v>
      </c>
      <c r="G4961">
        <v>8.7449999999999992</v>
      </c>
      <c r="N4961" s="8"/>
    </row>
    <row r="4962" spans="1:14" x14ac:dyDescent="0.25">
      <c r="A4962" s="8">
        <v>40900</v>
      </c>
      <c r="B4962">
        <v>1550214.02</v>
      </c>
      <c r="C4962">
        <v>0</v>
      </c>
      <c r="D4962">
        <v>41.59</v>
      </c>
      <c r="E4962">
        <v>3.3889999999999998</v>
      </c>
      <c r="F4962">
        <v>140.52876499999999</v>
      </c>
      <c r="G4962">
        <v>8.7449999999999992</v>
      </c>
      <c r="N4962" s="8"/>
    </row>
    <row r="4963" spans="1:14" x14ac:dyDescent="0.25">
      <c r="A4963" s="8">
        <v>40907</v>
      </c>
      <c r="B4963">
        <v>904650.55</v>
      </c>
      <c r="C4963">
        <v>1</v>
      </c>
      <c r="D4963">
        <v>37.85</v>
      </c>
      <c r="E4963">
        <v>3.3889999999999998</v>
      </c>
      <c r="F4963">
        <v>140.58745049999999</v>
      </c>
      <c r="G4963">
        <v>8.7449999999999992</v>
      </c>
      <c r="N4963" s="8"/>
    </row>
    <row r="4964" spans="1:14" x14ac:dyDescent="0.25">
      <c r="A4964" s="8">
        <v>40914</v>
      </c>
      <c r="B4964">
        <v>671708.09</v>
      </c>
      <c r="C4964">
        <v>0</v>
      </c>
      <c r="D4964">
        <v>35.799999999999997</v>
      </c>
      <c r="E4964">
        <v>3.4220000000000002</v>
      </c>
      <c r="F4964">
        <v>140.64613589999999</v>
      </c>
      <c r="G4964">
        <v>8.7439999999999998</v>
      </c>
      <c r="N4964" s="8"/>
    </row>
    <row r="4965" spans="1:14" x14ac:dyDescent="0.25">
      <c r="A4965" s="8">
        <v>40921</v>
      </c>
      <c r="B4965">
        <v>625135.11</v>
      </c>
      <c r="C4965">
        <v>0</v>
      </c>
      <c r="D4965">
        <v>41.3</v>
      </c>
      <c r="E4965">
        <v>3.5129999999999999</v>
      </c>
      <c r="F4965">
        <v>140.70482139999999</v>
      </c>
      <c r="G4965">
        <v>8.7439999999999998</v>
      </c>
      <c r="N4965" s="8"/>
    </row>
    <row r="4966" spans="1:14" x14ac:dyDescent="0.25">
      <c r="A4966" s="8">
        <v>40928</v>
      </c>
      <c r="B4966">
        <v>669850.04</v>
      </c>
      <c r="C4966">
        <v>0</v>
      </c>
      <c r="D4966">
        <v>30.35</v>
      </c>
      <c r="E4966">
        <v>3.5329999999999999</v>
      </c>
      <c r="F4966">
        <v>140.80861179999999</v>
      </c>
      <c r="G4966">
        <v>8.7439999999999998</v>
      </c>
      <c r="N4966" s="8"/>
    </row>
    <row r="4967" spans="1:14" x14ac:dyDescent="0.25">
      <c r="A4967" s="8">
        <v>40935</v>
      </c>
      <c r="B4967">
        <v>588722.99</v>
      </c>
      <c r="C4967">
        <v>0</v>
      </c>
      <c r="D4967">
        <v>36.96</v>
      </c>
      <c r="E4967">
        <v>3.5670000000000002</v>
      </c>
      <c r="F4967">
        <v>140.91240210000001</v>
      </c>
      <c r="G4967">
        <v>8.7439999999999998</v>
      </c>
      <c r="N4967" s="8"/>
    </row>
    <row r="4968" spans="1:14" x14ac:dyDescent="0.25">
      <c r="A4968" s="8">
        <v>40942</v>
      </c>
      <c r="B4968">
        <v>746901.03</v>
      </c>
      <c r="C4968">
        <v>0</v>
      </c>
      <c r="D4968">
        <v>42.52</v>
      </c>
      <c r="E4968">
        <v>3.617</v>
      </c>
      <c r="F4968">
        <v>141.01619239999999</v>
      </c>
      <c r="G4968">
        <v>8.7439999999999998</v>
      </c>
      <c r="N4968" s="8"/>
    </row>
    <row r="4969" spans="1:14" x14ac:dyDescent="0.25">
      <c r="A4969" s="8">
        <v>40949</v>
      </c>
      <c r="B4969">
        <v>849779.14</v>
      </c>
      <c r="C4969">
        <v>1</v>
      </c>
      <c r="D4969">
        <v>37.86</v>
      </c>
      <c r="E4969">
        <v>3.64</v>
      </c>
      <c r="F4969">
        <v>141.11998270000001</v>
      </c>
      <c r="G4969">
        <v>8.7439999999999998</v>
      </c>
      <c r="N4969" s="8"/>
    </row>
    <row r="4970" spans="1:14" x14ac:dyDescent="0.25">
      <c r="A4970" s="8">
        <v>40956</v>
      </c>
      <c r="B4970">
        <v>824568.39</v>
      </c>
      <c r="C4970">
        <v>0</v>
      </c>
      <c r="D4970">
        <v>37.24</v>
      </c>
      <c r="E4970">
        <v>3.6949999999999998</v>
      </c>
      <c r="F4970">
        <v>141.21403570000001</v>
      </c>
      <c r="G4970">
        <v>8.7439999999999998</v>
      </c>
      <c r="N4970" s="8"/>
    </row>
    <row r="4971" spans="1:14" x14ac:dyDescent="0.25">
      <c r="A4971" s="8">
        <v>40963</v>
      </c>
      <c r="B4971">
        <v>805028.74</v>
      </c>
      <c r="C4971">
        <v>0</v>
      </c>
      <c r="D4971">
        <v>41.74</v>
      </c>
      <c r="E4971">
        <v>3.7389999999999999</v>
      </c>
      <c r="F4971">
        <v>141.30078570000001</v>
      </c>
      <c r="G4971">
        <v>8.7439999999999998</v>
      </c>
      <c r="N4971" s="8"/>
    </row>
    <row r="4972" spans="1:14" x14ac:dyDescent="0.25">
      <c r="A4972" s="8">
        <v>40970</v>
      </c>
      <c r="B4972">
        <v>766571.1</v>
      </c>
      <c r="C4972">
        <v>0</v>
      </c>
      <c r="D4972">
        <v>40.07</v>
      </c>
      <c r="E4972">
        <v>3.8159999999999998</v>
      </c>
      <c r="F4972">
        <v>141.3875357</v>
      </c>
      <c r="G4972">
        <v>8.7439999999999998</v>
      </c>
      <c r="N4972" s="8"/>
    </row>
    <row r="4973" spans="1:14" x14ac:dyDescent="0.25">
      <c r="A4973" s="8">
        <v>40977</v>
      </c>
      <c r="B4973">
        <v>796351.35</v>
      </c>
      <c r="C4973">
        <v>0</v>
      </c>
      <c r="D4973">
        <v>44.32</v>
      </c>
      <c r="E4973">
        <v>3.8479999999999999</v>
      </c>
      <c r="F4973">
        <v>141.4742857</v>
      </c>
      <c r="G4973">
        <v>8.7439999999999998</v>
      </c>
      <c r="N4973" s="8"/>
    </row>
    <row r="4974" spans="1:14" x14ac:dyDescent="0.25">
      <c r="A4974" s="8">
        <v>40984</v>
      </c>
      <c r="B4974">
        <v>793045.82</v>
      </c>
      <c r="C4974">
        <v>0</v>
      </c>
      <c r="D4974">
        <v>49.6</v>
      </c>
      <c r="E4974">
        <v>3.8620000000000001</v>
      </c>
      <c r="F4974">
        <v>141.55477999999999</v>
      </c>
      <c r="G4974">
        <v>8.7439999999999998</v>
      </c>
      <c r="N4974" s="8"/>
    </row>
    <row r="4975" spans="1:14" x14ac:dyDescent="0.25">
      <c r="A4975" s="8">
        <v>40991</v>
      </c>
      <c r="B4975">
        <v>760671.1</v>
      </c>
      <c r="C4975">
        <v>0</v>
      </c>
      <c r="D4975">
        <v>57.3</v>
      </c>
      <c r="E4975">
        <v>3.9</v>
      </c>
      <c r="F4975">
        <v>141.6269332</v>
      </c>
      <c r="G4975">
        <v>8.7439999999999998</v>
      </c>
      <c r="N4975" s="8"/>
    </row>
    <row r="4976" spans="1:14" x14ac:dyDescent="0.25">
      <c r="A4976" s="8">
        <v>40998</v>
      </c>
      <c r="B4976">
        <v>744525.69</v>
      </c>
      <c r="C4976">
        <v>0</v>
      </c>
      <c r="D4976">
        <v>49.4</v>
      </c>
      <c r="E4976">
        <v>3.9529999999999998</v>
      </c>
      <c r="F4976">
        <v>141.6990864</v>
      </c>
      <c r="G4976">
        <v>8.7439999999999998</v>
      </c>
      <c r="N4976" s="8"/>
    </row>
    <row r="4977" spans="1:14" x14ac:dyDescent="0.25">
      <c r="A4977" s="8">
        <v>41005</v>
      </c>
      <c r="B4977">
        <v>860293.46</v>
      </c>
      <c r="C4977">
        <v>0</v>
      </c>
      <c r="D4977">
        <v>48.73</v>
      </c>
      <c r="E4977">
        <v>3.996</v>
      </c>
      <c r="F4977">
        <v>141.7712396</v>
      </c>
      <c r="G4977">
        <v>8.8759999999999994</v>
      </c>
      <c r="N4977" s="8"/>
    </row>
    <row r="4978" spans="1:14" x14ac:dyDescent="0.25">
      <c r="A4978" s="8">
        <v>41012</v>
      </c>
      <c r="B4978">
        <v>788633.42</v>
      </c>
      <c r="C4978">
        <v>0</v>
      </c>
      <c r="D4978">
        <v>52.22</v>
      </c>
      <c r="E4978">
        <v>4.0439999999999996</v>
      </c>
      <c r="F4978">
        <v>141.8433929</v>
      </c>
      <c r="G4978">
        <v>8.8759999999999994</v>
      </c>
      <c r="N4978" s="8"/>
    </row>
    <row r="4979" spans="1:14" x14ac:dyDescent="0.25">
      <c r="A4979" s="8">
        <v>41019</v>
      </c>
      <c r="B4979">
        <v>794660.24</v>
      </c>
      <c r="C4979">
        <v>0</v>
      </c>
      <c r="D4979">
        <v>62.62</v>
      </c>
      <c r="E4979">
        <v>4.0270000000000001</v>
      </c>
      <c r="F4979">
        <v>141.90152620000001</v>
      </c>
      <c r="G4979">
        <v>8.8759999999999994</v>
      </c>
      <c r="N4979" s="8"/>
    </row>
    <row r="4980" spans="1:14" x14ac:dyDescent="0.25">
      <c r="A4980" s="8">
        <v>41026</v>
      </c>
      <c r="B4980">
        <v>721212.45</v>
      </c>
      <c r="C4980">
        <v>0</v>
      </c>
      <c r="D4980">
        <v>52.33</v>
      </c>
      <c r="E4980">
        <v>4.0039999999999996</v>
      </c>
      <c r="F4980">
        <v>141.95965949999999</v>
      </c>
      <c r="G4980">
        <v>8.8759999999999994</v>
      </c>
      <c r="N4980" s="8"/>
    </row>
    <row r="4981" spans="1:14" x14ac:dyDescent="0.25">
      <c r="A4981" s="8">
        <v>41033</v>
      </c>
      <c r="B4981">
        <v>772036.6</v>
      </c>
      <c r="C4981">
        <v>0</v>
      </c>
      <c r="D4981">
        <v>53.68</v>
      </c>
      <c r="E4981">
        <v>3.9510000000000001</v>
      </c>
      <c r="F4981">
        <v>142.01779289999999</v>
      </c>
      <c r="G4981">
        <v>8.8759999999999994</v>
      </c>
      <c r="N4981" s="8"/>
    </row>
    <row r="4982" spans="1:14" x14ac:dyDescent="0.25">
      <c r="A4982" s="8">
        <v>41040</v>
      </c>
      <c r="B4982">
        <v>802383.63</v>
      </c>
      <c r="C4982">
        <v>0</v>
      </c>
      <c r="D4982">
        <v>58.97</v>
      </c>
      <c r="E4982">
        <v>3.8889999999999998</v>
      </c>
      <c r="F4982">
        <v>142.0759262</v>
      </c>
      <c r="G4982">
        <v>8.8759999999999994</v>
      </c>
      <c r="N4982" s="8"/>
    </row>
    <row r="4983" spans="1:14" x14ac:dyDescent="0.25">
      <c r="A4983" s="8">
        <v>41047</v>
      </c>
      <c r="B4983">
        <v>819196.68</v>
      </c>
      <c r="C4983">
        <v>0</v>
      </c>
      <c r="D4983">
        <v>65.150000000000006</v>
      </c>
      <c r="E4983">
        <v>3.8479999999999999</v>
      </c>
      <c r="F4983">
        <v>142.09701150000001</v>
      </c>
      <c r="G4983">
        <v>8.8759999999999994</v>
      </c>
      <c r="N4983" s="8"/>
    </row>
    <row r="4984" spans="1:14" x14ac:dyDescent="0.25">
      <c r="A4984" s="8">
        <v>41054</v>
      </c>
      <c r="B4984">
        <v>822167.17</v>
      </c>
      <c r="C4984">
        <v>0</v>
      </c>
      <c r="D4984">
        <v>64.77</v>
      </c>
      <c r="E4984">
        <v>3.798</v>
      </c>
      <c r="F4984">
        <v>142.10327760000001</v>
      </c>
      <c r="G4984">
        <v>8.8759999999999994</v>
      </c>
      <c r="N4984" s="8"/>
    </row>
    <row r="4985" spans="1:14" x14ac:dyDescent="0.25">
      <c r="A4985" s="8">
        <v>41061</v>
      </c>
      <c r="B4985">
        <v>932195.52</v>
      </c>
      <c r="C4985">
        <v>0</v>
      </c>
      <c r="D4985">
        <v>73.400000000000006</v>
      </c>
      <c r="E4985">
        <v>3.742</v>
      </c>
      <c r="F4985">
        <v>142.10954380000001</v>
      </c>
      <c r="G4985">
        <v>8.8759999999999994</v>
      </c>
      <c r="N4985" s="8"/>
    </row>
    <row r="4986" spans="1:14" x14ac:dyDescent="0.25">
      <c r="A4986" s="8">
        <v>41068</v>
      </c>
      <c r="B4986">
        <v>873415.01</v>
      </c>
      <c r="C4986">
        <v>0</v>
      </c>
      <c r="D4986">
        <v>64.05</v>
      </c>
      <c r="E4986">
        <v>3.6890000000000001</v>
      </c>
      <c r="F4986">
        <v>142.11580989999999</v>
      </c>
      <c r="G4986">
        <v>8.8759999999999994</v>
      </c>
      <c r="N4986" s="8"/>
    </row>
    <row r="4987" spans="1:14" x14ac:dyDescent="0.25">
      <c r="A4987" s="8">
        <v>41075</v>
      </c>
      <c r="B4987">
        <v>848289.41</v>
      </c>
      <c r="C4987">
        <v>0</v>
      </c>
      <c r="D4987">
        <v>69.52</v>
      </c>
      <c r="E4987">
        <v>3.62</v>
      </c>
      <c r="F4987">
        <v>142.12925480000001</v>
      </c>
      <c r="G4987">
        <v>8.8759999999999994</v>
      </c>
      <c r="N4987" s="8"/>
    </row>
    <row r="4988" spans="1:14" x14ac:dyDescent="0.25">
      <c r="A4988" s="8">
        <v>41082</v>
      </c>
      <c r="B4988">
        <v>911696</v>
      </c>
      <c r="C4988">
        <v>0</v>
      </c>
      <c r="D4988">
        <v>73.23</v>
      </c>
      <c r="E4988">
        <v>3.5640000000000001</v>
      </c>
      <c r="F4988">
        <v>142.16064639999999</v>
      </c>
      <c r="G4988">
        <v>8.8759999999999994</v>
      </c>
      <c r="N4988" s="8"/>
    </row>
    <row r="4989" spans="1:14" x14ac:dyDescent="0.25">
      <c r="A4989" s="8">
        <v>41089</v>
      </c>
      <c r="B4989">
        <v>892133.41</v>
      </c>
      <c r="C4989">
        <v>0</v>
      </c>
      <c r="D4989">
        <v>73.94</v>
      </c>
      <c r="E4989">
        <v>3.5059999999999998</v>
      </c>
      <c r="F4989">
        <v>142.19203809999999</v>
      </c>
      <c r="G4989">
        <v>8.8759999999999994</v>
      </c>
      <c r="N4989" s="8"/>
    </row>
    <row r="4990" spans="1:14" x14ac:dyDescent="0.25">
      <c r="A4990" s="8">
        <v>41096</v>
      </c>
      <c r="B4990">
        <v>985479.64</v>
      </c>
      <c r="C4990">
        <v>0</v>
      </c>
      <c r="D4990">
        <v>82.08</v>
      </c>
      <c r="E4990">
        <v>3.4750000000000001</v>
      </c>
      <c r="F4990">
        <v>142.22342979999999</v>
      </c>
      <c r="G4990">
        <v>8.8390000000000004</v>
      </c>
      <c r="N4990" s="8"/>
    </row>
    <row r="4991" spans="1:14" x14ac:dyDescent="0.25">
      <c r="A4991" s="8">
        <v>41103</v>
      </c>
      <c r="B4991">
        <v>825763.48</v>
      </c>
      <c r="C4991">
        <v>0</v>
      </c>
      <c r="D4991">
        <v>78.95</v>
      </c>
      <c r="E4991">
        <v>3.5230000000000001</v>
      </c>
      <c r="F4991">
        <v>142.2548214</v>
      </c>
      <c r="G4991">
        <v>8.8390000000000004</v>
      </c>
      <c r="N4991" s="8"/>
    </row>
    <row r="4992" spans="1:14" x14ac:dyDescent="0.25">
      <c r="A4992" s="8">
        <v>41110</v>
      </c>
      <c r="B4992">
        <v>841224.74</v>
      </c>
      <c r="C4992">
        <v>0</v>
      </c>
      <c r="D4992">
        <v>78.64</v>
      </c>
      <c r="E4992">
        <v>3.5670000000000002</v>
      </c>
      <c r="F4992">
        <v>142.2337569</v>
      </c>
      <c r="G4992">
        <v>8.8390000000000004</v>
      </c>
      <c r="N4992" s="8"/>
    </row>
    <row r="4993" spans="1:14" x14ac:dyDescent="0.25">
      <c r="A4993" s="8">
        <v>41117</v>
      </c>
      <c r="B4993">
        <v>808030.15</v>
      </c>
      <c r="C4993">
        <v>0</v>
      </c>
      <c r="D4993">
        <v>76.010000000000005</v>
      </c>
      <c r="E4993">
        <v>3.6469999999999998</v>
      </c>
      <c r="F4993">
        <v>142.21269240000001</v>
      </c>
      <c r="G4993">
        <v>8.8390000000000004</v>
      </c>
      <c r="N4993" s="8"/>
    </row>
    <row r="4994" spans="1:14" x14ac:dyDescent="0.25">
      <c r="A4994" s="8">
        <v>41124</v>
      </c>
      <c r="B4994">
        <v>866216.36</v>
      </c>
      <c r="C4994">
        <v>0</v>
      </c>
      <c r="D4994">
        <v>75.22</v>
      </c>
      <c r="E4994">
        <v>3.6539999999999999</v>
      </c>
      <c r="F4994">
        <v>142.19162789999999</v>
      </c>
      <c r="G4994">
        <v>8.8390000000000004</v>
      </c>
      <c r="N4994" s="8"/>
    </row>
    <row r="4995" spans="1:14" x14ac:dyDescent="0.25">
      <c r="A4995" s="8">
        <v>41131</v>
      </c>
      <c r="B4995">
        <v>888368.8</v>
      </c>
      <c r="C4995">
        <v>0</v>
      </c>
      <c r="D4995">
        <v>78.44</v>
      </c>
      <c r="E4995">
        <v>3.722</v>
      </c>
      <c r="F4995">
        <v>142.17056339999999</v>
      </c>
      <c r="G4995">
        <v>8.8390000000000004</v>
      </c>
      <c r="N4995" s="8"/>
    </row>
    <row r="4996" spans="1:14" x14ac:dyDescent="0.25">
      <c r="A4996" s="8">
        <v>41138</v>
      </c>
      <c r="B4996">
        <v>887979.47</v>
      </c>
      <c r="C4996">
        <v>0</v>
      </c>
      <c r="D4996">
        <v>76.510000000000005</v>
      </c>
      <c r="E4996">
        <v>3.8069999999999999</v>
      </c>
      <c r="F4996">
        <v>142.21573849999999</v>
      </c>
      <c r="G4996">
        <v>8.8390000000000004</v>
      </c>
      <c r="N4996" s="8"/>
    </row>
    <row r="4997" spans="1:14" x14ac:dyDescent="0.25">
      <c r="A4997" s="8">
        <v>41145</v>
      </c>
      <c r="B4997">
        <v>895274.72</v>
      </c>
      <c r="C4997">
        <v>0</v>
      </c>
      <c r="D4997">
        <v>72.930000000000007</v>
      </c>
      <c r="E4997">
        <v>3.8340000000000001</v>
      </c>
      <c r="F4997">
        <v>142.31059329999999</v>
      </c>
      <c r="G4997">
        <v>8.8390000000000004</v>
      </c>
      <c r="N4997" s="8"/>
    </row>
    <row r="4998" spans="1:14" x14ac:dyDescent="0.25">
      <c r="A4998" s="8">
        <v>41152</v>
      </c>
      <c r="B4998">
        <v>931278.97</v>
      </c>
      <c r="C4998">
        <v>0</v>
      </c>
      <c r="D4998">
        <v>75</v>
      </c>
      <c r="E4998">
        <v>3.867</v>
      </c>
      <c r="F4998">
        <v>142.4054482</v>
      </c>
      <c r="G4998">
        <v>8.8390000000000004</v>
      </c>
      <c r="N4998" s="8"/>
    </row>
    <row r="4999" spans="1:14" x14ac:dyDescent="0.25">
      <c r="A4999" s="8">
        <v>41159</v>
      </c>
      <c r="B4999">
        <v>984833.35</v>
      </c>
      <c r="C4999">
        <v>1</v>
      </c>
      <c r="D4999">
        <v>76</v>
      </c>
      <c r="E4999">
        <v>3.911</v>
      </c>
      <c r="F4999">
        <v>142.500303</v>
      </c>
      <c r="G4999">
        <v>8.8390000000000004</v>
      </c>
      <c r="N4999" s="8"/>
    </row>
    <row r="5000" spans="1:14" x14ac:dyDescent="0.25">
      <c r="A5000" s="8">
        <v>41166</v>
      </c>
      <c r="B5000">
        <v>821568.64</v>
      </c>
      <c r="C5000">
        <v>0</v>
      </c>
      <c r="D5000">
        <v>68.72</v>
      </c>
      <c r="E5000">
        <v>3.948</v>
      </c>
      <c r="F5000">
        <v>142.59388329999999</v>
      </c>
      <c r="G5000">
        <v>8.8390000000000004</v>
      </c>
      <c r="N5000" s="8"/>
    </row>
    <row r="5001" spans="1:14" x14ac:dyDescent="0.25">
      <c r="A5001" s="8">
        <v>41173</v>
      </c>
      <c r="B5001">
        <v>772302.94</v>
      </c>
      <c r="C5001">
        <v>0</v>
      </c>
      <c r="D5001">
        <v>66.099999999999994</v>
      </c>
      <c r="E5001">
        <v>4.0380000000000003</v>
      </c>
      <c r="F5001">
        <v>142.6798167</v>
      </c>
      <c r="G5001">
        <v>8.8390000000000004</v>
      </c>
      <c r="N5001" s="8"/>
    </row>
    <row r="5002" spans="1:14" x14ac:dyDescent="0.25">
      <c r="A5002" s="8">
        <v>41180</v>
      </c>
      <c r="B5002">
        <v>814099.86</v>
      </c>
      <c r="C5002">
        <v>0</v>
      </c>
      <c r="D5002">
        <v>64.92</v>
      </c>
      <c r="E5002">
        <v>3.9969999999999999</v>
      </c>
      <c r="F5002">
        <v>142.76575</v>
      </c>
      <c r="G5002">
        <v>8.8390000000000004</v>
      </c>
      <c r="N5002" s="8"/>
    </row>
    <row r="5003" spans="1:14" x14ac:dyDescent="0.25">
      <c r="A5003" s="8">
        <v>41187</v>
      </c>
      <c r="B5003">
        <v>866064.4</v>
      </c>
      <c r="C5003">
        <v>0</v>
      </c>
      <c r="D5003">
        <v>64.5</v>
      </c>
      <c r="E5003">
        <v>3.9849999999999999</v>
      </c>
      <c r="F5003">
        <v>142.85168329999999</v>
      </c>
      <c r="G5003">
        <v>8.6649999999999991</v>
      </c>
      <c r="N5003" s="8"/>
    </row>
    <row r="5004" spans="1:14" x14ac:dyDescent="0.25">
      <c r="A5004" s="8">
        <v>41194</v>
      </c>
      <c r="B5004">
        <v>873643.14</v>
      </c>
      <c r="C5004">
        <v>0</v>
      </c>
      <c r="D5004">
        <v>55.4</v>
      </c>
      <c r="E5004">
        <v>4</v>
      </c>
      <c r="F5004">
        <v>142.93761670000001</v>
      </c>
      <c r="G5004">
        <v>8.6649999999999991</v>
      </c>
      <c r="N5004" s="8"/>
    </row>
    <row r="5005" spans="1:14" x14ac:dyDescent="0.25">
      <c r="A5005" s="8">
        <v>41201</v>
      </c>
      <c r="B5005">
        <v>829284.67</v>
      </c>
      <c r="C5005">
        <v>0</v>
      </c>
      <c r="D5005">
        <v>56.53</v>
      </c>
      <c r="E5005">
        <v>3.9689999999999999</v>
      </c>
      <c r="F5005">
        <v>142.8633629</v>
      </c>
      <c r="G5005">
        <v>8.6649999999999991</v>
      </c>
      <c r="N5005" s="8"/>
    </row>
    <row r="5006" spans="1:14" x14ac:dyDescent="0.25">
      <c r="A5006" s="8">
        <v>41208</v>
      </c>
      <c r="B5006">
        <v>865137.6</v>
      </c>
      <c r="C5006">
        <v>0</v>
      </c>
      <c r="D5006">
        <v>58.99</v>
      </c>
      <c r="E5006">
        <v>3.8820000000000001</v>
      </c>
      <c r="F5006">
        <v>142.7624113</v>
      </c>
      <c r="G5006">
        <v>8.6649999999999991</v>
      </c>
      <c r="N5006" s="8"/>
    </row>
    <row r="5007" spans="1:14" x14ac:dyDescent="0.25">
      <c r="A5007" s="8">
        <v>40214</v>
      </c>
      <c r="B5007">
        <v>467546.74</v>
      </c>
      <c r="C5007">
        <v>0</v>
      </c>
      <c r="D5007">
        <v>45.97</v>
      </c>
      <c r="E5007">
        <v>2.5449999999999999</v>
      </c>
      <c r="F5007">
        <v>209.85296629999999</v>
      </c>
      <c r="G5007">
        <v>8.5540000000000003</v>
      </c>
      <c r="N5007" s="8"/>
    </row>
    <row r="5008" spans="1:14" x14ac:dyDescent="0.25">
      <c r="A5008" s="8">
        <v>40221</v>
      </c>
      <c r="B5008">
        <v>469563.7</v>
      </c>
      <c r="C5008">
        <v>1</v>
      </c>
      <c r="D5008">
        <v>46.11</v>
      </c>
      <c r="E5008">
        <v>2.5390000000000001</v>
      </c>
      <c r="F5008">
        <v>209.9970208</v>
      </c>
      <c r="G5008">
        <v>8.5540000000000003</v>
      </c>
      <c r="N5008" s="8"/>
    </row>
    <row r="5009" spans="1:14" x14ac:dyDescent="0.25">
      <c r="A5009" s="8">
        <v>40228</v>
      </c>
      <c r="B5009">
        <v>470281.03</v>
      </c>
      <c r="C5009">
        <v>0</v>
      </c>
      <c r="D5009">
        <v>45.66</v>
      </c>
      <c r="E5009">
        <v>2.472</v>
      </c>
      <c r="F5009">
        <v>210.04510239999999</v>
      </c>
      <c r="G5009">
        <v>8.5540000000000003</v>
      </c>
      <c r="N5009" s="8"/>
    </row>
    <row r="5010" spans="1:14" x14ac:dyDescent="0.25">
      <c r="A5010" s="8">
        <v>40235</v>
      </c>
      <c r="B5010">
        <v>447519.44</v>
      </c>
      <c r="C5010">
        <v>0</v>
      </c>
      <c r="D5010">
        <v>50.87</v>
      </c>
      <c r="E5010">
        <v>2.52</v>
      </c>
      <c r="F5010">
        <v>210.07718850000001</v>
      </c>
      <c r="G5010">
        <v>8.5540000000000003</v>
      </c>
      <c r="N5010" s="8"/>
    </row>
    <row r="5011" spans="1:14" x14ac:dyDescent="0.25">
      <c r="A5011" s="8">
        <v>40242</v>
      </c>
      <c r="B5011">
        <v>480203.43</v>
      </c>
      <c r="C5011">
        <v>0</v>
      </c>
      <c r="D5011">
        <v>51.33</v>
      </c>
      <c r="E5011">
        <v>2.5739999999999998</v>
      </c>
      <c r="F5011">
        <v>210.10927459999999</v>
      </c>
      <c r="G5011">
        <v>8.5540000000000003</v>
      </c>
      <c r="N5011" s="8"/>
    </row>
    <row r="5012" spans="1:14" x14ac:dyDescent="0.25">
      <c r="A5012" s="8">
        <v>40249</v>
      </c>
      <c r="B5012">
        <v>441434.2</v>
      </c>
      <c r="C5012">
        <v>0</v>
      </c>
      <c r="D5012">
        <v>61.96</v>
      </c>
      <c r="E5012">
        <v>2.6190000000000002</v>
      </c>
      <c r="F5012">
        <v>210.14136070000001</v>
      </c>
      <c r="G5012">
        <v>8.5540000000000003</v>
      </c>
      <c r="N5012" s="8"/>
    </row>
    <row r="5013" spans="1:14" x14ac:dyDescent="0.25">
      <c r="A5013" s="8">
        <v>40256</v>
      </c>
      <c r="B5013">
        <v>428851.99</v>
      </c>
      <c r="C5013">
        <v>0</v>
      </c>
      <c r="D5013">
        <v>59.56</v>
      </c>
      <c r="E5013">
        <v>2.7010000000000001</v>
      </c>
      <c r="F5013">
        <v>209.98032079999999</v>
      </c>
      <c r="G5013">
        <v>8.5540000000000003</v>
      </c>
      <c r="N5013" s="8"/>
    </row>
    <row r="5014" spans="1:14" x14ac:dyDescent="0.25">
      <c r="A5014" s="8">
        <v>40263</v>
      </c>
      <c r="B5014">
        <v>404438.51</v>
      </c>
      <c r="C5014">
        <v>0</v>
      </c>
      <c r="D5014">
        <v>55.76</v>
      </c>
      <c r="E5014">
        <v>2.7109999999999999</v>
      </c>
      <c r="F5014">
        <v>209.78709319999999</v>
      </c>
      <c r="G5014">
        <v>8.5540000000000003</v>
      </c>
      <c r="N5014" s="8"/>
    </row>
    <row r="5015" spans="1:14" x14ac:dyDescent="0.25">
      <c r="A5015" s="8">
        <v>40270</v>
      </c>
      <c r="B5015">
        <v>435972.82</v>
      </c>
      <c r="C5015">
        <v>0</v>
      </c>
      <c r="D5015">
        <v>63.43</v>
      </c>
      <c r="E5015">
        <v>2.7080000000000002</v>
      </c>
      <c r="F5015">
        <v>209.59386559999999</v>
      </c>
      <c r="G5015">
        <v>8.4640000000000004</v>
      </c>
      <c r="N5015" s="8"/>
    </row>
    <row r="5016" spans="1:14" x14ac:dyDescent="0.25">
      <c r="A5016" s="8">
        <v>40277</v>
      </c>
      <c r="B5016">
        <v>453016.91</v>
      </c>
      <c r="C5016">
        <v>0</v>
      </c>
      <c r="D5016">
        <v>68.540000000000006</v>
      </c>
      <c r="E5016">
        <v>2.7429999999999999</v>
      </c>
      <c r="F5016">
        <v>209.40063799999999</v>
      </c>
      <c r="G5016">
        <v>8.4640000000000004</v>
      </c>
      <c r="N5016" s="8"/>
    </row>
    <row r="5017" spans="1:14" x14ac:dyDescent="0.25">
      <c r="A5017" s="8">
        <v>40284</v>
      </c>
      <c r="B5017">
        <v>483699.56</v>
      </c>
      <c r="C5017">
        <v>0</v>
      </c>
      <c r="D5017">
        <v>66.739999999999995</v>
      </c>
      <c r="E5017">
        <v>2.7690000000000001</v>
      </c>
      <c r="F5017">
        <v>209.2691428</v>
      </c>
      <c r="G5017">
        <v>8.4640000000000004</v>
      </c>
      <c r="N5017" s="8"/>
    </row>
    <row r="5018" spans="1:14" x14ac:dyDescent="0.25">
      <c r="A5018" s="8">
        <v>40291</v>
      </c>
      <c r="B5018">
        <v>434116.8</v>
      </c>
      <c r="C5018">
        <v>0</v>
      </c>
      <c r="D5018">
        <v>68.03</v>
      </c>
      <c r="E5018">
        <v>2.762</v>
      </c>
      <c r="F5018">
        <v>209.2199574</v>
      </c>
      <c r="G5018">
        <v>8.4640000000000004</v>
      </c>
      <c r="N5018" s="8"/>
    </row>
    <row r="5019" spans="1:14" x14ac:dyDescent="0.25">
      <c r="A5019" s="8">
        <v>40298</v>
      </c>
      <c r="B5019">
        <v>457899.64</v>
      </c>
      <c r="C5019">
        <v>0</v>
      </c>
      <c r="D5019">
        <v>70.900000000000006</v>
      </c>
      <c r="E5019">
        <v>2.7250000000000001</v>
      </c>
      <c r="F5019">
        <v>209.170772</v>
      </c>
      <c r="G5019">
        <v>8.4640000000000004</v>
      </c>
      <c r="N5019" s="8"/>
    </row>
    <row r="5020" spans="1:14" x14ac:dyDescent="0.25">
      <c r="A5020" s="8">
        <v>40305</v>
      </c>
      <c r="B5020">
        <v>489372.02</v>
      </c>
      <c r="C5020">
        <v>0</v>
      </c>
      <c r="D5020">
        <v>75.56</v>
      </c>
      <c r="E5020">
        <v>2.786</v>
      </c>
      <c r="F5020">
        <v>209.12158669999999</v>
      </c>
      <c r="G5020">
        <v>8.4640000000000004</v>
      </c>
      <c r="N5020" s="8"/>
    </row>
    <row r="5021" spans="1:14" x14ac:dyDescent="0.25">
      <c r="A5021" s="8">
        <v>40312</v>
      </c>
      <c r="B5021">
        <v>476733.74</v>
      </c>
      <c r="C5021">
        <v>0</v>
      </c>
      <c r="D5021">
        <v>77.53</v>
      </c>
      <c r="E5021">
        <v>2.8050000000000002</v>
      </c>
      <c r="F5021">
        <v>209.11853600000001</v>
      </c>
      <c r="G5021">
        <v>8.4640000000000004</v>
      </c>
      <c r="N5021" s="8"/>
    </row>
    <row r="5022" spans="1:14" x14ac:dyDescent="0.25">
      <c r="A5022" s="8">
        <v>40319</v>
      </c>
      <c r="B5022">
        <v>474917.98</v>
      </c>
      <c r="C5022">
        <v>0</v>
      </c>
      <c r="D5022">
        <v>77.34</v>
      </c>
      <c r="E5022">
        <v>2.7669999999999999</v>
      </c>
      <c r="F5022">
        <v>209.39229370000001</v>
      </c>
      <c r="G5022">
        <v>8.4640000000000004</v>
      </c>
      <c r="N5022" s="8"/>
    </row>
    <row r="5023" spans="1:14" x14ac:dyDescent="0.25">
      <c r="A5023" s="8">
        <v>40326</v>
      </c>
      <c r="B5023">
        <v>447050.42</v>
      </c>
      <c r="C5023">
        <v>0</v>
      </c>
      <c r="D5023">
        <v>80.87</v>
      </c>
      <c r="E5023">
        <v>2.7160000000000002</v>
      </c>
      <c r="F5023">
        <v>209.66605139999999</v>
      </c>
      <c r="G5023">
        <v>8.4640000000000004</v>
      </c>
      <c r="N5023" s="8"/>
    </row>
    <row r="5024" spans="1:14" x14ac:dyDescent="0.25">
      <c r="A5024" s="8">
        <v>40333</v>
      </c>
      <c r="B5024">
        <v>471088.88</v>
      </c>
      <c r="C5024">
        <v>0</v>
      </c>
      <c r="D5024">
        <v>79.930000000000007</v>
      </c>
      <c r="E5024">
        <v>2.6640000000000001</v>
      </c>
      <c r="F5024">
        <v>209.93980909999999</v>
      </c>
      <c r="G5024">
        <v>8.4640000000000004</v>
      </c>
      <c r="N5024" s="8"/>
    </row>
    <row r="5025" spans="1:14" x14ac:dyDescent="0.25">
      <c r="A5025" s="8">
        <v>40340</v>
      </c>
      <c r="B5025">
        <v>467711.18</v>
      </c>
      <c r="C5025">
        <v>0</v>
      </c>
      <c r="D5025">
        <v>82.3</v>
      </c>
      <c r="E5025">
        <v>2.6150000000000002</v>
      </c>
      <c r="F5025">
        <v>210.2135668</v>
      </c>
      <c r="G5025">
        <v>8.4640000000000004</v>
      </c>
      <c r="N5025" s="8"/>
    </row>
    <row r="5026" spans="1:14" x14ac:dyDescent="0.25">
      <c r="A5026" s="8">
        <v>40347</v>
      </c>
      <c r="B5026">
        <v>485694.71999999997</v>
      </c>
      <c r="C5026">
        <v>0</v>
      </c>
      <c r="D5026">
        <v>84.37</v>
      </c>
      <c r="E5026">
        <v>2.5720000000000001</v>
      </c>
      <c r="F5026">
        <v>210.2108417</v>
      </c>
      <c r="G5026">
        <v>8.4640000000000004</v>
      </c>
      <c r="N5026" s="8"/>
    </row>
    <row r="5027" spans="1:14" x14ac:dyDescent="0.25">
      <c r="A5027" s="8">
        <v>40354</v>
      </c>
      <c r="B5027">
        <v>434879.87</v>
      </c>
      <c r="C5027">
        <v>0</v>
      </c>
      <c r="D5027">
        <v>84.14</v>
      </c>
      <c r="E5027">
        <v>2.601</v>
      </c>
      <c r="F5027">
        <v>210.09752330000001</v>
      </c>
      <c r="G5027">
        <v>8.4640000000000004</v>
      </c>
      <c r="N5027" s="8"/>
    </row>
    <row r="5028" spans="1:14" x14ac:dyDescent="0.25">
      <c r="A5028" s="8">
        <v>40361</v>
      </c>
      <c r="B5028">
        <v>434252.15</v>
      </c>
      <c r="C5028">
        <v>0</v>
      </c>
      <c r="D5028">
        <v>81.849999999999994</v>
      </c>
      <c r="E5028">
        <v>2.6059999999999999</v>
      </c>
      <c r="F5028">
        <v>209.984205</v>
      </c>
      <c r="G5028">
        <v>8.36</v>
      </c>
      <c r="N5028" s="8"/>
    </row>
    <row r="5029" spans="1:14" x14ac:dyDescent="0.25">
      <c r="A5029" s="8">
        <v>40368</v>
      </c>
      <c r="B5029">
        <v>471713.59</v>
      </c>
      <c r="C5029">
        <v>0</v>
      </c>
      <c r="D5029">
        <v>81.739999999999995</v>
      </c>
      <c r="E5029">
        <v>2.5960000000000001</v>
      </c>
      <c r="F5029">
        <v>209.8708867</v>
      </c>
      <c r="G5029">
        <v>8.36</v>
      </c>
      <c r="N5029" s="8"/>
    </row>
    <row r="5030" spans="1:14" x14ac:dyDescent="0.25">
      <c r="A5030" s="8">
        <v>40375</v>
      </c>
      <c r="B5030">
        <v>466962.04</v>
      </c>
      <c r="C5030">
        <v>0</v>
      </c>
      <c r="D5030">
        <v>84.43</v>
      </c>
      <c r="E5030">
        <v>2.5609999999999999</v>
      </c>
      <c r="F5030">
        <v>209.8630532</v>
      </c>
      <c r="G5030">
        <v>8.36</v>
      </c>
      <c r="N5030" s="8"/>
    </row>
    <row r="5031" spans="1:14" x14ac:dyDescent="0.25">
      <c r="A5031" s="8">
        <v>40382</v>
      </c>
      <c r="B5031">
        <v>452021.2</v>
      </c>
      <c r="C5031">
        <v>0</v>
      </c>
      <c r="D5031">
        <v>82.6</v>
      </c>
      <c r="E5031">
        <v>2.5419999999999998</v>
      </c>
      <c r="F5031">
        <v>209.99586629999999</v>
      </c>
      <c r="G5031">
        <v>8.36</v>
      </c>
      <c r="N5031" s="8"/>
    </row>
    <row r="5032" spans="1:14" x14ac:dyDescent="0.25">
      <c r="A5032" s="8">
        <v>40389</v>
      </c>
      <c r="B5032">
        <v>432451.91</v>
      </c>
      <c r="C5032">
        <v>0</v>
      </c>
      <c r="D5032">
        <v>81.88</v>
      </c>
      <c r="E5032">
        <v>2.6019999999999999</v>
      </c>
      <c r="F5032">
        <v>210.12867940000001</v>
      </c>
      <c r="G5032">
        <v>8.36</v>
      </c>
      <c r="N5032" s="8"/>
    </row>
    <row r="5033" spans="1:14" x14ac:dyDescent="0.25">
      <c r="A5033" s="8">
        <v>40396</v>
      </c>
      <c r="B5033">
        <v>467442.94</v>
      </c>
      <c r="C5033">
        <v>0</v>
      </c>
      <c r="D5033">
        <v>85.49</v>
      </c>
      <c r="E5033">
        <v>2.573</v>
      </c>
      <c r="F5033">
        <v>210.2614925</v>
      </c>
      <c r="G5033">
        <v>8.36</v>
      </c>
      <c r="N5033" s="8"/>
    </row>
    <row r="5034" spans="1:14" x14ac:dyDescent="0.25">
      <c r="A5034" s="8">
        <v>40403</v>
      </c>
      <c r="B5034">
        <v>470436.8</v>
      </c>
      <c r="C5034">
        <v>0</v>
      </c>
      <c r="D5034">
        <v>86.06</v>
      </c>
      <c r="E5034">
        <v>2.6440000000000001</v>
      </c>
      <c r="F5034">
        <v>210.3943056</v>
      </c>
      <c r="G5034">
        <v>8.36</v>
      </c>
      <c r="N5034" s="8"/>
    </row>
    <row r="5035" spans="1:14" x14ac:dyDescent="0.25">
      <c r="A5035" s="8">
        <v>40410</v>
      </c>
      <c r="B5035">
        <v>437949.9</v>
      </c>
      <c r="C5035">
        <v>0</v>
      </c>
      <c r="D5035">
        <v>85.54</v>
      </c>
      <c r="E5035">
        <v>2.6040000000000001</v>
      </c>
      <c r="F5035">
        <v>210.3617581</v>
      </c>
      <c r="G5035">
        <v>8.36</v>
      </c>
      <c r="N5035" s="8"/>
    </row>
    <row r="5036" spans="1:14" x14ac:dyDescent="0.25">
      <c r="A5036" s="8">
        <v>40417</v>
      </c>
      <c r="B5036">
        <v>412050.73</v>
      </c>
      <c r="C5036">
        <v>0</v>
      </c>
      <c r="D5036">
        <v>84.62</v>
      </c>
      <c r="E5036">
        <v>2.5619999999999998</v>
      </c>
      <c r="F5036">
        <v>210.32921060000001</v>
      </c>
      <c r="G5036">
        <v>8.36</v>
      </c>
      <c r="N5036" s="8"/>
    </row>
    <row r="5037" spans="1:14" x14ac:dyDescent="0.25">
      <c r="A5037" s="8">
        <v>40424</v>
      </c>
      <c r="B5037">
        <v>431294.45</v>
      </c>
      <c r="C5037">
        <v>0</v>
      </c>
      <c r="D5037">
        <v>82.29</v>
      </c>
      <c r="E5037">
        <v>2.5329999999999999</v>
      </c>
      <c r="F5037">
        <v>210.29666309999999</v>
      </c>
      <c r="G5037">
        <v>8.36</v>
      </c>
      <c r="N5037" s="8"/>
    </row>
    <row r="5038" spans="1:14" x14ac:dyDescent="0.25">
      <c r="A5038" s="8">
        <v>40431</v>
      </c>
      <c r="B5038">
        <v>434471.38</v>
      </c>
      <c r="C5038">
        <v>1</v>
      </c>
      <c r="D5038">
        <v>80.58</v>
      </c>
      <c r="E5038">
        <v>2.5129999999999999</v>
      </c>
      <c r="F5038">
        <v>210.2641156</v>
      </c>
      <c r="G5038">
        <v>8.36</v>
      </c>
      <c r="N5038" s="8"/>
    </row>
    <row r="5039" spans="1:14" x14ac:dyDescent="0.25">
      <c r="A5039" s="8">
        <v>40438</v>
      </c>
      <c r="B5039">
        <v>454694.21</v>
      </c>
      <c r="C5039">
        <v>0</v>
      </c>
      <c r="D5039">
        <v>82.1</v>
      </c>
      <c r="E5039">
        <v>2.5499999999999998</v>
      </c>
      <c r="F5039">
        <v>210.29245040000001</v>
      </c>
      <c r="G5039">
        <v>8.36</v>
      </c>
      <c r="N5039" s="8"/>
    </row>
    <row r="5040" spans="1:14" x14ac:dyDescent="0.25">
      <c r="A5040" s="8">
        <v>40445</v>
      </c>
      <c r="B5040">
        <v>419348.59</v>
      </c>
      <c r="C5040">
        <v>0</v>
      </c>
      <c r="D5040">
        <v>79.17</v>
      </c>
      <c r="E5040">
        <v>2.5779999999999998</v>
      </c>
      <c r="F5040">
        <v>210.3664469</v>
      </c>
      <c r="G5040">
        <v>8.36</v>
      </c>
      <c r="N5040" s="8"/>
    </row>
    <row r="5041" spans="1:14" x14ac:dyDescent="0.25">
      <c r="A5041" s="8">
        <v>40452</v>
      </c>
      <c r="B5041">
        <v>422169.47</v>
      </c>
      <c r="C5041">
        <v>0</v>
      </c>
      <c r="D5041">
        <v>74.66</v>
      </c>
      <c r="E5041">
        <v>2.5670000000000002</v>
      </c>
      <c r="F5041">
        <v>210.4404433</v>
      </c>
      <c r="G5041">
        <v>8.4760000000000009</v>
      </c>
      <c r="N5041" s="8"/>
    </row>
    <row r="5042" spans="1:14" x14ac:dyDescent="0.25">
      <c r="A5042" s="8">
        <v>40459</v>
      </c>
      <c r="B5042">
        <v>444351.61</v>
      </c>
      <c r="C5042">
        <v>0</v>
      </c>
      <c r="D5042">
        <v>66.34</v>
      </c>
      <c r="E5042">
        <v>2.5950000000000002</v>
      </c>
      <c r="F5042">
        <v>210.51443979999999</v>
      </c>
      <c r="G5042">
        <v>8.4760000000000009</v>
      </c>
      <c r="N5042" s="8"/>
    </row>
    <row r="5043" spans="1:14" x14ac:dyDescent="0.25">
      <c r="A5043" s="8">
        <v>40466</v>
      </c>
      <c r="B5043">
        <v>453308.15</v>
      </c>
      <c r="C5043">
        <v>0</v>
      </c>
      <c r="D5043">
        <v>71.569999999999993</v>
      </c>
      <c r="E5043">
        <v>2.7050000000000001</v>
      </c>
      <c r="F5043">
        <v>210.5805944</v>
      </c>
      <c r="G5043">
        <v>8.4760000000000009</v>
      </c>
      <c r="N5043" s="8"/>
    </row>
    <row r="5044" spans="1:14" x14ac:dyDescent="0.25">
      <c r="A5044" s="8">
        <v>40473</v>
      </c>
      <c r="B5044">
        <v>424956.3</v>
      </c>
      <c r="C5044">
        <v>0</v>
      </c>
      <c r="D5044">
        <v>72.239999999999995</v>
      </c>
      <c r="E5044">
        <v>2.698</v>
      </c>
      <c r="F5044">
        <v>210.62714439999999</v>
      </c>
      <c r="G5044">
        <v>8.4760000000000009</v>
      </c>
      <c r="N5044" s="8"/>
    </row>
    <row r="5045" spans="1:14" x14ac:dyDescent="0.25">
      <c r="A5045" s="8">
        <v>40480</v>
      </c>
      <c r="B5045">
        <v>392654.26</v>
      </c>
      <c r="C5045">
        <v>0</v>
      </c>
      <c r="D5045">
        <v>76.22</v>
      </c>
      <c r="E5045">
        <v>2.68</v>
      </c>
      <c r="F5045">
        <v>210.67369439999999</v>
      </c>
      <c r="G5045">
        <v>8.4760000000000009</v>
      </c>
      <c r="N5045" s="8"/>
    </row>
    <row r="5046" spans="1:14" x14ac:dyDescent="0.25">
      <c r="A5046" s="8">
        <v>40487</v>
      </c>
      <c r="B5046">
        <v>405860.37</v>
      </c>
      <c r="C5046">
        <v>0</v>
      </c>
      <c r="D5046">
        <v>62.72</v>
      </c>
      <c r="E5046">
        <v>2.6549999999999998</v>
      </c>
      <c r="F5046">
        <v>210.72024440000001</v>
      </c>
      <c r="G5046">
        <v>8.4760000000000009</v>
      </c>
      <c r="N5046" s="8"/>
    </row>
    <row r="5047" spans="1:14" x14ac:dyDescent="0.25">
      <c r="A5047" s="8">
        <v>40494</v>
      </c>
      <c r="B5047">
        <v>425804.79999999999</v>
      </c>
      <c r="C5047">
        <v>0</v>
      </c>
      <c r="D5047">
        <v>61.97</v>
      </c>
      <c r="E5047">
        <v>2.7050000000000001</v>
      </c>
      <c r="F5047">
        <v>210.76679440000001</v>
      </c>
      <c r="G5047">
        <v>8.4760000000000009</v>
      </c>
      <c r="N5047" s="8"/>
    </row>
    <row r="5048" spans="1:14" x14ac:dyDescent="0.25">
      <c r="A5048" s="8">
        <v>40501</v>
      </c>
      <c r="B5048">
        <v>411615.71</v>
      </c>
      <c r="C5048">
        <v>0</v>
      </c>
      <c r="D5048">
        <v>56.73</v>
      </c>
      <c r="E5048">
        <v>2.7410000000000001</v>
      </c>
      <c r="F5048">
        <v>210.65429</v>
      </c>
      <c r="G5048">
        <v>8.4760000000000009</v>
      </c>
      <c r="N5048" s="8"/>
    </row>
    <row r="5049" spans="1:14" x14ac:dyDescent="0.25">
      <c r="A5049" s="8">
        <v>40508</v>
      </c>
      <c r="B5049">
        <v>408891.49</v>
      </c>
      <c r="C5049">
        <v>1</v>
      </c>
      <c r="D5049">
        <v>67.73</v>
      </c>
      <c r="E5049">
        <v>2.7250000000000001</v>
      </c>
      <c r="F5049">
        <v>210.5152765</v>
      </c>
      <c r="G5049">
        <v>8.4760000000000009</v>
      </c>
      <c r="N5049" s="8"/>
    </row>
    <row r="5050" spans="1:14" x14ac:dyDescent="0.25">
      <c r="A5050" s="8">
        <v>40515</v>
      </c>
      <c r="B5050">
        <v>360266.09</v>
      </c>
      <c r="C5050">
        <v>0</v>
      </c>
      <c r="D5050">
        <v>54.44</v>
      </c>
      <c r="E5050">
        <v>2.694</v>
      </c>
      <c r="F5050">
        <v>210.37626299999999</v>
      </c>
      <c r="G5050">
        <v>8.4760000000000009</v>
      </c>
      <c r="N5050" s="8"/>
    </row>
    <row r="5051" spans="1:14" x14ac:dyDescent="0.25">
      <c r="A5051" s="8">
        <v>40522</v>
      </c>
      <c r="B5051">
        <v>404545.03</v>
      </c>
      <c r="C5051">
        <v>0</v>
      </c>
      <c r="D5051">
        <v>51.83</v>
      </c>
      <c r="E5051">
        <v>2.8130000000000002</v>
      </c>
      <c r="F5051">
        <v>210.2372494</v>
      </c>
      <c r="G5051">
        <v>8.4760000000000009</v>
      </c>
      <c r="N5051" s="8"/>
    </row>
    <row r="5052" spans="1:14" x14ac:dyDescent="0.25">
      <c r="A5052" s="8">
        <v>40529</v>
      </c>
      <c r="B5052">
        <v>410214.7</v>
      </c>
      <c r="C5052">
        <v>0</v>
      </c>
      <c r="D5052">
        <v>56.73</v>
      </c>
      <c r="E5052">
        <v>2.8519999999999999</v>
      </c>
      <c r="F5052">
        <v>210.1787224</v>
      </c>
      <c r="G5052">
        <v>8.4760000000000009</v>
      </c>
      <c r="N5052" s="8"/>
    </row>
    <row r="5053" spans="1:14" x14ac:dyDescent="0.25">
      <c r="A5053" s="8">
        <v>40536</v>
      </c>
      <c r="B5053">
        <v>422093.59</v>
      </c>
      <c r="C5053">
        <v>0</v>
      </c>
      <c r="D5053">
        <v>59.1</v>
      </c>
      <c r="E5053">
        <v>2.863</v>
      </c>
      <c r="F5053">
        <v>210.1805602</v>
      </c>
      <c r="G5053">
        <v>8.4760000000000009</v>
      </c>
      <c r="N5053" s="8"/>
    </row>
    <row r="5054" spans="1:14" x14ac:dyDescent="0.25">
      <c r="A5054" s="8">
        <v>40543</v>
      </c>
      <c r="B5054">
        <v>359310.65</v>
      </c>
      <c r="C5054">
        <v>1</v>
      </c>
      <c r="D5054">
        <v>52.88</v>
      </c>
      <c r="E5054">
        <v>2.9489999999999998</v>
      </c>
      <c r="F5054">
        <v>210.18239800000001</v>
      </c>
      <c r="G5054">
        <v>8.4760000000000009</v>
      </c>
      <c r="N5054" s="8"/>
    </row>
    <row r="5055" spans="1:14" x14ac:dyDescent="0.25">
      <c r="A5055" s="8">
        <v>40550</v>
      </c>
      <c r="B5055">
        <v>384659.85</v>
      </c>
      <c r="C5055">
        <v>0</v>
      </c>
      <c r="D5055">
        <v>54.11</v>
      </c>
      <c r="E5055">
        <v>2.9420000000000002</v>
      </c>
      <c r="F5055">
        <v>210.18423580000001</v>
      </c>
      <c r="G5055">
        <v>8.3949999999999996</v>
      </c>
      <c r="N5055" s="8"/>
    </row>
    <row r="5056" spans="1:14" x14ac:dyDescent="0.25">
      <c r="A5056" s="8">
        <v>40557</v>
      </c>
      <c r="B5056">
        <v>410497.73</v>
      </c>
      <c r="C5056">
        <v>0</v>
      </c>
      <c r="D5056">
        <v>42.87</v>
      </c>
      <c r="E5056">
        <v>2.9710000000000001</v>
      </c>
      <c r="F5056">
        <v>210.2379731</v>
      </c>
      <c r="G5056">
        <v>8.3949999999999996</v>
      </c>
      <c r="N5056" s="8"/>
    </row>
    <row r="5057" spans="1:14" x14ac:dyDescent="0.25">
      <c r="A5057" s="8">
        <v>40564</v>
      </c>
      <c r="B5057">
        <v>399191.05</v>
      </c>
      <c r="C5057">
        <v>0</v>
      </c>
      <c r="D5057">
        <v>51.18</v>
      </c>
      <c r="E5057">
        <v>2.98</v>
      </c>
      <c r="F5057">
        <v>210.60310720000001</v>
      </c>
      <c r="G5057">
        <v>8.3949999999999996</v>
      </c>
      <c r="N5057" s="8"/>
    </row>
    <row r="5058" spans="1:14" x14ac:dyDescent="0.25">
      <c r="A5058" s="8">
        <v>40571</v>
      </c>
      <c r="B5058">
        <v>372174.12</v>
      </c>
      <c r="C5058">
        <v>0</v>
      </c>
      <c r="D5058">
        <v>48.74</v>
      </c>
      <c r="E5058">
        <v>2.9950000000000001</v>
      </c>
      <c r="F5058">
        <v>210.96824119999999</v>
      </c>
      <c r="G5058">
        <v>8.3949999999999996</v>
      </c>
      <c r="N5058" s="8"/>
    </row>
    <row r="5059" spans="1:14" x14ac:dyDescent="0.25">
      <c r="A5059" s="8">
        <v>40578</v>
      </c>
      <c r="B5059">
        <v>417521.7</v>
      </c>
      <c r="C5059">
        <v>0</v>
      </c>
      <c r="D5059">
        <v>46.68</v>
      </c>
      <c r="E5059">
        <v>2.98</v>
      </c>
      <c r="F5059">
        <v>211.3333753</v>
      </c>
      <c r="G5059">
        <v>8.3949999999999996</v>
      </c>
      <c r="N5059" s="8"/>
    </row>
    <row r="5060" spans="1:14" x14ac:dyDescent="0.25">
      <c r="A5060" s="8">
        <v>40585</v>
      </c>
      <c r="B5060">
        <v>401501.2</v>
      </c>
      <c r="C5060">
        <v>1</v>
      </c>
      <c r="D5060">
        <v>41.16</v>
      </c>
      <c r="E5060">
        <v>3.0089999999999999</v>
      </c>
      <c r="F5060">
        <v>211.69850930000001</v>
      </c>
      <c r="G5060">
        <v>8.3949999999999996</v>
      </c>
      <c r="N5060" s="8"/>
    </row>
    <row r="5061" spans="1:14" x14ac:dyDescent="0.25">
      <c r="A5061" s="8">
        <v>40592</v>
      </c>
      <c r="B5061">
        <v>427175.03</v>
      </c>
      <c r="C5061">
        <v>0</v>
      </c>
      <c r="D5061">
        <v>57.48</v>
      </c>
      <c r="E5061">
        <v>3.0169999999999999</v>
      </c>
      <c r="F5061">
        <v>212.00635220000001</v>
      </c>
      <c r="G5061">
        <v>8.3949999999999996</v>
      </c>
      <c r="N5061" s="8"/>
    </row>
    <row r="5062" spans="1:14" x14ac:dyDescent="0.25">
      <c r="A5062" s="8">
        <v>40599</v>
      </c>
      <c r="B5062">
        <v>380279.44</v>
      </c>
      <c r="C5062">
        <v>0</v>
      </c>
      <c r="D5062">
        <v>67.73</v>
      </c>
      <c r="E5062">
        <v>3.0529999999999999</v>
      </c>
      <c r="F5062">
        <v>212.2912786</v>
      </c>
      <c r="G5062">
        <v>8.3949999999999996</v>
      </c>
      <c r="N5062" s="8"/>
    </row>
    <row r="5063" spans="1:14" x14ac:dyDescent="0.25">
      <c r="A5063" s="8">
        <v>40606</v>
      </c>
      <c r="B5063">
        <v>402579.84</v>
      </c>
      <c r="C5063">
        <v>0</v>
      </c>
      <c r="D5063">
        <v>64.55</v>
      </c>
      <c r="E5063">
        <v>3.282</v>
      </c>
      <c r="F5063">
        <v>212.57620499999999</v>
      </c>
      <c r="G5063">
        <v>8.3949999999999996</v>
      </c>
      <c r="N5063" s="8"/>
    </row>
    <row r="5064" spans="1:14" x14ac:dyDescent="0.25">
      <c r="A5064" s="8">
        <v>40613</v>
      </c>
      <c r="B5064">
        <v>407506.78</v>
      </c>
      <c r="C5064">
        <v>0</v>
      </c>
      <c r="D5064">
        <v>59.15</v>
      </c>
      <c r="E5064">
        <v>3.448</v>
      </c>
      <c r="F5064">
        <v>212.86113130000001</v>
      </c>
      <c r="G5064">
        <v>8.3949999999999996</v>
      </c>
      <c r="N5064" s="8"/>
    </row>
    <row r="5065" spans="1:14" x14ac:dyDescent="0.25">
      <c r="A5065" s="8">
        <v>40620</v>
      </c>
      <c r="B5065">
        <v>431412.22</v>
      </c>
      <c r="C5065">
        <v>0</v>
      </c>
      <c r="D5065">
        <v>64.900000000000006</v>
      </c>
      <c r="E5065">
        <v>3.4870000000000001</v>
      </c>
      <c r="F5065">
        <v>213.10967869999999</v>
      </c>
      <c r="G5065">
        <v>8.3949999999999996</v>
      </c>
      <c r="N5065" s="8"/>
    </row>
    <row r="5066" spans="1:14" x14ac:dyDescent="0.25">
      <c r="A5066" s="8">
        <v>40627</v>
      </c>
      <c r="B5066">
        <v>390732.02</v>
      </c>
      <c r="C5066">
        <v>0</v>
      </c>
      <c r="D5066">
        <v>71.069999999999993</v>
      </c>
      <c r="E5066">
        <v>3.488</v>
      </c>
      <c r="F5066">
        <v>213.3436744</v>
      </c>
      <c r="G5066">
        <v>8.3949999999999996</v>
      </c>
      <c r="N5066" s="8"/>
    </row>
    <row r="5067" spans="1:14" x14ac:dyDescent="0.25">
      <c r="A5067" s="8">
        <v>40634</v>
      </c>
      <c r="B5067">
        <v>385672.11</v>
      </c>
      <c r="C5067">
        <v>0</v>
      </c>
      <c r="D5067">
        <v>67.31</v>
      </c>
      <c r="E5067">
        <v>3.5289999999999999</v>
      </c>
      <c r="F5067">
        <v>213.57767010000001</v>
      </c>
      <c r="G5067">
        <v>8.3000000000000007</v>
      </c>
      <c r="N5067" s="8"/>
    </row>
    <row r="5068" spans="1:14" x14ac:dyDescent="0.25">
      <c r="A5068" s="8">
        <v>40641</v>
      </c>
      <c r="B5068">
        <v>428727.61</v>
      </c>
      <c r="C5068">
        <v>0</v>
      </c>
      <c r="D5068">
        <v>69.39</v>
      </c>
      <c r="E5068">
        <v>3.645</v>
      </c>
      <c r="F5068">
        <v>213.81166579999999</v>
      </c>
      <c r="G5068">
        <v>8.3000000000000007</v>
      </c>
      <c r="N5068" s="8"/>
    </row>
    <row r="5069" spans="1:14" x14ac:dyDescent="0.25">
      <c r="A5069" s="8">
        <v>40648</v>
      </c>
      <c r="B5069">
        <v>414986.54</v>
      </c>
      <c r="C5069">
        <v>0</v>
      </c>
      <c r="D5069">
        <v>73.25</v>
      </c>
      <c r="E5069">
        <v>3.7629999999999999</v>
      </c>
      <c r="F5069">
        <v>214.026217</v>
      </c>
      <c r="G5069">
        <v>8.3000000000000007</v>
      </c>
      <c r="N5069" s="8"/>
    </row>
    <row r="5070" spans="1:14" x14ac:dyDescent="0.25">
      <c r="A5070" s="8">
        <v>40655</v>
      </c>
      <c r="B5070">
        <v>374574.72</v>
      </c>
      <c r="C5070">
        <v>0</v>
      </c>
      <c r="D5070">
        <v>74.569999999999993</v>
      </c>
      <c r="E5070">
        <v>3.8050000000000002</v>
      </c>
      <c r="F5070">
        <v>214.1921572</v>
      </c>
      <c r="G5070">
        <v>8.3000000000000007</v>
      </c>
      <c r="N5070" s="8"/>
    </row>
    <row r="5071" spans="1:14" x14ac:dyDescent="0.25">
      <c r="A5071" s="8">
        <v>40662</v>
      </c>
      <c r="B5071">
        <v>340708.78</v>
      </c>
      <c r="C5071">
        <v>0</v>
      </c>
      <c r="D5071">
        <v>76.099999999999994</v>
      </c>
      <c r="E5071">
        <v>3.8370000000000002</v>
      </c>
      <c r="F5071">
        <v>214.35809739999999</v>
      </c>
      <c r="G5071">
        <v>8.3000000000000007</v>
      </c>
      <c r="N5071" s="8"/>
    </row>
    <row r="5072" spans="1:14" x14ac:dyDescent="0.25">
      <c r="A5072" s="8">
        <v>40669</v>
      </c>
      <c r="B5072">
        <v>393401.4</v>
      </c>
      <c r="C5072">
        <v>0</v>
      </c>
      <c r="D5072">
        <v>69.56</v>
      </c>
      <c r="E5072">
        <v>3.9169999999999998</v>
      </c>
      <c r="F5072">
        <v>214.52403760000001</v>
      </c>
      <c r="G5072">
        <v>8.3000000000000007</v>
      </c>
      <c r="N5072" s="8"/>
    </row>
    <row r="5073" spans="1:14" x14ac:dyDescent="0.25">
      <c r="A5073" s="8">
        <v>40676</v>
      </c>
      <c r="B5073">
        <v>395316.65</v>
      </c>
      <c r="C5073">
        <v>0</v>
      </c>
      <c r="D5073">
        <v>76.73</v>
      </c>
      <c r="E5073">
        <v>3.92</v>
      </c>
      <c r="F5073">
        <v>214.68997780000001</v>
      </c>
      <c r="G5073">
        <v>8.3000000000000007</v>
      </c>
      <c r="N5073" s="8"/>
    </row>
    <row r="5074" spans="1:14" x14ac:dyDescent="0.25">
      <c r="A5074" s="8">
        <v>40683</v>
      </c>
      <c r="B5074">
        <v>376183.44</v>
      </c>
      <c r="C5074">
        <v>0</v>
      </c>
      <c r="D5074">
        <v>73.02</v>
      </c>
      <c r="E5074">
        <v>3.9249999999999998</v>
      </c>
      <c r="F5074">
        <v>214.46541199999999</v>
      </c>
      <c r="G5074">
        <v>8.3000000000000007</v>
      </c>
      <c r="N5074" s="8"/>
    </row>
    <row r="5075" spans="1:14" x14ac:dyDescent="0.25">
      <c r="A5075" s="8">
        <v>40690</v>
      </c>
      <c r="B5075">
        <v>348655.2</v>
      </c>
      <c r="C5075">
        <v>0</v>
      </c>
      <c r="D5075">
        <v>81.28</v>
      </c>
      <c r="E5075">
        <v>3.786</v>
      </c>
      <c r="F5075">
        <v>214.24084619999999</v>
      </c>
      <c r="G5075">
        <v>8.3000000000000007</v>
      </c>
      <c r="N5075" s="8"/>
    </row>
    <row r="5076" spans="1:14" x14ac:dyDescent="0.25">
      <c r="A5076" s="8">
        <v>40697</v>
      </c>
      <c r="B5076">
        <v>373703.95</v>
      </c>
      <c r="C5076">
        <v>0</v>
      </c>
      <c r="D5076">
        <v>82.96</v>
      </c>
      <c r="E5076">
        <v>3.69</v>
      </c>
      <c r="F5076">
        <v>214.01628049999999</v>
      </c>
      <c r="G5076">
        <v>8.3000000000000007</v>
      </c>
      <c r="N5076" s="8"/>
    </row>
    <row r="5077" spans="1:14" x14ac:dyDescent="0.25">
      <c r="A5077" s="8">
        <v>40704</v>
      </c>
      <c r="B5077">
        <v>374182.04</v>
      </c>
      <c r="C5077">
        <v>0</v>
      </c>
      <c r="D5077">
        <v>82.41</v>
      </c>
      <c r="E5077">
        <v>3.633</v>
      </c>
      <c r="F5077">
        <v>213.7917147</v>
      </c>
      <c r="G5077">
        <v>8.3000000000000007</v>
      </c>
      <c r="N5077" s="8"/>
    </row>
    <row r="5078" spans="1:14" x14ac:dyDescent="0.25">
      <c r="A5078" s="8">
        <v>40711</v>
      </c>
      <c r="B5078">
        <v>394645.25</v>
      </c>
      <c r="C5078">
        <v>0</v>
      </c>
      <c r="D5078">
        <v>84.43</v>
      </c>
      <c r="E5078">
        <v>3.5990000000000002</v>
      </c>
      <c r="F5078">
        <v>213.74812560000001</v>
      </c>
      <c r="G5078">
        <v>8.3000000000000007</v>
      </c>
      <c r="N5078" s="8"/>
    </row>
    <row r="5079" spans="1:14" x14ac:dyDescent="0.25">
      <c r="A5079" s="8">
        <v>40718</v>
      </c>
      <c r="B5079">
        <v>360009.94</v>
      </c>
      <c r="C5079">
        <v>0</v>
      </c>
      <c r="D5079">
        <v>83.95</v>
      </c>
      <c r="E5079">
        <v>3.569</v>
      </c>
      <c r="F5079">
        <v>213.84026890000001</v>
      </c>
      <c r="G5079">
        <v>8.3000000000000007</v>
      </c>
      <c r="N5079" s="8"/>
    </row>
    <row r="5080" spans="1:14" x14ac:dyDescent="0.25">
      <c r="A5080" s="8">
        <v>40725</v>
      </c>
      <c r="B5080">
        <v>354270.77</v>
      </c>
      <c r="C5080">
        <v>0</v>
      </c>
      <c r="D5080">
        <v>85.33</v>
      </c>
      <c r="E5080">
        <v>3.5019999999999998</v>
      </c>
      <c r="F5080">
        <v>213.93241219999999</v>
      </c>
      <c r="G5080">
        <v>8.1769999999999996</v>
      </c>
      <c r="N5080" s="8"/>
    </row>
    <row r="5081" spans="1:14" x14ac:dyDescent="0.25">
      <c r="A5081" s="8">
        <v>40732</v>
      </c>
      <c r="B5081">
        <v>377464.62</v>
      </c>
      <c r="C5081">
        <v>0</v>
      </c>
      <c r="D5081">
        <v>84.71</v>
      </c>
      <c r="E5081">
        <v>3.44</v>
      </c>
      <c r="F5081">
        <v>214.02455560000001</v>
      </c>
      <c r="G5081">
        <v>8.1769999999999996</v>
      </c>
      <c r="N5081" s="8"/>
    </row>
    <row r="5082" spans="1:14" x14ac:dyDescent="0.25">
      <c r="A5082" s="8">
        <v>40739</v>
      </c>
      <c r="B5082">
        <v>385631.48</v>
      </c>
      <c r="C5082">
        <v>0</v>
      </c>
      <c r="D5082">
        <v>85.63</v>
      </c>
      <c r="E5082">
        <v>3.55</v>
      </c>
      <c r="F5082">
        <v>214.1083654</v>
      </c>
      <c r="G5082">
        <v>8.1769999999999996</v>
      </c>
      <c r="N5082" s="8"/>
    </row>
    <row r="5083" spans="1:14" x14ac:dyDescent="0.25">
      <c r="A5083" s="8">
        <v>40746</v>
      </c>
      <c r="B5083">
        <v>361311.41</v>
      </c>
      <c r="C5083">
        <v>0</v>
      </c>
      <c r="D5083">
        <v>83.31</v>
      </c>
      <c r="E5083">
        <v>3.637</v>
      </c>
      <c r="F5083">
        <v>214.17134160000001</v>
      </c>
      <c r="G5083">
        <v>8.1769999999999996</v>
      </c>
      <c r="N5083" s="8"/>
    </row>
    <row r="5084" spans="1:14" x14ac:dyDescent="0.25">
      <c r="A5084" s="8">
        <v>40753</v>
      </c>
      <c r="B5084">
        <v>354361.08</v>
      </c>
      <c r="C5084">
        <v>0</v>
      </c>
      <c r="D5084">
        <v>84.99</v>
      </c>
      <c r="E5084">
        <v>3.66</v>
      </c>
      <c r="F5084">
        <v>214.23431769999999</v>
      </c>
      <c r="G5084">
        <v>8.1769999999999996</v>
      </c>
      <c r="N5084" s="8"/>
    </row>
    <row r="5085" spans="1:14" x14ac:dyDescent="0.25">
      <c r="A5085" s="8">
        <v>40760</v>
      </c>
      <c r="B5085">
        <v>381017.75</v>
      </c>
      <c r="C5085">
        <v>0</v>
      </c>
      <c r="D5085">
        <v>86.71</v>
      </c>
      <c r="E5085">
        <v>3.6520000000000001</v>
      </c>
      <c r="F5085">
        <v>214.2972939</v>
      </c>
      <c r="G5085">
        <v>8.1769999999999996</v>
      </c>
      <c r="N5085" s="8"/>
    </row>
    <row r="5086" spans="1:14" x14ac:dyDescent="0.25">
      <c r="A5086" s="8">
        <v>40767</v>
      </c>
      <c r="B5086">
        <v>380188.69</v>
      </c>
      <c r="C5086">
        <v>0</v>
      </c>
      <c r="D5086">
        <v>87.64</v>
      </c>
      <c r="E5086">
        <v>3.6080000000000001</v>
      </c>
      <c r="F5086">
        <v>214.36027010000001</v>
      </c>
      <c r="G5086">
        <v>8.1769999999999996</v>
      </c>
      <c r="N5086" s="8"/>
    </row>
    <row r="5087" spans="1:14" x14ac:dyDescent="0.25">
      <c r="A5087" s="8">
        <v>40774</v>
      </c>
      <c r="B5087">
        <v>373267.58</v>
      </c>
      <c r="C5087">
        <v>0</v>
      </c>
      <c r="D5087">
        <v>87.24</v>
      </c>
      <c r="E5087">
        <v>3.5339999999999998</v>
      </c>
      <c r="F5087">
        <v>214.42399349999999</v>
      </c>
      <c r="G5087">
        <v>8.1769999999999996</v>
      </c>
      <c r="N5087" s="8"/>
    </row>
    <row r="5088" spans="1:14" x14ac:dyDescent="0.25">
      <c r="A5088" s="8">
        <v>40781</v>
      </c>
      <c r="B5088">
        <v>344964.2</v>
      </c>
      <c r="C5088">
        <v>0</v>
      </c>
      <c r="D5088">
        <v>86.02</v>
      </c>
      <c r="E5088">
        <v>3.5009999999999999</v>
      </c>
      <c r="F5088">
        <v>214.4878416</v>
      </c>
      <c r="G5088">
        <v>8.1769999999999996</v>
      </c>
      <c r="N5088" s="8"/>
    </row>
    <row r="5089" spans="1:14" x14ac:dyDescent="0.25">
      <c r="A5089" s="8">
        <v>40788</v>
      </c>
      <c r="B5089">
        <v>350276.29</v>
      </c>
      <c r="C5089">
        <v>0</v>
      </c>
      <c r="D5089">
        <v>87.5</v>
      </c>
      <c r="E5089">
        <v>3.4809999999999999</v>
      </c>
      <c r="F5089">
        <v>214.5516896</v>
      </c>
      <c r="G5089">
        <v>8.1769999999999996</v>
      </c>
      <c r="N5089" s="8"/>
    </row>
    <row r="5090" spans="1:14" x14ac:dyDescent="0.25">
      <c r="A5090" s="8">
        <v>40795</v>
      </c>
      <c r="B5090">
        <v>352960.64</v>
      </c>
      <c r="C5090">
        <v>1</v>
      </c>
      <c r="D5090">
        <v>77.94</v>
      </c>
      <c r="E5090">
        <v>3.4990000000000001</v>
      </c>
      <c r="F5090">
        <v>214.61553760000001</v>
      </c>
      <c r="G5090">
        <v>8.1769999999999996</v>
      </c>
      <c r="N5090" s="8"/>
    </row>
    <row r="5091" spans="1:14" x14ac:dyDescent="0.25">
      <c r="A5091" s="8">
        <v>40802</v>
      </c>
      <c r="B5091">
        <v>343108.12</v>
      </c>
      <c r="C5091">
        <v>0</v>
      </c>
      <c r="D5091">
        <v>82.06</v>
      </c>
      <c r="E5091">
        <v>3.4729999999999999</v>
      </c>
      <c r="F5091">
        <v>214.79341109999999</v>
      </c>
      <c r="G5091">
        <v>8.1769999999999996</v>
      </c>
      <c r="N5091" s="8"/>
    </row>
    <row r="5092" spans="1:14" x14ac:dyDescent="0.25">
      <c r="A5092" s="8">
        <v>40809</v>
      </c>
      <c r="B5092">
        <v>322405.13</v>
      </c>
      <c r="C5092">
        <v>0</v>
      </c>
      <c r="D5092">
        <v>78.349999999999994</v>
      </c>
      <c r="E5092">
        <v>3.4409999999999998</v>
      </c>
      <c r="F5092">
        <v>215.12331850000001</v>
      </c>
      <c r="G5092">
        <v>8.1769999999999996</v>
      </c>
      <c r="N5092" s="8"/>
    </row>
    <row r="5093" spans="1:14" x14ac:dyDescent="0.25">
      <c r="A5093" s="8">
        <v>40816</v>
      </c>
      <c r="B5093">
        <v>314910.37</v>
      </c>
      <c r="C5093">
        <v>0</v>
      </c>
      <c r="D5093">
        <v>81.52</v>
      </c>
      <c r="E5093">
        <v>3.3279999999999998</v>
      </c>
      <c r="F5093">
        <v>215.45322590000001</v>
      </c>
      <c r="G5093">
        <v>8.1769999999999996</v>
      </c>
      <c r="N5093" s="8"/>
    </row>
    <row r="5094" spans="1:14" x14ac:dyDescent="0.25">
      <c r="A5094" s="8">
        <v>40823</v>
      </c>
      <c r="B5094">
        <v>346137.87</v>
      </c>
      <c r="C5094">
        <v>0</v>
      </c>
      <c r="D5094">
        <v>71.2</v>
      </c>
      <c r="E5094">
        <v>3.262</v>
      </c>
      <c r="F5094">
        <v>215.7831333</v>
      </c>
      <c r="G5094">
        <v>7.7160000000000002</v>
      </c>
      <c r="N5094" s="8"/>
    </row>
    <row r="5095" spans="1:14" x14ac:dyDescent="0.25">
      <c r="A5095" s="8">
        <v>40830</v>
      </c>
      <c r="B5095">
        <v>342076.99</v>
      </c>
      <c r="C5095">
        <v>0</v>
      </c>
      <c r="D5095">
        <v>74.16</v>
      </c>
      <c r="E5095">
        <v>3.234</v>
      </c>
      <c r="F5095">
        <v>216.08852580000001</v>
      </c>
      <c r="G5095">
        <v>7.7160000000000002</v>
      </c>
      <c r="N5095" s="8"/>
    </row>
    <row r="5096" spans="1:14" x14ac:dyDescent="0.25">
      <c r="A5096" s="8">
        <v>40837</v>
      </c>
      <c r="B5096">
        <v>328633.34000000003</v>
      </c>
      <c r="C5096">
        <v>0</v>
      </c>
      <c r="D5096">
        <v>67.89</v>
      </c>
      <c r="E5096">
        <v>3.3079999999999998</v>
      </c>
      <c r="F5096">
        <v>216.24682870000001</v>
      </c>
      <c r="G5096">
        <v>7.7160000000000002</v>
      </c>
      <c r="N5096" s="8"/>
    </row>
    <row r="5097" spans="1:14" x14ac:dyDescent="0.25">
      <c r="A5097" s="8">
        <v>40844</v>
      </c>
      <c r="B5097">
        <v>306193.81</v>
      </c>
      <c r="C5097">
        <v>0</v>
      </c>
      <c r="D5097">
        <v>71.31</v>
      </c>
      <c r="E5097">
        <v>3.306</v>
      </c>
      <c r="F5097">
        <v>216.40513150000001</v>
      </c>
      <c r="G5097">
        <v>7.7160000000000002</v>
      </c>
      <c r="N5097" s="8"/>
    </row>
    <row r="5098" spans="1:14" x14ac:dyDescent="0.25">
      <c r="A5098" s="8">
        <v>40851</v>
      </c>
      <c r="B5098">
        <v>313387.11</v>
      </c>
      <c r="C5098">
        <v>0</v>
      </c>
      <c r="D5098">
        <v>58.97</v>
      </c>
      <c r="E5098">
        <v>3.2869999999999999</v>
      </c>
      <c r="F5098">
        <v>216.56343440000001</v>
      </c>
      <c r="G5098">
        <v>7.7160000000000002</v>
      </c>
      <c r="N5098" s="8"/>
    </row>
    <row r="5099" spans="1:14" x14ac:dyDescent="0.25">
      <c r="A5099" s="8">
        <v>40858</v>
      </c>
      <c r="B5099">
        <v>328498.92</v>
      </c>
      <c r="C5099">
        <v>0</v>
      </c>
      <c r="D5099">
        <v>63.5</v>
      </c>
      <c r="E5099">
        <v>3.254</v>
      </c>
      <c r="F5099">
        <v>216.7217373</v>
      </c>
      <c r="G5099">
        <v>7.7160000000000002</v>
      </c>
      <c r="N5099" s="8"/>
    </row>
    <row r="5100" spans="1:14" x14ac:dyDescent="0.25">
      <c r="A5100" s="8">
        <v>40865</v>
      </c>
      <c r="B5100">
        <v>332901.94</v>
      </c>
      <c r="C5100">
        <v>0</v>
      </c>
      <c r="D5100">
        <v>66.28</v>
      </c>
      <c r="E5100">
        <v>3.26</v>
      </c>
      <c r="F5100">
        <v>216.93958610000001</v>
      </c>
      <c r="G5100">
        <v>7.7160000000000002</v>
      </c>
      <c r="N5100" s="8"/>
    </row>
    <row r="5101" spans="1:14" x14ac:dyDescent="0.25">
      <c r="A5101" s="8">
        <v>40872</v>
      </c>
      <c r="B5101">
        <v>332811.55</v>
      </c>
      <c r="C5101">
        <v>1</v>
      </c>
      <c r="D5101">
        <v>66.41</v>
      </c>
      <c r="E5101">
        <v>3.181</v>
      </c>
      <c r="F5101">
        <v>217.18125330000001</v>
      </c>
      <c r="G5101">
        <v>7.7160000000000002</v>
      </c>
      <c r="N5101" s="8"/>
    </row>
    <row r="5102" spans="1:14" x14ac:dyDescent="0.25">
      <c r="A5102" s="8">
        <v>40879</v>
      </c>
      <c r="B5102">
        <v>293350.51</v>
      </c>
      <c r="C5102">
        <v>0</v>
      </c>
      <c r="D5102">
        <v>53.57</v>
      </c>
      <c r="E5102">
        <v>3.1640000000000001</v>
      </c>
      <c r="F5102">
        <v>217.4229206</v>
      </c>
      <c r="G5102">
        <v>7.7160000000000002</v>
      </c>
      <c r="N5102" s="8"/>
    </row>
    <row r="5103" spans="1:14" x14ac:dyDescent="0.25">
      <c r="A5103" s="8">
        <v>40886</v>
      </c>
      <c r="B5103">
        <v>312298.37</v>
      </c>
      <c r="C5103">
        <v>0</v>
      </c>
      <c r="D5103">
        <v>50.64</v>
      </c>
      <c r="E5103">
        <v>3.1469999999999998</v>
      </c>
      <c r="F5103">
        <v>217.66458779999999</v>
      </c>
      <c r="G5103">
        <v>7.7160000000000002</v>
      </c>
      <c r="N5103" s="8"/>
    </row>
    <row r="5104" spans="1:14" x14ac:dyDescent="0.25">
      <c r="A5104" s="8">
        <v>40893</v>
      </c>
      <c r="B5104">
        <v>341503.92</v>
      </c>
      <c r="C5104">
        <v>0</v>
      </c>
      <c r="D5104">
        <v>58.31</v>
      </c>
      <c r="E5104">
        <v>3.133</v>
      </c>
      <c r="F5104">
        <v>217.87813389999999</v>
      </c>
      <c r="G5104">
        <v>7.7160000000000002</v>
      </c>
      <c r="N5104" s="8"/>
    </row>
    <row r="5105" spans="1:14" x14ac:dyDescent="0.25">
      <c r="A5105" s="8">
        <v>40900</v>
      </c>
      <c r="B5105">
        <v>325262.46000000002</v>
      </c>
      <c r="C5105">
        <v>0</v>
      </c>
      <c r="D5105">
        <v>55.41</v>
      </c>
      <c r="E5105">
        <v>3.0979999999999999</v>
      </c>
      <c r="F5105">
        <v>218.05418510000001</v>
      </c>
      <c r="G5105">
        <v>7.7160000000000002</v>
      </c>
      <c r="N5105" s="8"/>
    </row>
    <row r="5106" spans="1:14" x14ac:dyDescent="0.25">
      <c r="A5106" s="8">
        <v>40907</v>
      </c>
      <c r="B5106">
        <v>287425.21999999997</v>
      </c>
      <c r="C5106">
        <v>1</v>
      </c>
      <c r="D5106">
        <v>48.26</v>
      </c>
      <c r="E5106">
        <v>3.1320000000000001</v>
      </c>
      <c r="F5106">
        <v>218.2302364</v>
      </c>
      <c r="G5106">
        <v>7.7160000000000002</v>
      </c>
      <c r="N5106" s="8"/>
    </row>
    <row r="5107" spans="1:14" x14ac:dyDescent="0.25">
      <c r="A5107" s="8">
        <v>40914</v>
      </c>
      <c r="B5107">
        <v>329467.82</v>
      </c>
      <c r="C5107">
        <v>0</v>
      </c>
      <c r="D5107">
        <v>57.18</v>
      </c>
      <c r="E5107">
        <v>3.129</v>
      </c>
      <c r="F5107">
        <v>218.40628760000001</v>
      </c>
      <c r="G5107">
        <v>7.2439999999999998</v>
      </c>
      <c r="N5107" s="8"/>
    </row>
    <row r="5108" spans="1:14" x14ac:dyDescent="0.25">
      <c r="A5108" s="8">
        <v>40921</v>
      </c>
      <c r="B5108">
        <v>325976.34000000003</v>
      </c>
      <c r="C5108">
        <v>0</v>
      </c>
      <c r="D5108">
        <v>56.28</v>
      </c>
      <c r="E5108">
        <v>3.254</v>
      </c>
      <c r="F5108">
        <v>218.5823389</v>
      </c>
      <c r="G5108">
        <v>7.2439999999999998</v>
      </c>
      <c r="N5108" s="8"/>
    </row>
    <row r="5109" spans="1:14" x14ac:dyDescent="0.25">
      <c r="A5109" s="8">
        <v>40928</v>
      </c>
      <c r="B5109">
        <v>330927.21000000002</v>
      </c>
      <c r="C5109">
        <v>0</v>
      </c>
      <c r="D5109">
        <v>58.9</v>
      </c>
      <c r="E5109">
        <v>3.2749999999999999</v>
      </c>
      <c r="F5109">
        <v>218.6755292</v>
      </c>
      <c r="G5109">
        <v>7.2439999999999998</v>
      </c>
      <c r="N5109" s="8"/>
    </row>
    <row r="5110" spans="1:14" x14ac:dyDescent="0.25">
      <c r="A5110" s="8">
        <v>40935</v>
      </c>
      <c r="B5110">
        <v>301444.94</v>
      </c>
      <c r="C5110">
        <v>0</v>
      </c>
      <c r="D5110">
        <v>62.73</v>
      </c>
      <c r="E5110">
        <v>3.3130000000000002</v>
      </c>
      <c r="F5110">
        <v>218.7687195</v>
      </c>
      <c r="G5110">
        <v>7.2439999999999998</v>
      </c>
      <c r="N5110" s="8"/>
    </row>
    <row r="5111" spans="1:14" x14ac:dyDescent="0.25">
      <c r="A5111" s="8">
        <v>40942</v>
      </c>
      <c r="B5111">
        <v>310982.87</v>
      </c>
      <c r="C5111">
        <v>0</v>
      </c>
      <c r="D5111">
        <v>61.33</v>
      </c>
      <c r="E5111">
        <v>3.4209999999999998</v>
      </c>
      <c r="F5111">
        <v>218.8619099</v>
      </c>
      <c r="G5111">
        <v>7.2439999999999998</v>
      </c>
      <c r="N5111" s="8"/>
    </row>
    <row r="5112" spans="1:14" x14ac:dyDescent="0.25">
      <c r="A5112" s="8">
        <v>40949</v>
      </c>
      <c r="B5112">
        <v>335741.9</v>
      </c>
      <c r="C5112">
        <v>1</v>
      </c>
      <c r="D5112">
        <v>54.49</v>
      </c>
      <c r="E5112">
        <v>3.4620000000000002</v>
      </c>
      <c r="F5112">
        <v>218.9551002</v>
      </c>
      <c r="G5112">
        <v>7.2439999999999998</v>
      </c>
      <c r="N5112" s="8"/>
    </row>
    <row r="5113" spans="1:14" x14ac:dyDescent="0.25">
      <c r="A5113" s="8">
        <v>40956</v>
      </c>
      <c r="B5113">
        <v>326316.73</v>
      </c>
      <c r="C5113">
        <v>0</v>
      </c>
      <c r="D5113">
        <v>54.38</v>
      </c>
      <c r="E5113">
        <v>3.5030000000000001</v>
      </c>
      <c r="F5113">
        <v>219.1148297</v>
      </c>
      <c r="G5113">
        <v>7.2439999999999998</v>
      </c>
      <c r="N5113" s="8"/>
    </row>
    <row r="5114" spans="1:14" x14ac:dyDescent="0.25">
      <c r="A5114" s="8">
        <v>40963</v>
      </c>
      <c r="B5114">
        <v>313270.45</v>
      </c>
      <c r="C5114">
        <v>0</v>
      </c>
      <c r="D5114">
        <v>62.21</v>
      </c>
      <c r="E5114">
        <v>3.55</v>
      </c>
      <c r="F5114">
        <v>219.3244636</v>
      </c>
      <c r="G5114">
        <v>7.2439999999999998</v>
      </c>
      <c r="N5114" s="8"/>
    </row>
    <row r="5115" spans="1:14" x14ac:dyDescent="0.25">
      <c r="A5115" s="8">
        <v>40970</v>
      </c>
      <c r="B5115">
        <v>315396.71999999997</v>
      </c>
      <c r="C5115">
        <v>0</v>
      </c>
      <c r="D5115">
        <v>64.540000000000006</v>
      </c>
      <c r="E5115">
        <v>3.6190000000000002</v>
      </c>
      <c r="F5115">
        <v>219.5340975</v>
      </c>
      <c r="G5115">
        <v>7.2439999999999998</v>
      </c>
      <c r="N5115" s="8"/>
    </row>
    <row r="5116" spans="1:14" x14ac:dyDescent="0.25">
      <c r="A5116" s="8">
        <v>40977</v>
      </c>
      <c r="B5116">
        <v>318674.93</v>
      </c>
      <c r="C5116">
        <v>0</v>
      </c>
      <c r="D5116">
        <v>63.19</v>
      </c>
      <c r="E5116">
        <v>3.6469999999999998</v>
      </c>
      <c r="F5116">
        <v>219.7437314</v>
      </c>
      <c r="G5116">
        <v>7.2439999999999998</v>
      </c>
      <c r="N5116" s="8"/>
    </row>
    <row r="5117" spans="1:14" x14ac:dyDescent="0.25">
      <c r="A5117" s="8">
        <v>40984</v>
      </c>
      <c r="B5117">
        <v>335345.82</v>
      </c>
      <c r="C5117">
        <v>0</v>
      </c>
      <c r="D5117">
        <v>67.48</v>
      </c>
      <c r="E5117">
        <v>3.7789999999999999</v>
      </c>
      <c r="F5117">
        <v>219.8956335</v>
      </c>
      <c r="G5117">
        <v>7.2439999999999998</v>
      </c>
      <c r="N5117" s="8"/>
    </row>
    <row r="5118" spans="1:14" x14ac:dyDescent="0.25">
      <c r="A5118" s="8">
        <v>40991</v>
      </c>
      <c r="B5118">
        <v>317872.51</v>
      </c>
      <c r="C5118">
        <v>0</v>
      </c>
      <c r="D5118">
        <v>69.180000000000007</v>
      </c>
      <c r="E5118">
        <v>3.8450000000000002</v>
      </c>
      <c r="F5118">
        <v>219.97055990000001</v>
      </c>
      <c r="G5118">
        <v>7.2439999999999998</v>
      </c>
      <c r="N5118" s="8"/>
    </row>
    <row r="5119" spans="1:14" x14ac:dyDescent="0.25">
      <c r="A5119" s="8">
        <v>40998</v>
      </c>
      <c r="B5119">
        <v>304144.90000000002</v>
      </c>
      <c r="C5119">
        <v>0</v>
      </c>
      <c r="D5119">
        <v>70.48</v>
      </c>
      <c r="E5119">
        <v>3.891</v>
      </c>
      <c r="F5119">
        <v>220.0454862</v>
      </c>
      <c r="G5119">
        <v>7.2439999999999998</v>
      </c>
      <c r="N5119" s="8"/>
    </row>
    <row r="5120" spans="1:14" x14ac:dyDescent="0.25">
      <c r="A5120" s="8">
        <v>41005</v>
      </c>
      <c r="B5120">
        <v>331026.11</v>
      </c>
      <c r="C5120">
        <v>0</v>
      </c>
      <c r="D5120">
        <v>73.95</v>
      </c>
      <c r="E5120">
        <v>3.9340000000000002</v>
      </c>
      <c r="F5120">
        <v>220.12041249999999</v>
      </c>
      <c r="G5120">
        <v>6.9889999999999999</v>
      </c>
      <c r="N5120" s="8"/>
    </row>
    <row r="5121" spans="1:14" x14ac:dyDescent="0.25">
      <c r="A5121" s="8">
        <v>41012</v>
      </c>
      <c r="B5121">
        <v>339407.94</v>
      </c>
      <c r="C5121">
        <v>0</v>
      </c>
      <c r="D5121">
        <v>72.540000000000006</v>
      </c>
      <c r="E5121">
        <v>3.919</v>
      </c>
      <c r="F5121">
        <v>220.1953389</v>
      </c>
      <c r="G5121">
        <v>6.9889999999999999</v>
      </c>
      <c r="N5121" s="8"/>
    </row>
    <row r="5122" spans="1:14" x14ac:dyDescent="0.25">
      <c r="A5122" s="8">
        <v>41019</v>
      </c>
      <c r="B5122">
        <v>323915.32</v>
      </c>
      <c r="C5122">
        <v>0</v>
      </c>
      <c r="D5122">
        <v>70.87</v>
      </c>
      <c r="E5122">
        <v>3.9180000000000001</v>
      </c>
      <c r="F5122">
        <v>220.24839370000001</v>
      </c>
      <c r="G5122">
        <v>6.9889999999999999</v>
      </c>
      <c r="N5122" s="8"/>
    </row>
    <row r="5123" spans="1:14" x14ac:dyDescent="0.25">
      <c r="A5123" s="8">
        <v>41026</v>
      </c>
      <c r="B5123">
        <v>308389.82</v>
      </c>
      <c r="C5123">
        <v>0</v>
      </c>
      <c r="D5123">
        <v>70.06</v>
      </c>
      <c r="E5123">
        <v>3.8879999999999999</v>
      </c>
      <c r="F5123">
        <v>220.30144849999999</v>
      </c>
      <c r="G5123">
        <v>6.9889999999999999</v>
      </c>
      <c r="N5123" s="8"/>
    </row>
    <row r="5124" spans="1:14" x14ac:dyDescent="0.25">
      <c r="A5124" s="8">
        <v>41033</v>
      </c>
      <c r="B5124">
        <v>312467.52</v>
      </c>
      <c r="C5124">
        <v>0</v>
      </c>
      <c r="D5124">
        <v>77.17</v>
      </c>
      <c r="E5124">
        <v>3.835</v>
      </c>
      <c r="F5124">
        <v>220.3545033</v>
      </c>
      <c r="G5124">
        <v>6.9889999999999999</v>
      </c>
      <c r="N5124" s="8"/>
    </row>
    <row r="5125" spans="1:14" x14ac:dyDescent="0.25">
      <c r="A5125" s="8">
        <v>41040</v>
      </c>
      <c r="B5125">
        <v>330518.34000000003</v>
      </c>
      <c r="C5125">
        <v>0</v>
      </c>
      <c r="D5125">
        <v>76.55</v>
      </c>
      <c r="E5125">
        <v>3.7639999999999998</v>
      </c>
      <c r="F5125">
        <v>220.40755809999999</v>
      </c>
      <c r="G5125">
        <v>6.9889999999999999</v>
      </c>
      <c r="N5125" s="8"/>
    </row>
    <row r="5126" spans="1:14" x14ac:dyDescent="0.25">
      <c r="A5126" s="8">
        <v>41047</v>
      </c>
      <c r="B5126">
        <v>324801.13</v>
      </c>
      <c r="C5126">
        <v>0</v>
      </c>
      <c r="D5126">
        <v>73.7</v>
      </c>
      <c r="E5126">
        <v>3.7130000000000001</v>
      </c>
      <c r="F5126">
        <v>220.42521489999999</v>
      </c>
      <c r="G5126">
        <v>6.9889999999999999</v>
      </c>
      <c r="N5126" s="8"/>
    </row>
    <row r="5127" spans="1:14" x14ac:dyDescent="0.25">
      <c r="A5127" s="8">
        <v>41054</v>
      </c>
      <c r="B5127">
        <v>306098.17</v>
      </c>
      <c r="C5127">
        <v>0</v>
      </c>
      <c r="D5127">
        <v>78.94</v>
      </c>
      <c r="E5127">
        <v>3.6360000000000001</v>
      </c>
      <c r="F5127">
        <v>220.42871239999999</v>
      </c>
      <c r="G5127">
        <v>6.9889999999999999</v>
      </c>
      <c r="N5127" s="8"/>
    </row>
    <row r="5128" spans="1:14" x14ac:dyDescent="0.25">
      <c r="A5128" s="8">
        <v>41061</v>
      </c>
      <c r="B5128">
        <v>306005.53000000003</v>
      </c>
      <c r="C5128">
        <v>0</v>
      </c>
      <c r="D5128">
        <v>80.739999999999995</v>
      </c>
      <c r="E5128">
        <v>3.5670000000000002</v>
      </c>
      <c r="F5128">
        <v>220.4322099</v>
      </c>
      <c r="G5128">
        <v>6.9889999999999999</v>
      </c>
      <c r="N5128" s="8"/>
    </row>
    <row r="5129" spans="1:14" x14ac:dyDescent="0.25">
      <c r="A5129" s="8">
        <v>41068</v>
      </c>
      <c r="B5129">
        <v>338273.38</v>
      </c>
      <c r="C5129">
        <v>0</v>
      </c>
      <c r="D5129">
        <v>81.5</v>
      </c>
      <c r="E5129">
        <v>3.5129999999999999</v>
      </c>
      <c r="F5129">
        <v>220.43570729999999</v>
      </c>
      <c r="G5129">
        <v>6.9889999999999999</v>
      </c>
      <c r="N5129" s="8"/>
    </row>
    <row r="5130" spans="1:14" x14ac:dyDescent="0.25">
      <c r="A5130" s="8">
        <v>41075</v>
      </c>
      <c r="B5130">
        <v>333146.88</v>
      </c>
      <c r="C5130">
        <v>0</v>
      </c>
      <c r="D5130">
        <v>82.15</v>
      </c>
      <c r="E5130">
        <v>3.407</v>
      </c>
      <c r="F5130">
        <v>220.4494148</v>
      </c>
      <c r="G5130">
        <v>6.9889999999999999</v>
      </c>
      <c r="N5130" s="8"/>
    </row>
    <row r="5131" spans="1:14" x14ac:dyDescent="0.25">
      <c r="A5131" s="8">
        <v>41082</v>
      </c>
      <c r="B5131">
        <v>306411.01</v>
      </c>
      <c r="C5131">
        <v>0</v>
      </c>
      <c r="D5131">
        <v>80.400000000000006</v>
      </c>
      <c r="E5131">
        <v>3.3580000000000001</v>
      </c>
      <c r="F5131">
        <v>220.4886472</v>
      </c>
      <c r="G5131">
        <v>6.9889999999999999</v>
      </c>
      <c r="N5131" s="8"/>
    </row>
    <row r="5132" spans="1:14" x14ac:dyDescent="0.25">
      <c r="A5132" s="8">
        <v>41089</v>
      </c>
      <c r="B5132">
        <v>291530.43</v>
      </c>
      <c r="C5132">
        <v>0</v>
      </c>
      <c r="D5132">
        <v>86.68</v>
      </c>
      <c r="E5132">
        <v>3.2730000000000001</v>
      </c>
      <c r="F5132">
        <v>220.52787960000001</v>
      </c>
      <c r="G5132">
        <v>6.9889999999999999</v>
      </c>
      <c r="N5132" s="8"/>
    </row>
    <row r="5133" spans="1:14" x14ac:dyDescent="0.25">
      <c r="A5133" s="8">
        <v>41096</v>
      </c>
      <c r="B5133">
        <v>306578.89</v>
      </c>
      <c r="C5133">
        <v>0</v>
      </c>
      <c r="D5133">
        <v>81.52</v>
      </c>
      <c r="E5133">
        <v>3.2320000000000002</v>
      </c>
      <c r="F5133">
        <v>220.56711200000001</v>
      </c>
      <c r="G5133">
        <v>6.6230000000000002</v>
      </c>
      <c r="N5133" s="8"/>
    </row>
    <row r="5134" spans="1:14" x14ac:dyDescent="0.25">
      <c r="A5134" s="8">
        <v>41103</v>
      </c>
      <c r="B5134">
        <v>298337.40999999997</v>
      </c>
      <c r="C5134">
        <v>0</v>
      </c>
      <c r="D5134">
        <v>78.150000000000006</v>
      </c>
      <c r="E5134">
        <v>3.2450000000000001</v>
      </c>
      <c r="F5134">
        <v>220.60634440000001</v>
      </c>
      <c r="G5134">
        <v>6.6230000000000002</v>
      </c>
      <c r="N5134" s="8"/>
    </row>
    <row r="5135" spans="1:14" x14ac:dyDescent="0.25">
      <c r="A5135" s="8">
        <v>41110</v>
      </c>
      <c r="B5135">
        <v>303289.55</v>
      </c>
      <c r="C5135">
        <v>0</v>
      </c>
      <c r="D5135">
        <v>81.760000000000005</v>
      </c>
      <c r="E5135">
        <v>3.3010000000000002</v>
      </c>
      <c r="F5135">
        <v>220.61487489999999</v>
      </c>
      <c r="G5135">
        <v>6.6230000000000002</v>
      </c>
      <c r="N5135" s="8"/>
    </row>
    <row r="5136" spans="1:14" x14ac:dyDescent="0.25">
      <c r="A5136" s="8">
        <v>41117</v>
      </c>
      <c r="B5136">
        <v>279643.43</v>
      </c>
      <c r="C5136">
        <v>0</v>
      </c>
      <c r="D5136">
        <v>84</v>
      </c>
      <c r="E5136">
        <v>3.3919999999999999</v>
      </c>
      <c r="F5136">
        <v>220.6234054</v>
      </c>
      <c r="G5136">
        <v>6.6230000000000002</v>
      </c>
      <c r="N5136" s="8"/>
    </row>
    <row r="5137" spans="1:14" x14ac:dyDescent="0.25">
      <c r="A5137" s="8">
        <v>41124</v>
      </c>
      <c r="B5137">
        <v>304989.96999999997</v>
      </c>
      <c r="C5137">
        <v>0</v>
      </c>
      <c r="D5137">
        <v>85.56</v>
      </c>
      <c r="E5137">
        <v>3.4039999999999999</v>
      </c>
      <c r="F5137">
        <v>220.63193580000001</v>
      </c>
      <c r="G5137">
        <v>6.6230000000000002</v>
      </c>
      <c r="N5137" s="8"/>
    </row>
    <row r="5138" spans="1:14" x14ac:dyDescent="0.25">
      <c r="A5138" s="8">
        <v>41131</v>
      </c>
      <c r="B5138">
        <v>298947.51</v>
      </c>
      <c r="C5138">
        <v>0</v>
      </c>
      <c r="D5138">
        <v>84.41</v>
      </c>
      <c r="E5138">
        <v>3.49</v>
      </c>
      <c r="F5138">
        <v>220.64046630000001</v>
      </c>
      <c r="G5138">
        <v>6.6230000000000002</v>
      </c>
      <c r="N5138" s="8"/>
    </row>
    <row r="5139" spans="1:14" x14ac:dyDescent="0.25">
      <c r="A5139" s="8">
        <v>41138</v>
      </c>
      <c r="B5139">
        <v>314607.21999999997</v>
      </c>
      <c r="C5139">
        <v>0</v>
      </c>
      <c r="D5139">
        <v>85.89</v>
      </c>
      <c r="E5139">
        <v>3.5710000000000002</v>
      </c>
      <c r="F5139">
        <v>220.71996089999999</v>
      </c>
      <c r="G5139">
        <v>6.6230000000000002</v>
      </c>
      <c r="N5139" s="8"/>
    </row>
    <row r="5140" spans="1:14" x14ac:dyDescent="0.25">
      <c r="A5140" s="8">
        <v>41145</v>
      </c>
      <c r="B5140">
        <v>282545.55</v>
      </c>
      <c r="C5140">
        <v>0</v>
      </c>
      <c r="D5140">
        <v>81.260000000000005</v>
      </c>
      <c r="E5140">
        <v>3.5739999999999998</v>
      </c>
      <c r="F5140">
        <v>220.85267870000001</v>
      </c>
      <c r="G5140">
        <v>6.6230000000000002</v>
      </c>
      <c r="N5140" s="8"/>
    </row>
    <row r="5141" spans="1:14" x14ac:dyDescent="0.25">
      <c r="A5141" s="8">
        <v>41152</v>
      </c>
      <c r="B5141">
        <v>282647.48</v>
      </c>
      <c r="C5141">
        <v>0</v>
      </c>
      <c r="D5141">
        <v>84.79</v>
      </c>
      <c r="E5141">
        <v>3.6080000000000001</v>
      </c>
      <c r="F5141">
        <v>220.98539640000001</v>
      </c>
      <c r="G5141">
        <v>6.6230000000000002</v>
      </c>
      <c r="N5141" s="8"/>
    </row>
    <row r="5142" spans="1:14" x14ac:dyDescent="0.25">
      <c r="A5142" s="8">
        <v>41159</v>
      </c>
      <c r="B5142">
        <v>293728.57</v>
      </c>
      <c r="C5142">
        <v>1</v>
      </c>
      <c r="D5142">
        <v>84.19</v>
      </c>
      <c r="E5142">
        <v>3.6970000000000001</v>
      </c>
      <c r="F5142">
        <v>221.11811420000001</v>
      </c>
      <c r="G5142">
        <v>6.6230000000000002</v>
      </c>
      <c r="N5142" s="8"/>
    </row>
    <row r="5143" spans="1:14" x14ac:dyDescent="0.25">
      <c r="A5143" s="8">
        <v>41166</v>
      </c>
      <c r="B5143">
        <v>301893.63</v>
      </c>
      <c r="C5143">
        <v>0</v>
      </c>
      <c r="D5143">
        <v>78.16</v>
      </c>
      <c r="E5143">
        <v>3.6920000000000002</v>
      </c>
      <c r="F5143">
        <v>221.26012069999999</v>
      </c>
      <c r="G5143">
        <v>6.6230000000000002</v>
      </c>
      <c r="N5143" s="8"/>
    </row>
    <row r="5144" spans="1:14" x14ac:dyDescent="0.25">
      <c r="A5144" s="8">
        <v>41173</v>
      </c>
      <c r="B5144">
        <v>293804.45</v>
      </c>
      <c r="C5144">
        <v>0</v>
      </c>
      <c r="D5144">
        <v>75.98</v>
      </c>
      <c r="E5144">
        <v>3.7090000000000001</v>
      </c>
      <c r="F5144">
        <v>221.45786039999999</v>
      </c>
      <c r="G5144">
        <v>6.6230000000000002</v>
      </c>
      <c r="N5144" s="8"/>
    </row>
    <row r="5145" spans="1:14" x14ac:dyDescent="0.25">
      <c r="A5145" s="8">
        <v>41180</v>
      </c>
      <c r="B5145">
        <v>270677.98</v>
      </c>
      <c r="C5145">
        <v>0</v>
      </c>
      <c r="D5145">
        <v>79.489999999999995</v>
      </c>
      <c r="E5145">
        <v>3.66</v>
      </c>
      <c r="F5145">
        <v>221.65559999999999</v>
      </c>
      <c r="G5145">
        <v>6.6230000000000002</v>
      </c>
      <c r="N5145" s="8"/>
    </row>
    <row r="5146" spans="1:14" x14ac:dyDescent="0.25">
      <c r="A5146" s="8">
        <v>41187</v>
      </c>
      <c r="B5146">
        <v>277137.86</v>
      </c>
      <c r="C5146">
        <v>0</v>
      </c>
      <c r="D5146">
        <v>73.569999999999993</v>
      </c>
      <c r="E5146">
        <v>3.6110000000000002</v>
      </c>
      <c r="F5146">
        <v>221.8533396</v>
      </c>
      <c r="G5146">
        <v>6.2279999999999998</v>
      </c>
      <c r="N5146" s="8"/>
    </row>
    <row r="5147" spans="1:14" x14ac:dyDescent="0.25">
      <c r="A5147" s="8">
        <v>41194</v>
      </c>
      <c r="B5147">
        <v>300236.84999999998</v>
      </c>
      <c r="C5147">
        <v>0</v>
      </c>
      <c r="D5147">
        <v>71.28</v>
      </c>
      <c r="E5147">
        <v>3.5760000000000001</v>
      </c>
      <c r="F5147">
        <v>222.0510793</v>
      </c>
      <c r="G5147">
        <v>6.2279999999999998</v>
      </c>
      <c r="N5147" s="8"/>
    </row>
    <row r="5148" spans="1:14" x14ac:dyDescent="0.25">
      <c r="A5148" s="8">
        <v>41201</v>
      </c>
      <c r="B5148">
        <v>287360.05</v>
      </c>
      <c r="C5148">
        <v>0</v>
      </c>
      <c r="D5148">
        <v>74.06</v>
      </c>
      <c r="E5148">
        <v>3.57</v>
      </c>
      <c r="F5148">
        <v>222.0951719</v>
      </c>
      <c r="G5148">
        <v>6.2279999999999998</v>
      </c>
      <c r="N5148" s="8"/>
    </row>
    <row r="5149" spans="1:14" x14ac:dyDescent="0.25">
      <c r="A5149" s="8">
        <v>41208</v>
      </c>
      <c r="B5149">
        <v>272489.40999999997</v>
      </c>
      <c r="C5149">
        <v>0</v>
      </c>
      <c r="D5149">
        <v>74.39</v>
      </c>
      <c r="E5149">
        <v>3.4940000000000002</v>
      </c>
      <c r="F5149">
        <v>222.11365660000001</v>
      </c>
      <c r="G5149">
        <v>6.2279999999999998</v>
      </c>
      <c r="N5149" s="8"/>
    </row>
    <row r="5150" spans="1:14" x14ac:dyDescent="0.25">
      <c r="A5150" s="8">
        <v>40214</v>
      </c>
      <c r="B5150">
        <v>536006.73</v>
      </c>
      <c r="C5150">
        <v>0</v>
      </c>
      <c r="D5150">
        <v>45.97</v>
      </c>
      <c r="E5150">
        <v>2.5720000000000001</v>
      </c>
      <c r="F5150">
        <v>209.85296629999999</v>
      </c>
      <c r="G5150">
        <v>8.5540000000000003</v>
      </c>
      <c r="N5150" s="8"/>
    </row>
    <row r="5151" spans="1:14" x14ac:dyDescent="0.25">
      <c r="A5151" s="8">
        <v>40221</v>
      </c>
      <c r="B5151">
        <v>529852.69999999995</v>
      </c>
      <c r="C5151">
        <v>1</v>
      </c>
      <c r="D5151">
        <v>46.11</v>
      </c>
      <c r="E5151">
        <v>2.548</v>
      </c>
      <c r="F5151">
        <v>209.9970208</v>
      </c>
      <c r="G5151">
        <v>8.5540000000000003</v>
      </c>
      <c r="N5151" s="8"/>
    </row>
    <row r="5152" spans="1:14" x14ac:dyDescent="0.25">
      <c r="A5152" s="8">
        <v>40228</v>
      </c>
      <c r="B5152">
        <v>510382.5</v>
      </c>
      <c r="C5152">
        <v>0</v>
      </c>
      <c r="D5152">
        <v>45.66</v>
      </c>
      <c r="E5152">
        <v>2.5139999999999998</v>
      </c>
      <c r="F5152">
        <v>210.04510239999999</v>
      </c>
      <c r="G5152">
        <v>8.5540000000000003</v>
      </c>
      <c r="N5152" s="8"/>
    </row>
    <row r="5153" spans="1:14" x14ac:dyDescent="0.25">
      <c r="A5153" s="8">
        <v>40235</v>
      </c>
      <c r="B5153">
        <v>513615.82</v>
      </c>
      <c r="C5153">
        <v>0</v>
      </c>
      <c r="D5153">
        <v>50.87</v>
      </c>
      <c r="E5153">
        <v>2.5609999999999999</v>
      </c>
      <c r="F5153">
        <v>210.07718850000001</v>
      </c>
      <c r="G5153">
        <v>8.5540000000000003</v>
      </c>
      <c r="N5153" s="8"/>
    </row>
    <row r="5154" spans="1:14" x14ac:dyDescent="0.25">
      <c r="A5154" s="8">
        <v>40242</v>
      </c>
      <c r="B5154">
        <v>519255.68</v>
      </c>
      <c r="C5154">
        <v>0</v>
      </c>
      <c r="D5154">
        <v>51.33</v>
      </c>
      <c r="E5154">
        <v>2.625</v>
      </c>
      <c r="F5154">
        <v>210.10927459999999</v>
      </c>
      <c r="G5154">
        <v>8.5540000000000003</v>
      </c>
      <c r="N5154" s="8"/>
    </row>
    <row r="5155" spans="1:14" x14ac:dyDescent="0.25">
      <c r="A5155" s="8">
        <v>40249</v>
      </c>
      <c r="B5155">
        <v>513015.35</v>
      </c>
      <c r="C5155">
        <v>0</v>
      </c>
      <c r="D5155">
        <v>61.96</v>
      </c>
      <c r="E5155">
        <v>2.6669999999999998</v>
      </c>
      <c r="F5155">
        <v>210.14136070000001</v>
      </c>
      <c r="G5155">
        <v>8.5540000000000003</v>
      </c>
      <c r="N5155" s="8"/>
    </row>
    <row r="5156" spans="1:14" x14ac:dyDescent="0.25">
      <c r="A5156" s="8">
        <v>40256</v>
      </c>
      <c r="B5156">
        <v>460020.74</v>
      </c>
      <c r="C5156">
        <v>0</v>
      </c>
      <c r="D5156">
        <v>59.56</v>
      </c>
      <c r="E5156">
        <v>2.72</v>
      </c>
      <c r="F5156">
        <v>209.98032079999999</v>
      </c>
      <c r="G5156">
        <v>8.5540000000000003</v>
      </c>
      <c r="N5156" s="8"/>
    </row>
    <row r="5157" spans="1:14" x14ac:dyDescent="0.25">
      <c r="A5157" s="8">
        <v>40263</v>
      </c>
      <c r="B5157">
        <v>515777.97</v>
      </c>
      <c r="C5157">
        <v>0</v>
      </c>
      <c r="D5157">
        <v>55.76</v>
      </c>
      <c r="E5157">
        <v>2.7320000000000002</v>
      </c>
      <c r="F5157">
        <v>209.78709319999999</v>
      </c>
      <c r="G5157">
        <v>8.5540000000000003</v>
      </c>
      <c r="N5157" s="8"/>
    </row>
    <row r="5158" spans="1:14" x14ac:dyDescent="0.25">
      <c r="A5158" s="8">
        <v>40270</v>
      </c>
      <c r="B5158">
        <v>540189.69999999995</v>
      </c>
      <c r="C5158">
        <v>0</v>
      </c>
      <c r="D5158">
        <v>63.43</v>
      </c>
      <c r="E5158">
        <v>2.7189999999999999</v>
      </c>
      <c r="F5158">
        <v>209.59386559999999</v>
      </c>
      <c r="G5158">
        <v>8.4640000000000004</v>
      </c>
      <c r="N5158" s="8"/>
    </row>
    <row r="5159" spans="1:14" x14ac:dyDescent="0.25">
      <c r="A5159" s="8">
        <v>40277</v>
      </c>
      <c r="B5159">
        <v>513327.55</v>
      </c>
      <c r="C5159">
        <v>0</v>
      </c>
      <c r="D5159">
        <v>68.540000000000006</v>
      </c>
      <c r="E5159">
        <v>2.77</v>
      </c>
      <c r="F5159">
        <v>209.40063799999999</v>
      </c>
      <c r="G5159">
        <v>8.4640000000000004</v>
      </c>
      <c r="N5159" s="8"/>
    </row>
    <row r="5160" spans="1:14" x14ac:dyDescent="0.25">
      <c r="A5160" s="8">
        <v>40284</v>
      </c>
      <c r="B5160">
        <v>524544.82999999996</v>
      </c>
      <c r="C5160">
        <v>0</v>
      </c>
      <c r="D5160">
        <v>66.739999999999995</v>
      </c>
      <c r="E5160">
        <v>2.8079999999999998</v>
      </c>
      <c r="F5160">
        <v>209.2691428</v>
      </c>
      <c r="G5160">
        <v>8.4640000000000004</v>
      </c>
      <c r="N5160" s="8"/>
    </row>
    <row r="5161" spans="1:14" x14ac:dyDescent="0.25">
      <c r="A5161" s="8">
        <v>40291</v>
      </c>
      <c r="B5161">
        <v>527019.78</v>
      </c>
      <c r="C5161">
        <v>0</v>
      </c>
      <c r="D5161">
        <v>68.03</v>
      </c>
      <c r="E5161">
        <v>2.7949999999999999</v>
      </c>
      <c r="F5161">
        <v>209.2199574</v>
      </c>
      <c r="G5161">
        <v>8.4640000000000004</v>
      </c>
      <c r="N5161" s="8"/>
    </row>
    <row r="5162" spans="1:14" x14ac:dyDescent="0.25">
      <c r="A5162" s="8">
        <v>40298</v>
      </c>
      <c r="B5162">
        <v>517850.83</v>
      </c>
      <c r="C5162">
        <v>0</v>
      </c>
      <c r="D5162">
        <v>70.900000000000006</v>
      </c>
      <c r="E5162">
        <v>2.78</v>
      </c>
      <c r="F5162">
        <v>209.170772</v>
      </c>
      <c r="G5162">
        <v>8.4640000000000004</v>
      </c>
      <c r="N5162" s="8"/>
    </row>
    <row r="5163" spans="1:14" x14ac:dyDescent="0.25">
      <c r="A5163" s="8">
        <v>40305</v>
      </c>
      <c r="B5163">
        <v>543234.77</v>
      </c>
      <c r="C5163">
        <v>0</v>
      </c>
      <c r="D5163">
        <v>75.56</v>
      </c>
      <c r="E5163">
        <v>2.835</v>
      </c>
      <c r="F5163">
        <v>209.12158669999999</v>
      </c>
      <c r="G5163">
        <v>8.4640000000000004</v>
      </c>
      <c r="N5163" s="8"/>
    </row>
    <row r="5164" spans="1:14" x14ac:dyDescent="0.25">
      <c r="A5164" s="8">
        <v>40312</v>
      </c>
      <c r="B5164">
        <v>505196.08</v>
      </c>
      <c r="C5164">
        <v>0</v>
      </c>
      <c r="D5164">
        <v>77.53</v>
      </c>
      <c r="E5164">
        <v>2.8540000000000001</v>
      </c>
      <c r="F5164">
        <v>209.11853600000001</v>
      </c>
      <c r="G5164">
        <v>8.4640000000000004</v>
      </c>
      <c r="N5164" s="8"/>
    </row>
    <row r="5165" spans="1:14" x14ac:dyDescent="0.25">
      <c r="A5165" s="8">
        <v>40319</v>
      </c>
      <c r="B5165">
        <v>510494.7</v>
      </c>
      <c r="C5165">
        <v>0</v>
      </c>
      <c r="D5165">
        <v>77.34</v>
      </c>
      <c r="E5165">
        <v>2.8260000000000001</v>
      </c>
      <c r="F5165">
        <v>209.39229370000001</v>
      </c>
      <c r="G5165">
        <v>8.4640000000000004</v>
      </c>
      <c r="N5165" s="8"/>
    </row>
    <row r="5166" spans="1:14" x14ac:dyDescent="0.25">
      <c r="A5166" s="8">
        <v>40326</v>
      </c>
      <c r="B5166">
        <v>532241.22</v>
      </c>
      <c r="C5166">
        <v>0</v>
      </c>
      <c r="D5166">
        <v>80.87</v>
      </c>
      <c r="E5166">
        <v>2.7589999999999999</v>
      </c>
      <c r="F5166">
        <v>209.66605139999999</v>
      </c>
      <c r="G5166">
        <v>8.4640000000000004</v>
      </c>
      <c r="N5166" s="8"/>
    </row>
    <row r="5167" spans="1:14" x14ac:dyDescent="0.25">
      <c r="A5167" s="8">
        <v>40333</v>
      </c>
      <c r="B5167">
        <v>479195.02</v>
      </c>
      <c r="C5167">
        <v>0</v>
      </c>
      <c r="D5167">
        <v>79.930000000000007</v>
      </c>
      <c r="E5167">
        <v>2.7050000000000001</v>
      </c>
      <c r="F5167">
        <v>209.93980909999999</v>
      </c>
      <c r="G5167">
        <v>8.4640000000000004</v>
      </c>
      <c r="N5167" s="8"/>
    </row>
    <row r="5168" spans="1:14" x14ac:dyDescent="0.25">
      <c r="A5168" s="8">
        <v>40340</v>
      </c>
      <c r="B5168">
        <v>481915.11</v>
      </c>
      <c r="C5168">
        <v>0</v>
      </c>
      <c r="D5168">
        <v>82.3</v>
      </c>
      <c r="E5168">
        <v>2.6680000000000001</v>
      </c>
      <c r="F5168">
        <v>210.2135668</v>
      </c>
      <c r="G5168">
        <v>8.4640000000000004</v>
      </c>
      <c r="N5168" s="8"/>
    </row>
    <row r="5169" spans="1:14" x14ac:dyDescent="0.25">
      <c r="A5169" s="8">
        <v>40347</v>
      </c>
      <c r="B5169">
        <v>505761.62</v>
      </c>
      <c r="C5169">
        <v>0</v>
      </c>
      <c r="D5169">
        <v>84.37</v>
      </c>
      <c r="E5169">
        <v>2.637</v>
      </c>
      <c r="F5169">
        <v>210.2108417</v>
      </c>
      <c r="G5169">
        <v>8.4640000000000004</v>
      </c>
      <c r="N5169" s="8"/>
    </row>
    <row r="5170" spans="1:14" x14ac:dyDescent="0.25">
      <c r="A5170" s="8">
        <v>40354</v>
      </c>
      <c r="B5170">
        <v>485419.39</v>
      </c>
      <c r="C5170">
        <v>0</v>
      </c>
      <c r="D5170">
        <v>84.14</v>
      </c>
      <c r="E5170">
        <v>2.653</v>
      </c>
      <c r="F5170">
        <v>210.09752330000001</v>
      </c>
      <c r="G5170">
        <v>8.4640000000000004</v>
      </c>
      <c r="N5170" s="8"/>
    </row>
    <row r="5171" spans="1:14" x14ac:dyDescent="0.25">
      <c r="A5171" s="8">
        <v>40361</v>
      </c>
      <c r="B5171">
        <v>498292.53</v>
      </c>
      <c r="C5171">
        <v>0</v>
      </c>
      <c r="D5171">
        <v>81.849999999999994</v>
      </c>
      <c r="E5171">
        <v>2.669</v>
      </c>
      <c r="F5171">
        <v>209.984205</v>
      </c>
      <c r="G5171">
        <v>8.36</v>
      </c>
      <c r="N5171" s="8"/>
    </row>
    <row r="5172" spans="1:14" x14ac:dyDescent="0.25">
      <c r="A5172" s="8">
        <v>40368</v>
      </c>
      <c r="B5172">
        <v>502456.04</v>
      </c>
      <c r="C5172">
        <v>0</v>
      </c>
      <c r="D5172">
        <v>81.739999999999995</v>
      </c>
      <c r="E5172">
        <v>2.6419999999999999</v>
      </c>
      <c r="F5172">
        <v>209.8708867</v>
      </c>
      <c r="G5172">
        <v>8.36</v>
      </c>
      <c r="N5172" s="8"/>
    </row>
    <row r="5173" spans="1:14" x14ac:dyDescent="0.25">
      <c r="A5173" s="8">
        <v>40375</v>
      </c>
      <c r="B5173">
        <v>485150.01</v>
      </c>
      <c r="C5173">
        <v>0</v>
      </c>
      <c r="D5173">
        <v>84.43</v>
      </c>
      <c r="E5173">
        <v>2.6230000000000002</v>
      </c>
      <c r="F5173">
        <v>209.8630532</v>
      </c>
      <c r="G5173">
        <v>8.36</v>
      </c>
      <c r="N5173" s="8"/>
    </row>
    <row r="5174" spans="1:14" x14ac:dyDescent="0.25">
      <c r="A5174" s="8">
        <v>40382</v>
      </c>
      <c r="B5174">
        <v>491998.12</v>
      </c>
      <c r="C5174">
        <v>0</v>
      </c>
      <c r="D5174">
        <v>82.6</v>
      </c>
      <c r="E5174">
        <v>2.6080000000000001</v>
      </c>
      <c r="F5174">
        <v>209.99586629999999</v>
      </c>
      <c r="G5174">
        <v>8.36</v>
      </c>
      <c r="N5174" s="8"/>
    </row>
    <row r="5175" spans="1:14" x14ac:dyDescent="0.25">
      <c r="A5175" s="8">
        <v>40389</v>
      </c>
      <c r="B5175">
        <v>487912.95</v>
      </c>
      <c r="C5175">
        <v>0</v>
      </c>
      <c r="D5175">
        <v>81.88</v>
      </c>
      <c r="E5175">
        <v>2.64</v>
      </c>
      <c r="F5175">
        <v>210.12867940000001</v>
      </c>
      <c r="G5175">
        <v>8.36</v>
      </c>
      <c r="N5175" s="8"/>
    </row>
    <row r="5176" spans="1:14" x14ac:dyDescent="0.25">
      <c r="A5176" s="8">
        <v>40396</v>
      </c>
      <c r="B5176">
        <v>508576.62</v>
      </c>
      <c r="C5176">
        <v>0</v>
      </c>
      <c r="D5176">
        <v>85.49</v>
      </c>
      <c r="E5176">
        <v>2.6269999999999998</v>
      </c>
      <c r="F5176">
        <v>210.2614925</v>
      </c>
      <c r="G5176">
        <v>8.36</v>
      </c>
      <c r="N5176" s="8"/>
    </row>
    <row r="5177" spans="1:14" x14ac:dyDescent="0.25">
      <c r="A5177" s="8">
        <v>40403</v>
      </c>
      <c r="B5177">
        <v>491815.83</v>
      </c>
      <c r="C5177">
        <v>0</v>
      </c>
      <c r="D5177">
        <v>86.06</v>
      </c>
      <c r="E5177">
        <v>2.6920000000000002</v>
      </c>
      <c r="F5177">
        <v>210.3943056</v>
      </c>
      <c r="G5177">
        <v>8.36</v>
      </c>
      <c r="N5177" s="8"/>
    </row>
    <row r="5178" spans="1:14" x14ac:dyDescent="0.25">
      <c r="A5178" s="8">
        <v>40410</v>
      </c>
      <c r="B5178">
        <v>486930.72</v>
      </c>
      <c r="C5178">
        <v>0</v>
      </c>
      <c r="D5178">
        <v>85.54</v>
      </c>
      <c r="E5178">
        <v>2.6640000000000001</v>
      </c>
      <c r="F5178">
        <v>210.3617581</v>
      </c>
      <c r="G5178">
        <v>8.36</v>
      </c>
      <c r="N5178" s="8"/>
    </row>
    <row r="5179" spans="1:14" x14ac:dyDescent="0.25">
      <c r="A5179" s="8">
        <v>40417</v>
      </c>
      <c r="B5179">
        <v>512157.25</v>
      </c>
      <c r="C5179">
        <v>0</v>
      </c>
      <c r="D5179">
        <v>84.62</v>
      </c>
      <c r="E5179">
        <v>2.6190000000000002</v>
      </c>
      <c r="F5179">
        <v>210.32921060000001</v>
      </c>
      <c r="G5179">
        <v>8.36</v>
      </c>
      <c r="N5179" s="8"/>
    </row>
    <row r="5180" spans="1:14" x14ac:dyDescent="0.25">
      <c r="A5180" s="8">
        <v>40424</v>
      </c>
      <c r="B5180">
        <v>510427.53</v>
      </c>
      <c r="C5180">
        <v>0</v>
      </c>
      <c r="D5180">
        <v>82.29</v>
      </c>
      <c r="E5180">
        <v>2.577</v>
      </c>
      <c r="F5180">
        <v>210.29666309999999</v>
      </c>
      <c r="G5180">
        <v>8.36</v>
      </c>
      <c r="N5180" s="8"/>
    </row>
    <row r="5181" spans="1:14" x14ac:dyDescent="0.25">
      <c r="A5181" s="8">
        <v>40431</v>
      </c>
      <c r="B5181">
        <v>510296.07</v>
      </c>
      <c r="C5181">
        <v>1</v>
      </c>
      <c r="D5181">
        <v>80.58</v>
      </c>
      <c r="E5181">
        <v>2.5649999999999999</v>
      </c>
      <c r="F5181">
        <v>210.2641156</v>
      </c>
      <c r="G5181">
        <v>8.36</v>
      </c>
      <c r="N5181" s="8"/>
    </row>
    <row r="5182" spans="1:14" x14ac:dyDescent="0.25">
      <c r="A5182" s="8">
        <v>40438</v>
      </c>
      <c r="B5182">
        <v>501251.4</v>
      </c>
      <c r="C5182">
        <v>0</v>
      </c>
      <c r="D5182">
        <v>82.1</v>
      </c>
      <c r="E5182">
        <v>2.5819999999999999</v>
      </c>
      <c r="F5182">
        <v>210.29245040000001</v>
      </c>
      <c r="G5182">
        <v>8.36</v>
      </c>
      <c r="N5182" s="8"/>
    </row>
    <row r="5183" spans="1:14" x14ac:dyDescent="0.25">
      <c r="A5183" s="8">
        <v>40445</v>
      </c>
      <c r="B5183">
        <v>494265.48</v>
      </c>
      <c r="C5183">
        <v>0</v>
      </c>
      <c r="D5183">
        <v>79.17</v>
      </c>
      <c r="E5183">
        <v>2.6240000000000001</v>
      </c>
      <c r="F5183">
        <v>210.3664469</v>
      </c>
      <c r="G5183">
        <v>8.36</v>
      </c>
      <c r="N5183" s="8"/>
    </row>
    <row r="5184" spans="1:14" x14ac:dyDescent="0.25">
      <c r="A5184" s="8">
        <v>40452</v>
      </c>
      <c r="B5184">
        <v>529877.93000000005</v>
      </c>
      <c r="C5184">
        <v>0</v>
      </c>
      <c r="D5184">
        <v>74.66</v>
      </c>
      <c r="E5184">
        <v>2.6030000000000002</v>
      </c>
      <c r="F5184">
        <v>210.4404433</v>
      </c>
      <c r="G5184">
        <v>8.4760000000000009</v>
      </c>
      <c r="N5184" s="8"/>
    </row>
    <row r="5185" spans="1:14" x14ac:dyDescent="0.25">
      <c r="A5185" s="8">
        <v>40459</v>
      </c>
      <c r="B5185">
        <v>524483.65</v>
      </c>
      <c r="C5185">
        <v>0</v>
      </c>
      <c r="D5185">
        <v>66.34</v>
      </c>
      <c r="E5185">
        <v>2.633</v>
      </c>
      <c r="F5185">
        <v>210.51443979999999</v>
      </c>
      <c r="G5185">
        <v>8.4760000000000009</v>
      </c>
      <c r="N5185" s="8"/>
    </row>
    <row r="5186" spans="1:14" x14ac:dyDescent="0.25">
      <c r="A5186" s="8">
        <v>40466</v>
      </c>
      <c r="B5186">
        <v>498925.86</v>
      </c>
      <c r="C5186">
        <v>0</v>
      </c>
      <c r="D5186">
        <v>71.569999999999993</v>
      </c>
      <c r="E5186">
        <v>2.72</v>
      </c>
      <c r="F5186">
        <v>210.5805944</v>
      </c>
      <c r="G5186">
        <v>8.4760000000000009</v>
      </c>
      <c r="N5186" s="8"/>
    </row>
    <row r="5187" spans="1:14" x14ac:dyDescent="0.25">
      <c r="A5187" s="8">
        <v>40473</v>
      </c>
      <c r="B5187">
        <v>510425.4</v>
      </c>
      <c r="C5187">
        <v>0</v>
      </c>
      <c r="D5187">
        <v>72.239999999999995</v>
      </c>
      <c r="E5187">
        <v>2.7250000000000001</v>
      </c>
      <c r="F5187">
        <v>210.62714439999999</v>
      </c>
      <c r="G5187">
        <v>8.4760000000000009</v>
      </c>
      <c r="N5187" s="8"/>
    </row>
    <row r="5188" spans="1:14" x14ac:dyDescent="0.25">
      <c r="A5188" s="8">
        <v>40480</v>
      </c>
      <c r="B5188">
        <v>514485.9</v>
      </c>
      <c r="C5188">
        <v>0</v>
      </c>
      <c r="D5188">
        <v>76.22</v>
      </c>
      <c r="E5188">
        <v>2.7160000000000002</v>
      </c>
      <c r="F5188">
        <v>210.67369439999999</v>
      </c>
      <c r="G5188">
        <v>8.4760000000000009</v>
      </c>
      <c r="N5188" s="8"/>
    </row>
    <row r="5189" spans="1:14" x14ac:dyDescent="0.25">
      <c r="A5189" s="8">
        <v>40487</v>
      </c>
      <c r="B5189">
        <v>539683.42000000004</v>
      </c>
      <c r="C5189">
        <v>0</v>
      </c>
      <c r="D5189">
        <v>62.72</v>
      </c>
      <c r="E5189">
        <v>2.6890000000000001</v>
      </c>
      <c r="F5189">
        <v>210.72024440000001</v>
      </c>
      <c r="G5189">
        <v>8.4760000000000009</v>
      </c>
      <c r="N5189" s="8"/>
    </row>
    <row r="5190" spans="1:14" x14ac:dyDescent="0.25">
      <c r="A5190" s="8">
        <v>40494</v>
      </c>
      <c r="B5190">
        <v>517546.69</v>
      </c>
      <c r="C5190">
        <v>0</v>
      </c>
      <c r="D5190">
        <v>61.97</v>
      </c>
      <c r="E5190">
        <v>2.7280000000000002</v>
      </c>
      <c r="F5190">
        <v>210.76679440000001</v>
      </c>
      <c r="G5190">
        <v>8.4760000000000009</v>
      </c>
      <c r="N5190" s="8"/>
    </row>
    <row r="5191" spans="1:14" x14ac:dyDescent="0.25">
      <c r="A5191" s="8">
        <v>40501</v>
      </c>
      <c r="B5191">
        <v>518124.16</v>
      </c>
      <c r="C5191">
        <v>0</v>
      </c>
      <c r="D5191">
        <v>56.73</v>
      </c>
      <c r="E5191">
        <v>2.7709999999999999</v>
      </c>
      <c r="F5191">
        <v>210.65429</v>
      </c>
      <c r="G5191">
        <v>8.4760000000000009</v>
      </c>
      <c r="N5191" s="8"/>
    </row>
    <row r="5192" spans="1:14" x14ac:dyDescent="0.25">
      <c r="A5192" s="8">
        <v>40508</v>
      </c>
      <c r="B5192">
        <v>518220.72</v>
      </c>
      <c r="C5192">
        <v>1</v>
      </c>
      <c r="D5192">
        <v>67.73</v>
      </c>
      <c r="E5192">
        <v>2.7349999999999999</v>
      </c>
      <c r="F5192">
        <v>210.5152765</v>
      </c>
      <c r="G5192">
        <v>8.4760000000000009</v>
      </c>
      <c r="N5192" s="8"/>
    </row>
    <row r="5193" spans="1:14" x14ac:dyDescent="0.25">
      <c r="A5193" s="8">
        <v>40515</v>
      </c>
      <c r="B5193">
        <v>508213.14</v>
      </c>
      <c r="C5193">
        <v>0</v>
      </c>
      <c r="D5193">
        <v>54.44</v>
      </c>
      <c r="E5193">
        <v>2.7080000000000002</v>
      </c>
      <c r="F5193">
        <v>210.37626299999999</v>
      </c>
      <c r="G5193">
        <v>8.4760000000000009</v>
      </c>
      <c r="N5193" s="8"/>
    </row>
    <row r="5194" spans="1:14" x14ac:dyDescent="0.25">
      <c r="A5194" s="8">
        <v>40522</v>
      </c>
      <c r="B5194">
        <v>511207.52</v>
      </c>
      <c r="C5194">
        <v>0</v>
      </c>
      <c r="D5194">
        <v>51.83</v>
      </c>
      <c r="E5194">
        <v>2.843</v>
      </c>
      <c r="F5194">
        <v>210.2372494</v>
      </c>
      <c r="G5194">
        <v>8.4760000000000009</v>
      </c>
      <c r="N5194" s="8"/>
    </row>
    <row r="5195" spans="1:14" x14ac:dyDescent="0.25">
      <c r="A5195" s="8">
        <v>40529</v>
      </c>
      <c r="B5195">
        <v>534285.21</v>
      </c>
      <c r="C5195">
        <v>0</v>
      </c>
      <c r="D5195">
        <v>56.73</v>
      </c>
      <c r="E5195">
        <v>2.8690000000000002</v>
      </c>
      <c r="F5195">
        <v>210.1787224</v>
      </c>
      <c r="G5195">
        <v>8.4760000000000009</v>
      </c>
      <c r="N5195" s="8"/>
    </row>
    <row r="5196" spans="1:14" x14ac:dyDescent="0.25">
      <c r="A5196" s="8">
        <v>40536</v>
      </c>
      <c r="B5196">
        <v>576809.92000000004</v>
      </c>
      <c r="C5196">
        <v>0</v>
      </c>
      <c r="D5196">
        <v>59.1</v>
      </c>
      <c r="E5196">
        <v>2.8860000000000001</v>
      </c>
      <c r="F5196">
        <v>210.1805602</v>
      </c>
      <c r="G5196">
        <v>8.4760000000000009</v>
      </c>
      <c r="N5196" s="8"/>
    </row>
    <row r="5197" spans="1:14" x14ac:dyDescent="0.25">
      <c r="A5197" s="8">
        <v>40543</v>
      </c>
      <c r="B5197">
        <v>460331.7</v>
      </c>
      <c r="C5197">
        <v>1</v>
      </c>
      <c r="D5197">
        <v>52.88</v>
      </c>
      <c r="E5197">
        <v>2.9430000000000001</v>
      </c>
      <c r="F5197">
        <v>210.18239800000001</v>
      </c>
      <c r="G5197">
        <v>8.4760000000000009</v>
      </c>
      <c r="N5197" s="8"/>
    </row>
    <row r="5198" spans="1:14" x14ac:dyDescent="0.25">
      <c r="A5198" s="8">
        <v>40550</v>
      </c>
      <c r="B5198">
        <v>542464.02</v>
      </c>
      <c r="C5198">
        <v>0</v>
      </c>
      <c r="D5198">
        <v>54.11</v>
      </c>
      <c r="E5198">
        <v>2.976</v>
      </c>
      <c r="F5198">
        <v>210.18423580000001</v>
      </c>
      <c r="G5198">
        <v>8.3949999999999996</v>
      </c>
      <c r="N5198" s="8"/>
    </row>
    <row r="5199" spans="1:14" x14ac:dyDescent="0.25">
      <c r="A5199" s="8">
        <v>40557</v>
      </c>
      <c r="B5199">
        <v>525616.9</v>
      </c>
      <c r="C5199">
        <v>0</v>
      </c>
      <c r="D5199">
        <v>42.87</v>
      </c>
      <c r="E5199">
        <v>2.9830000000000001</v>
      </c>
      <c r="F5199">
        <v>210.2379731</v>
      </c>
      <c r="G5199">
        <v>8.3949999999999996</v>
      </c>
      <c r="N5199" s="8"/>
    </row>
    <row r="5200" spans="1:14" x14ac:dyDescent="0.25">
      <c r="A5200" s="8">
        <v>40564</v>
      </c>
      <c r="B5200">
        <v>526486.81999999995</v>
      </c>
      <c r="C5200">
        <v>0</v>
      </c>
      <c r="D5200">
        <v>51.18</v>
      </c>
      <c r="E5200">
        <v>3.016</v>
      </c>
      <c r="F5200">
        <v>210.60310720000001</v>
      </c>
      <c r="G5200">
        <v>8.3949999999999996</v>
      </c>
      <c r="N5200" s="8"/>
    </row>
    <row r="5201" spans="1:14" x14ac:dyDescent="0.25">
      <c r="A5201" s="8">
        <v>40571</v>
      </c>
      <c r="B5201">
        <v>513672.36</v>
      </c>
      <c r="C5201">
        <v>0</v>
      </c>
      <c r="D5201">
        <v>48.74</v>
      </c>
      <c r="E5201">
        <v>3.01</v>
      </c>
      <c r="F5201">
        <v>210.96824119999999</v>
      </c>
      <c r="G5201">
        <v>8.3949999999999996</v>
      </c>
      <c r="N5201" s="8"/>
    </row>
    <row r="5202" spans="1:14" x14ac:dyDescent="0.25">
      <c r="A5202" s="8">
        <v>40578</v>
      </c>
      <c r="B5202">
        <v>583835.18000000005</v>
      </c>
      <c r="C5202">
        <v>0</v>
      </c>
      <c r="D5202">
        <v>46.68</v>
      </c>
      <c r="E5202">
        <v>2.9889999999999999</v>
      </c>
      <c r="F5202">
        <v>211.3333753</v>
      </c>
      <c r="G5202">
        <v>8.3949999999999996</v>
      </c>
      <c r="N5202" s="8"/>
    </row>
    <row r="5203" spans="1:14" x14ac:dyDescent="0.25">
      <c r="A5203" s="8">
        <v>40585</v>
      </c>
      <c r="B5203">
        <v>522514.32</v>
      </c>
      <c r="C5203">
        <v>1</v>
      </c>
      <c r="D5203">
        <v>41.16</v>
      </c>
      <c r="E5203">
        <v>3.0219999999999998</v>
      </c>
      <c r="F5203">
        <v>211.69850930000001</v>
      </c>
      <c r="G5203">
        <v>8.3949999999999996</v>
      </c>
      <c r="N5203" s="8"/>
    </row>
    <row r="5204" spans="1:14" x14ac:dyDescent="0.25">
      <c r="A5204" s="8">
        <v>40592</v>
      </c>
      <c r="B5204">
        <v>536840.68999999994</v>
      </c>
      <c r="C5204">
        <v>0</v>
      </c>
      <c r="D5204">
        <v>57.48</v>
      </c>
      <c r="E5204">
        <v>3.0449999999999999</v>
      </c>
      <c r="F5204">
        <v>212.00635220000001</v>
      </c>
      <c r="G5204">
        <v>8.3949999999999996</v>
      </c>
      <c r="N5204" s="8"/>
    </row>
    <row r="5205" spans="1:14" x14ac:dyDescent="0.25">
      <c r="A5205" s="8">
        <v>40599</v>
      </c>
      <c r="B5205">
        <v>514758.19</v>
      </c>
      <c r="C5205">
        <v>0</v>
      </c>
      <c r="D5205">
        <v>67.73</v>
      </c>
      <c r="E5205">
        <v>3.0649999999999999</v>
      </c>
      <c r="F5205">
        <v>212.2912786</v>
      </c>
      <c r="G5205">
        <v>8.3949999999999996</v>
      </c>
      <c r="N5205" s="8"/>
    </row>
    <row r="5206" spans="1:14" x14ac:dyDescent="0.25">
      <c r="A5206" s="8">
        <v>40606</v>
      </c>
      <c r="B5206">
        <v>527572.25</v>
      </c>
      <c r="C5206">
        <v>0</v>
      </c>
      <c r="D5206">
        <v>64.55</v>
      </c>
      <c r="E5206">
        <v>3.2879999999999998</v>
      </c>
      <c r="F5206">
        <v>212.57620499999999</v>
      </c>
      <c r="G5206">
        <v>8.3949999999999996</v>
      </c>
      <c r="N5206" s="8"/>
    </row>
    <row r="5207" spans="1:14" x14ac:dyDescent="0.25">
      <c r="A5207" s="8">
        <v>40613</v>
      </c>
      <c r="B5207">
        <v>505610.4</v>
      </c>
      <c r="C5207">
        <v>0</v>
      </c>
      <c r="D5207">
        <v>59.15</v>
      </c>
      <c r="E5207">
        <v>3.4590000000000001</v>
      </c>
      <c r="F5207">
        <v>212.86113130000001</v>
      </c>
      <c r="G5207">
        <v>8.3949999999999996</v>
      </c>
      <c r="N5207" s="8"/>
    </row>
    <row r="5208" spans="1:14" x14ac:dyDescent="0.25">
      <c r="A5208" s="8">
        <v>40620</v>
      </c>
      <c r="B5208">
        <v>478503.06</v>
      </c>
      <c r="C5208">
        <v>0</v>
      </c>
      <c r="D5208">
        <v>64.900000000000006</v>
      </c>
      <c r="E5208">
        <v>3.488</v>
      </c>
      <c r="F5208">
        <v>213.10967869999999</v>
      </c>
      <c r="G5208">
        <v>8.3949999999999996</v>
      </c>
      <c r="N5208" s="8"/>
    </row>
    <row r="5209" spans="1:14" x14ac:dyDescent="0.25">
      <c r="A5209" s="8">
        <v>40627</v>
      </c>
      <c r="B5209">
        <v>522105.93</v>
      </c>
      <c r="C5209">
        <v>0</v>
      </c>
      <c r="D5209">
        <v>71.069999999999993</v>
      </c>
      <c r="E5209">
        <v>3.4729999999999999</v>
      </c>
      <c r="F5209">
        <v>213.3436744</v>
      </c>
      <c r="G5209">
        <v>8.3949999999999996</v>
      </c>
      <c r="N5209" s="8"/>
    </row>
    <row r="5210" spans="1:14" x14ac:dyDescent="0.25">
      <c r="A5210" s="8">
        <v>40634</v>
      </c>
      <c r="B5210">
        <v>534578.78</v>
      </c>
      <c r="C5210">
        <v>0</v>
      </c>
      <c r="D5210">
        <v>67.31</v>
      </c>
      <c r="E5210">
        <v>3.524</v>
      </c>
      <c r="F5210">
        <v>213.57767010000001</v>
      </c>
      <c r="G5210">
        <v>8.3000000000000007</v>
      </c>
      <c r="N5210" s="8"/>
    </row>
    <row r="5211" spans="1:14" x14ac:dyDescent="0.25">
      <c r="A5211" s="8">
        <v>40641</v>
      </c>
      <c r="B5211">
        <v>543703.16</v>
      </c>
      <c r="C5211">
        <v>0</v>
      </c>
      <c r="D5211">
        <v>69.39</v>
      </c>
      <c r="E5211">
        <v>3.6219999999999999</v>
      </c>
      <c r="F5211">
        <v>213.81166579999999</v>
      </c>
      <c r="G5211">
        <v>8.3000000000000007</v>
      </c>
      <c r="N5211" s="8"/>
    </row>
    <row r="5212" spans="1:14" x14ac:dyDescent="0.25">
      <c r="A5212" s="8">
        <v>40648</v>
      </c>
      <c r="B5212">
        <v>543775.87</v>
      </c>
      <c r="C5212">
        <v>0</v>
      </c>
      <c r="D5212">
        <v>73.25</v>
      </c>
      <c r="E5212">
        <v>3.7429999999999999</v>
      </c>
      <c r="F5212">
        <v>214.026217</v>
      </c>
      <c r="G5212">
        <v>8.3000000000000007</v>
      </c>
      <c r="N5212" s="8"/>
    </row>
    <row r="5213" spans="1:14" x14ac:dyDescent="0.25">
      <c r="A5213" s="8">
        <v>40655</v>
      </c>
      <c r="B5213">
        <v>526434.37</v>
      </c>
      <c r="C5213">
        <v>0</v>
      </c>
      <c r="D5213">
        <v>74.569999999999993</v>
      </c>
      <c r="E5213">
        <v>3.8069999999999999</v>
      </c>
      <c r="F5213">
        <v>214.1921572</v>
      </c>
      <c r="G5213">
        <v>8.3000000000000007</v>
      </c>
      <c r="N5213" s="8"/>
    </row>
    <row r="5214" spans="1:14" x14ac:dyDescent="0.25">
      <c r="A5214" s="8">
        <v>40662</v>
      </c>
      <c r="B5214">
        <v>502918.18</v>
      </c>
      <c r="C5214">
        <v>0</v>
      </c>
      <c r="D5214">
        <v>76.099999999999994</v>
      </c>
      <c r="E5214">
        <v>3.81</v>
      </c>
      <c r="F5214">
        <v>214.35809739999999</v>
      </c>
      <c r="G5214">
        <v>8.3000000000000007</v>
      </c>
      <c r="N5214" s="8"/>
    </row>
    <row r="5215" spans="1:14" x14ac:dyDescent="0.25">
      <c r="A5215" s="8">
        <v>40669</v>
      </c>
      <c r="B5215">
        <v>547513.30000000005</v>
      </c>
      <c r="C5215">
        <v>0</v>
      </c>
      <c r="D5215">
        <v>69.56</v>
      </c>
      <c r="E5215">
        <v>3.9060000000000001</v>
      </c>
      <c r="F5215">
        <v>214.52403760000001</v>
      </c>
      <c r="G5215">
        <v>8.3000000000000007</v>
      </c>
      <c r="N5215" s="8"/>
    </row>
    <row r="5216" spans="1:14" x14ac:dyDescent="0.25">
      <c r="A5216" s="8">
        <v>40676</v>
      </c>
      <c r="B5216">
        <v>511871.63</v>
      </c>
      <c r="C5216">
        <v>0</v>
      </c>
      <c r="D5216">
        <v>76.73</v>
      </c>
      <c r="E5216">
        <v>3.899</v>
      </c>
      <c r="F5216">
        <v>214.68997780000001</v>
      </c>
      <c r="G5216">
        <v>8.3000000000000007</v>
      </c>
      <c r="N5216" s="8"/>
    </row>
    <row r="5217" spans="1:14" x14ac:dyDescent="0.25">
      <c r="A5217" s="8">
        <v>40683</v>
      </c>
      <c r="B5217">
        <v>533564.42000000004</v>
      </c>
      <c r="C5217">
        <v>0</v>
      </c>
      <c r="D5217">
        <v>73.02</v>
      </c>
      <c r="E5217">
        <v>3.907</v>
      </c>
      <c r="F5217">
        <v>214.46541199999999</v>
      </c>
      <c r="G5217">
        <v>8.3000000000000007</v>
      </c>
      <c r="N5217" s="8"/>
    </row>
    <row r="5218" spans="1:14" x14ac:dyDescent="0.25">
      <c r="A5218" s="8">
        <v>40690</v>
      </c>
      <c r="B5218">
        <v>507086.75</v>
      </c>
      <c r="C5218">
        <v>0</v>
      </c>
      <c r="D5218">
        <v>81.28</v>
      </c>
      <c r="E5218">
        <v>3.786</v>
      </c>
      <c r="F5218">
        <v>214.24084619999999</v>
      </c>
      <c r="G5218">
        <v>8.3000000000000007</v>
      </c>
      <c r="N5218" s="8"/>
    </row>
    <row r="5219" spans="1:14" x14ac:dyDescent="0.25">
      <c r="A5219" s="8">
        <v>40697</v>
      </c>
      <c r="B5219">
        <v>500381.23</v>
      </c>
      <c r="C5219">
        <v>0</v>
      </c>
      <c r="D5219">
        <v>82.96</v>
      </c>
      <c r="E5219">
        <v>3.6989999999999998</v>
      </c>
      <c r="F5219">
        <v>214.01628049999999</v>
      </c>
      <c r="G5219">
        <v>8.3000000000000007</v>
      </c>
      <c r="N5219" s="8"/>
    </row>
    <row r="5220" spans="1:14" x14ac:dyDescent="0.25">
      <c r="A5220" s="8">
        <v>40704</v>
      </c>
      <c r="B5220">
        <v>509647.25</v>
      </c>
      <c r="C5220">
        <v>0</v>
      </c>
      <c r="D5220">
        <v>82.41</v>
      </c>
      <c r="E5220">
        <v>3.6480000000000001</v>
      </c>
      <c r="F5220">
        <v>213.7917147</v>
      </c>
      <c r="G5220">
        <v>8.3000000000000007</v>
      </c>
      <c r="N5220" s="8"/>
    </row>
    <row r="5221" spans="1:14" x14ac:dyDescent="0.25">
      <c r="A5221" s="8">
        <v>40711</v>
      </c>
      <c r="B5221">
        <v>525132.36</v>
      </c>
      <c r="C5221">
        <v>0</v>
      </c>
      <c r="D5221">
        <v>84.43</v>
      </c>
      <c r="E5221">
        <v>3.637</v>
      </c>
      <c r="F5221">
        <v>213.74812560000001</v>
      </c>
      <c r="G5221">
        <v>8.3000000000000007</v>
      </c>
      <c r="N5221" s="8"/>
    </row>
    <row r="5222" spans="1:14" x14ac:dyDescent="0.25">
      <c r="A5222" s="8">
        <v>40718</v>
      </c>
      <c r="B5222">
        <v>509276.22</v>
      </c>
      <c r="C5222">
        <v>0</v>
      </c>
      <c r="D5222">
        <v>83.95</v>
      </c>
      <c r="E5222">
        <v>3.5939999999999999</v>
      </c>
      <c r="F5222">
        <v>213.84026890000001</v>
      </c>
      <c r="G5222">
        <v>8.3000000000000007</v>
      </c>
      <c r="N5222" s="8"/>
    </row>
    <row r="5223" spans="1:14" x14ac:dyDescent="0.25">
      <c r="A5223" s="8">
        <v>40725</v>
      </c>
      <c r="B5223">
        <v>517021.3</v>
      </c>
      <c r="C5223">
        <v>0</v>
      </c>
      <c r="D5223">
        <v>85.33</v>
      </c>
      <c r="E5223">
        <v>3.524</v>
      </c>
      <c r="F5223">
        <v>213.93241219999999</v>
      </c>
      <c r="G5223">
        <v>8.1769999999999996</v>
      </c>
      <c r="N5223" s="8"/>
    </row>
    <row r="5224" spans="1:14" x14ac:dyDescent="0.25">
      <c r="A5224" s="8">
        <v>40732</v>
      </c>
      <c r="B5224">
        <v>489059.93</v>
      </c>
      <c r="C5224">
        <v>0</v>
      </c>
      <c r="D5224">
        <v>84.71</v>
      </c>
      <c r="E5224">
        <v>3.48</v>
      </c>
      <c r="F5224">
        <v>214.02455560000001</v>
      </c>
      <c r="G5224">
        <v>8.1769999999999996</v>
      </c>
      <c r="N5224" s="8"/>
    </row>
    <row r="5225" spans="1:14" x14ac:dyDescent="0.25">
      <c r="A5225" s="8">
        <v>40739</v>
      </c>
      <c r="B5225">
        <v>498749.62</v>
      </c>
      <c r="C5225">
        <v>0</v>
      </c>
      <c r="D5225">
        <v>85.63</v>
      </c>
      <c r="E5225">
        <v>3.5750000000000002</v>
      </c>
      <c r="F5225">
        <v>214.1083654</v>
      </c>
      <c r="G5225">
        <v>8.1769999999999996</v>
      </c>
      <c r="N5225" s="8"/>
    </row>
    <row r="5226" spans="1:14" x14ac:dyDescent="0.25">
      <c r="A5226" s="8">
        <v>40746</v>
      </c>
      <c r="B5226">
        <v>505543.53</v>
      </c>
      <c r="C5226">
        <v>0</v>
      </c>
      <c r="D5226">
        <v>83.31</v>
      </c>
      <c r="E5226">
        <v>3.6509999999999998</v>
      </c>
      <c r="F5226">
        <v>214.17134160000001</v>
      </c>
      <c r="G5226">
        <v>8.1769999999999996</v>
      </c>
      <c r="N5226" s="8"/>
    </row>
    <row r="5227" spans="1:14" x14ac:dyDescent="0.25">
      <c r="A5227" s="8">
        <v>40753</v>
      </c>
      <c r="B5227">
        <v>504974.95</v>
      </c>
      <c r="C5227">
        <v>0</v>
      </c>
      <c r="D5227">
        <v>84.99</v>
      </c>
      <c r="E5227">
        <v>3.6819999999999999</v>
      </c>
      <c r="F5227">
        <v>214.23431769999999</v>
      </c>
      <c r="G5227">
        <v>8.1769999999999996</v>
      </c>
      <c r="N5227" s="8"/>
    </row>
    <row r="5228" spans="1:14" x14ac:dyDescent="0.25">
      <c r="A5228" s="8">
        <v>40760</v>
      </c>
      <c r="B5228">
        <v>510787.46</v>
      </c>
      <c r="C5228">
        <v>0</v>
      </c>
      <c r="D5228">
        <v>86.71</v>
      </c>
      <c r="E5228">
        <v>3.6840000000000002</v>
      </c>
      <c r="F5228">
        <v>214.2972939</v>
      </c>
      <c r="G5228">
        <v>8.1769999999999996</v>
      </c>
      <c r="N5228" s="8"/>
    </row>
    <row r="5229" spans="1:14" x14ac:dyDescent="0.25">
      <c r="A5229" s="8">
        <v>40767</v>
      </c>
      <c r="B5229">
        <v>502504.39</v>
      </c>
      <c r="C5229">
        <v>0</v>
      </c>
      <c r="D5229">
        <v>87.64</v>
      </c>
      <c r="E5229">
        <v>3.6379999999999999</v>
      </c>
      <c r="F5229">
        <v>214.36027010000001</v>
      </c>
      <c r="G5229">
        <v>8.1769999999999996</v>
      </c>
      <c r="N5229" s="8"/>
    </row>
    <row r="5230" spans="1:14" x14ac:dyDescent="0.25">
      <c r="A5230" s="8">
        <v>40774</v>
      </c>
      <c r="B5230">
        <v>506897.98</v>
      </c>
      <c r="C5230">
        <v>0</v>
      </c>
      <c r="D5230">
        <v>87.24</v>
      </c>
      <c r="E5230">
        <v>3.5539999999999998</v>
      </c>
      <c r="F5230">
        <v>214.42399349999999</v>
      </c>
      <c r="G5230">
        <v>8.1769999999999996</v>
      </c>
      <c r="N5230" s="8"/>
    </row>
    <row r="5231" spans="1:14" x14ac:dyDescent="0.25">
      <c r="A5231" s="8">
        <v>40781</v>
      </c>
      <c r="B5231">
        <v>527947.21</v>
      </c>
      <c r="C5231">
        <v>0</v>
      </c>
      <c r="D5231">
        <v>86.02</v>
      </c>
      <c r="E5231">
        <v>3.5230000000000001</v>
      </c>
      <c r="F5231">
        <v>214.4878416</v>
      </c>
      <c r="G5231">
        <v>8.1769999999999996</v>
      </c>
      <c r="N5231" s="8"/>
    </row>
    <row r="5232" spans="1:14" x14ac:dyDescent="0.25">
      <c r="A5232" s="8">
        <v>40788</v>
      </c>
      <c r="B5232">
        <v>530367.82999999996</v>
      </c>
      <c r="C5232">
        <v>0</v>
      </c>
      <c r="D5232">
        <v>87.5</v>
      </c>
      <c r="E5232">
        <v>3.5329999999999999</v>
      </c>
      <c r="F5232">
        <v>214.5516896</v>
      </c>
      <c r="G5232">
        <v>8.1769999999999996</v>
      </c>
      <c r="N5232" s="8"/>
    </row>
    <row r="5233" spans="1:14" x14ac:dyDescent="0.25">
      <c r="A5233" s="8">
        <v>40795</v>
      </c>
      <c r="B5233">
        <v>506273.74</v>
      </c>
      <c r="C5233">
        <v>1</v>
      </c>
      <c r="D5233">
        <v>77.94</v>
      </c>
      <c r="E5233">
        <v>3.5459999999999998</v>
      </c>
      <c r="F5233">
        <v>214.61553760000001</v>
      </c>
      <c r="G5233">
        <v>8.1769999999999996</v>
      </c>
      <c r="N5233" s="8"/>
    </row>
    <row r="5234" spans="1:14" x14ac:dyDescent="0.25">
      <c r="A5234" s="8">
        <v>40802</v>
      </c>
      <c r="B5234">
        <v>513341.94</v>
      </c>
      <c r="C5234">
        <v>0</v>
      </c>
      <c r="D5234">
        <v>82.06</v>
      </c>
      <c r="E5234">
        <v>3.5259999999999998</v>
      </c>
      <c r="F5234">
        <v>214.79341109999999</v>
      </c>
      <c r="G5234">
        <v>8.1769999999999996</v>
      </c>
      <c r="N5234" s="8"/>
    </row>
    <row r="5235" spans="1:14" x14ac:dyDescent="0.25">
      <c r="A5235" s="8">
        <v>40809</v>
      </c>
      <c r="B5235">
        <v>516556.94</v>
      </c>
      <c r="C5235">
        <v>0</v>
      </c>
      <c r="D5235">
        <v>78.349999999999994</v>
      </c>
      <c r="E5235">
        <v>3.4670000000000001</v>
      </c>
      <c r="F5235">
        <v>215.12331850000001</v>
      </c>
      <c r="G5235">
        <v>8.1769999999999996</v>
      </c>
      <c r="N5235" s="8"/>
    </row>
    <row r="5236" spans="1:14" x14ac:dyDescent="0.25">
      <c r="A5236" s="8">
        <v>40816</v>
      </c>
      <c r="B5236">
        <v>516402.1</v>
      </c>
      <c r="C5236">
        <v>0</v>
      </c>
      <c r="D5236">
        <v>81.52</v>
      </c>
      <c r="E5236">
        <v>3.355</v>
      </c>
      <c r="F5236">
        <v>215.45322590000001</v>
      </c>
      <c r="G5236">
        <v>8.1769999999999996</v>
      </c>
      <c r="N5236" s="8"/>
    </row>
    <row r="5237" spans="1:14" x14ac:dyDescent="0.25">
      <c r="A5237" s="8">
        <v>40823</v>
      </c>
      <c r="B5237">
        <v>522816.85</v>
      </c>
      <c r="C5237">
        <v>0</v>
      </c>
      <c r="D5237">
        <v>71.2</v>
      </c>
      <c r="E5237">
        <v>3.2850000000000001</v>
      </c>
      <c r="F5237">
        <v>215.7831333</v>
      </c>
      <c r="G5237">
        <v>7.7160000000000002</v>
      </c>
      <c r="N5237" s="8"/>
    </row>
    <row r="5238" spans="1:14" x14ac:dyDescent="0.25">
      <c r="A5238" s="8">
        <v>40830</v>
      </c>
      <c r="B5238">
        <v>513636.01</v>
      </c>
      <c r="C5238">
        <v>0</v>
      </c>
      <c r="D5238">
        <v>74.16</v>
      </c>
      <c r="E5238">
        <v>3.274</v>
      </c>
      <c r="F5238">
        <v>216.08852580000001</v>
      </c>
      <c r="G5238">
        <v>7.7160000000000002</v>
      </c>
      <c r="N5238" s="8"/>
    </row>
    <row r="5239" spans="1:14" x14ac:dyDescent="0.25">
      <c r="A5239" s="8">
        <v>40837</v>
      </c>
      <c r="B5239">
        <v>522784.33</v>
      </c>
      <c r="C5239">
        <v>0</v>
      </c>
      <c r="D5239">
        <v>67.89</v>
      </c>
      <c r="E5239">
        <v>3.3530000000000002</v>
      </c>
      <c r="F5239">
        <v>216.24682870000001</v>
      </c>
      <c r="G5239">
        <v>7.7160000000000002</v>
      </c>
      <c r="N5239" s="8"/>
    </row>
    <row r="5240" spans="1:14" x14ac:dyDescent="0.25">
      <c r="A5240" s="8">
        <v>40844</v>
      </c>
      <c r="B5240">
        <v>517355.44</v>
      </c>
      <c r="C5240">
        <v>0</v>
      </c>
      <c r="D5240">
        <v>71.31</v>
      </c>
      <c r="E5240">
        <v>3.3719999999999999</v>
      </c>
      <c r="F5240">
        <v>216.40513150000001</v>
      </c>
      <c r="G5240">
        <v>7.7160000000000002</v>
      </c>
      <c r="N5240" s="8"/>
    </row>
    <row r="5241" spans="1:14" x14ac:dyDescent="0.25">
      <c r="A5241" s="8">
        <v>40851</v>
      </c>
      <c r="B5241">
        <v>555925.6</v>
      </c>
      <c r="C5241">
        <v>0</v>
      </c>
      <c r="D5241">
        <v>58.97</v>
      </c>
      <c r="E5241">
        <v>3.3319999999999999</v>
      </c>
      <c r="F5241">
        <v>216.56343440000001</v>
      </c>
      <c r="G5241">
        <v>7.7160000000000002</v>
      </c>
      <c r="N5241" s="8"/>
    </row>
    <row r="5242" spans="1:14" x14ac:dyDescent="0.25">
      <c r="A5242" s="8">
        <v>40858</v>
      </c>
      <c r="B5242">
        <v>501268.78</v>
      </c>
      <c r="C5242">
        <v>0</v>
      </c>
      <c r="D5242">
        <v>63.5</v>
      </c>
      <c r="E5242">
        <v>3.2970000000000002</v>
      </c>
      <c r="F5242">
        <v>216.7217373</v>
      </c>
      <c r="G5242">
        <v>7.7160000000000002</v>
      </c>
      <c r="N5242" s="8"/>
    </row>
    <row r="5243" spans="1:14" x14ac:dyDescent="0.25">
      <c r="A5243" s="8">
        <v>40865</v>
      </c>
      <c r="B5243">
        <v>527495.09</v>
      </c>
      <c r="C5243">
        <v>0</v>
      </c>
      <c r="D5243">
        <v>66.28</v>
      </c>
      <c r="E5243">
        <v>3.3079999999999998</v>
      </c>
      <c r="F5243">
        <v>216.93958610000001</v>
      </c>
      <c r="G5243">
        <v>7.7160000000000002</v>
      </c>
      <c r="N5243" s="8"/>
    </row>
    <row r="5244" spans="1:14" x14ac:dyDescent="0.25">
      <c r="A5244" s="8">
        <v>40872</v>
      </c>
      <c r="B5244">
        <v>522554.04</v>
      </c>
      <c r="C5244">
        <v>1</v>
      </c>
      <c r="D5244">
        <v>66.41</v>
      </c>
      <c r="E5244">
        <v>3.2360000000000002</v>
      </c>
      <c r="F5244">
        <v>217.18125330000001</v>
      </c>
      <c r="G5244">
        <v>7.7160000000000002</v>
      </c>
      <c r="N5244" s="8"/>
    </row>
    <row r="5245" spans="1:14" x14ac:dyDescent="0.25">
      <c r="A5245" s="8">
        <v>40879</v>
      </c>
      <c r="B5245">
        <v>527117.81000000006</v>
      </c>
      <c r="C5245">
        <v>0</v>
      </c>
      <c r="D5245">
        <v>53.57</v>
      </c>
      <c r="E5245">
        <v>3.1720000000000002</v>
      </c>
      <c r="F5245">
        <v>217.4229206</v>
      </c>
      <c r="G5245">
        <v>7.7160000000000002</v>
      </c>
      <c r="N5245" s="8"/>
    </row>
    <row r="5246" spans="1:14" x14ac:dyDescent="0.25">
      <c r="A5246" s="8">
        <v>40886</v>
      </c>
      <c r="B5246">
        <v>537224.52</v>
      </c>
      <c r="C5246">
        <v>0</v>
      </c>
      <c r="D5246">
        <v>50.64</v>
      </c>
      <c r="E5246">
        <v>3.1579999999999999</v>
      </c>
      <c r="F5246">
        <v>217.66458779999999</v>
      </c>
      <c r="G5246">
        <v>7.7160000000000002</v>
      </c>
      <c r="N5246" s="8"/>
    </row>
    <row r="5247" spans="1:14" x14ac:dyDescent="0.25">
      <c r="A5247" s="8">
        <v>40893</v>
      </c>
      <c r="B5247">
        <v>533905.67000000004</v>
      </c>
      <c r="C5247">
        <v>0</v>
      </c>
      <c r="D5247">
        <v>58.31</v>
      </c>
      <c r="E5247">
        <v>3.1589999999999998</v>
      </c>
      <c r="F5247">
        <v>217.87813389999999</v>
      </c>
      <c r="G5247">
        <v>7.7160000000000002</v>
      </c>
      <c r="N5247" s="8"/>
    </row>
    <row r="5248" spans="1:14" x14ac:dyDescent="0.25">
      <c r="A5248" s="8">
        <v>40900</v>
      </c>
      <c r="B5248">
        <v>605791.46</v>
      </c>
      <c r="C5248">
        <v>0</v>
      </c>
      <c r="D5248">
        <v>55.41</v>
      </c>
      <c r="E5248">
        <v>3.1120000000000001</v>
      </c>
      <c r="F5248">
        <v>218.05418510000001</v>
      </c>
      <c r="G5248">
        <v>7.7160000000000002</v>
      </c>
      <c r="N5248" s="8"/>
    </row>
    <row r="5249" spans="1:14" x14ac:dyDescent="0.25">
      <c r="A5249" s="8">
        <v>40907</v>
      </c>
      <c r="B5249">
        <v>451327.61</v>
      </c>
      <c r="C5249">
        <v>1</v>
      </c>
      <c r="D5249">
        <v>48.26</v>
      </c>
      <c r="E5249">
        <v>3.129</v>
      </c>
      <c r="F5249">
        <v>218.2302364</v>
      </c>
      <c r="G5249">
        <v>7.7160000000000002</v>
      </c>
      <c r="N5249" s="8"/>
    </row>
    <row r="5250" spans="1:14" x14ac:dyDescent="0.25">
      <c r="A5250" s="8">
        <v>40914</v>
      </c>
      <c r="B5250">
        <v>558343.56999999995</v>
      </c>
      <c r="C5250">
        <v>0</v>
      </c>
      <c r="D5250">
        <v>57.18</v>
      </c>
      <c r="E5250">
        <v>3.157</v>
      </c>
      <c r="F5250">
        <v>218.40628760000001</v>
      </c>
      <c r="G5250">
        <v>7.2439999999999998</v>
      </c>
      <c r="N5250" s="8"/>
    </row>
    <row r="5251" spans="1:14" x14ac:dyDescent="0.25">
      <c r="A5251" s="8">
        <v>40921</v>
      </c>
      <c r="B5251">
        <v>546221.4</v>
      </c>
      <c r="C5251">
        <v>0</v>
      </c>
      <c r="D5251">
        <v>56.28</v>
      </c>
      <c r="E5251">
        <v>3.2610000000000001</v>
      </c>
      <c r="F5251">
        <v>218.5823389</v>
      </c>
      <c r="G5251">
        <v>7.2439999999999998</v>
      </c>
      <c r="N5251" s="8"/>
    </row>
    <row r="5252" spans="1:14" x14ac:dyDescent="0.25">
      <c r="A5252" s="8">
        <v>40928</v>
      </c>
      <c r="B5252">
        <v>543894.06999999995</v>
      </c>
      <c r="C5252">
        <v>0</v>
      </c>
      <c r="D5252">
        <v>58.9</v>
      </c>
      <c r="E5252">
        <v>3.2679999999999998</v>
      </c>
      <c r="F5252">
        <v>218.6755292</v>
      </c>
      <c r="G5252">
        <v>7.2439999999999998</v>
      </c>
      <c r="N5252" s="8"/>
    </row>
    <row r="5253" spans="1:14" x14ac:dyDescent="0.25">
      <c r="A5253" s="8">
        <v>40935</v>
      </c>
      <c r="B5253">
        <v>514116.58</v>
      </c>
      <c r="C5253">
        <v>0</v>
      </c>
      <c r="D5253">
        <v>62.73</v>
      </c>
      <c r="E5253">
        <v>3.29</v>
      </c>
      <c r="F5253">
        <v>218.7687195</v>
      </c>
      <c r="G5253">
        <v>7.2439999999999998</v>
      </c>
      <c r="N5253" s="8"/>
    </row>
    <row r="5254" spans="1:14" x14ac:dyDescent="0.25">
      <c r="A5254" s="8">
        <v>40942</v>
      </c>
      <c r="B5254">
        <v>555424.24</v>
      </c>
      <c r="C5254">
        <v>0</v>
      </c>
      <c r="D5254">
        <v>61.33</v>
      </c>
      <c r="E5254">
        <v>3.36</v>
      </c>
      <c r="F5254">
        <v>218.8619099</v>
      </c>
      <c r="G5254">
        <v>7.2439999999999998</v>
      </c>
      <c r="N5254" s="8"/>
    </row>
    <row r="5255" spans="1:14" x14ac:dyDescent="0.25">
      <c r="A5255" s="8">
        <v>40949</v>
      </c>
      <c r="B5255">
        <v>527041.46</v>
      </c>
      <c r="C5255">
        <v>1</v>
      </c>
      <c r="D5255">
        <v>54.49</v>
      </c>
      <c r="E5255">
        <v>3.4089999999999998</v>
      </c>
      <c r="F5255">
        <v>218.9551002</v>
      </c>
      <c r="G5255">
        <v>7.2439999999999998</v>
      </c>
      <c r="N5255" s="8"/>
    </row>
    <row r="5256" spans="1:14" x14ac:dyDescent="0.25">
      <c r="A5256" s="8">
        <v>40956</v>
      </c>
      <c r="B5256">
        <v>541071.29</v>
      </c>
      <c r="C5256">
        <v>0</v>
      </c>
      <c r="D5256">
        <v>54.38</v>
      </c>
      <c r="E5256">
        <v>3.51</v>
      </c>
      <c r="F5256">
        <v>219.1148297</v>
      </c>
      <c r="G5256">
        <v>7.2439999999999998</v>
      </c>
      <c r="N5256" s="8"/>
    </row>
    <row r="5257" spans="1:14" x14ac:dyDescent="0.25">
      <c r="A5257" s="8">
        <v>40963</v>
      </c>
      <c r="B5257">
        <v>518696.89</v>
      </c>
      <c r="C5257">
        <v>0</v>
      </c>
      <c r="D5257">
        <v>62.21</v>
      </c>
      <c r="E5257">
        <v>3.5550000000000002</v>
      </c>
      <c r="F5257">
        <v>219.3244636</v>
      </c>
      <c r="G5257">
        <v>7.2439999999999998</v>
      </c>
      <c r="N5257" s="8"/>
    </row>
    <row r="5258" spans="1:14" x14ac:dyDescent="0.25">
      <c r="A5258" s="8">
        <v>40970</v>
      </c>
      <c r="B5258">
        <v>525559.17000000004</v>
      </c>
      <c r="C5258">
        <v>0</v>
      </c>
      <c r="D5258">
        <v>64.540000000000006</v>
      </c>
      <c r="E5258">
        <v>3.63</v>
      </c>
      <c r="F5258">
        <v>219.5340975</v>
      </c>
      <c r="G5258">
        <v>7.2439999999999998</v>
      </c>
      <c r="N5258" s="8"/>
    </row>
    <row r="5259" spans="1:14" x14ac:dyDescent="0.25">
      <c r="A5259" s="8">
        <v>40977</v>
      </c>
      <c r="B5259">
        <v>535937.25</v>
      </c>
      <c r="C5259">
        <v>0</v>
      </c>
      <c r="D5259">
        <v>63.19</v>
      </c>
      <c r="E5259">
        <v>3.669</v>
      </c>
      <c r="F5259">
        <v>219.7437314</v>
      </c>
      <c r="G5259">
        <v>7.2439999999999998</v>
      </c>
      <c r="N5259" s="8"/>
    </row>
    <row r="5260" spans="1:14" x14ac:dyDescent="0.25">
      <c r="A5260" s="8">
        <v>40984</v>
      </c>
      <c r="B5260">
        <v>484588.34</v>
      </c>
      <c r="C5260">
        <v>0</v>
      </c>
      <c r="D5260">
        <v>67.48</v>
      </c>
      <c r="E5260">
        <v>3.734</v>
      </c>
      <c r="F5260">
        <v>219.8956335</v>
      </c>
      <c r="G5260">
        <v>7.2439999999999998</v>
      </c>
      <c r="N5260" s="8"/>
    </row>
    <row r="5261" spans="1:14" x14ac:dyDescent="0.25">
      <c r="A5261" s="8">
        <v>40991</v>
      </c>
      <c r="B5261">
        <v>520887.23</v>
      </c>
      <c r="C5261">
        <v>0</v>
      </c>
      <c r="D5261">
        <v>69.180000000000007</v>
      </c>
      <c r="E5261">
        <v>3.7869999999999999</v>
      </c>
      <c r="F5261">
        <v>219.97055990000001</v>
      </c>
      <c r="G5261">
        <v>7.2439999999999998</v>
      </c>
      <c r="N5261" s="8"/>
    </row>
    <row r="5262" spans="1:14" x14ac:dyDescent="0.25">
      <c r="A5262" s="8">
        <v>40998</v>
      </c>
      <c r="B5262">
        <v>533734.93999999994</v>
      </c>
      <c r="C5262">
        <v>0</v>
      </c>
      <c r="D5262">
        <v>70.48</v>
      </c>
      <c r="E5262">
        <v>3.8450000000000002</v>
      </c>
      <c r="F5262">
        <v>220.0454862</v>
      </c>
      <c r="G5262">
        <v>7.2439999999999998</v>
      </c>
      <c r="N5262" s="8"/>
    </row>
    <row r="5263" spans="1:14" x14ac:dyDescent="0.25">
      <c r="A5263" s="8">
        <v>41005</v>
      </c>
      <c r="B5263">
        <v>564848.78</v>
      </c>
      <c r="C5263">
        <v>0</v>
      </c>
      <c r="D5263">
        <v>73.95</v>
      </c>
      <c r="E5263">
        <v>3.891</v>
      </c>
      <c r="F5263">
        <v>220.12041249999999</v>
      </c>
      <c r="G5263">
        <v>6.9889999999999999</v>
      </c>
      <c r="N5263" s="8"/>
    </row>
    <row r="5264" spans="1:14" x14ac:dyDescent="0.25">
      <c r="A5264" s="8">
        <v>41012</v>
      </c>
      <c r="B5264">
        <v>506973.17</v>
      </c>
      <c r="C5264">
        <v>0</v>
      </c>
      <c r="D5264">
        <v>72.540000000000006</v>
      </c>
      <c r="E5264">
        <v>3.891</v>
      </c>
      <c r="F5264">
        <v>220.1953389</v>
      </c>
      <c r="G5264">
        <v>6.9889999999999999</v>
      </c>
      <c r="N5264" s="8"/>
    </row>
    <row r="5265" spans="1:14" x14ac:dyDescent="0.25">
      <c r="A5265" s="8">
        <v>41019</v>
      </c>
      <c r="B5265">
        <v>523483.19</v>
      </c>
      <c r="C5265">
        <v>0</v>
      </c>
      <c r="D5265">
        <v>70.87</v>
      </c>
      <c r="E5265">
        <v>3.8769999999999998</v>
      </c>
      <c r="F5265">
        <v>220.24839370000001</v>
      </c>
      <c r="G5265">
        <v>6.9889999999999999</v>
      </c>
      <c r="N5265" s="8"/>
    </row>
    <row r="5266" spans="1:14" x14ac:dyDescent="0.25">
      <c r="A5266" s="8">
        <v>41026</v>
      </c>
      <c r="B5266">
        <v>528807.44999999995</v>
      </c>
      <c r="C5266">
        <v>0</v>
      </c>
      <c r="D5266">
        <v>70.06</v>
      </c>
      <c r="E5266">
        <v>3.8140000000000001</v>
      </c>
      <c r="F5266">
        <v>220.30144849999999</v>
      </c>
      <c r="G5266">
        <v>6.9889999999999999</v>
      </c>
      <c r="N5266" s="8"/>
    </row>
    <row r="5267" spans="1:14" x14ac:dyDescent="0.25">
      <c r="A5267" s="8">
        <v>41033</v>
      </c>
      <c r="B5267">
        <v>535311.64</v>
      </c>
      <c r="C5267">
        <v>0</v>
      </c>
      <c r="D5267">
        <v>77.17</v>
      </c>
      <c r="E5267">
        <v>3.7490000000000001</v>
      </c>
      <c r="F5267">
        <v>220.3545033</v>
      </c>
      <c r="G5267">
        <v>6.9889999999999999</v>
      </c>
      <c r="N5267" s="8"/>
    </row>
    <row r="5268" spans="1:14" x14ac:dyDescent="0.25">
      <c r="A5268" s="8">
        <v>41040</v>
      </c>
      <c r="B5268">
        <v>527983.04</v>
      </c>
      <c r="C5268">
        <v>0</v>
      </c>
      <c r="D5268">
        <v>76.55</v>
      </c>
      <c r="E5268">
        <v>3.6880000000000002</v>
      </c>
      <c r="F5268">
        <v>220.40755809999999</v>
      </c>
      <c r="G5268">
        <v>6.9889999999999999</v>
      </c>
      <c r="N5268" s="8"/>
    </row>
    <row r="5269" spans="1:14" x14ac:dyDescent="0.25">
      <c r="A5269" s="8">
        <v>41047</v>
      </c>
      <c r="B5269">
        <v>534847.96</v>
      </c>
      <c r="C5269">
        <v>0</v>
      </c>
      <c r="D5269">
        <v>73.7</v>
      </c>
      <c r="E5269">
        <v>3.63</v>
      </c>
      <c r="F5269">
        <v>220.42521489999999</v>
      </c>
      <c r="G5269">
        <v>6.9889999999999999</v>
      </c>
      <c r="N5269" s="8"/>
    </row>
    <row r="5270" spans="1:14" x14ac:dyDescent="0.25">
      <c r="A5270" s="8">
        <v>41054</v>
      </c>
      <c r="B5270">
        <v>540625.79</v>
      </c>
      <c r="C5270">
        <v>0</v>
      </c>
      <c r="D5270">
        <v>78.94</v>
      </c>
      <c r="E5270">
        <v>3.5609999999999999</v>
      </c>
      <c r="F5270">
        <v>220.42871239999999</v>
      </c>
      <c r="G5270">
        <v>6.9889999999999999</v>
      </c>
      <c r="N5270" s="8"/>
    </row>
    <row r="5271" spans="1:14" x14ac:dyDescent="0.25">
      <c r="A5271" s="8">
        <v>41061</v>
      </c>
      <c r="B5271">
        <v>531811.85</v>
      </c>
      <c r="C5271">
        <v>0</v>
      </c>
      <c r="D5271">
        <v>80.739999999999995</v>
      </c>
      <c r="E5271">
        <v>3.5009999999999999</v>
      </c>
      <c r="F5271">
        <v>220.4322099</v>
      </c>
      <c r="G5271">
        <v>6.9889999999999999</v>
      </c>
      <c r="N5271" s="8"/>
    </row>
    <row r="5272" spans="1:14" x14ac:dyDescent="0.25">
      <c r="A5272" s="8">
        <v>41068</v>
      </c>
      <c r="B5272">
        <v>528940.78</v>
      </c>
      <c r="C5272">
        <v>0</v>
      </c>
      <c r="D5272">
        <v>81.5</v>
      </c>
      <c r="E5272">
        <v>3.452</v>
      </c>
      <c r="F5272">
        <v>220.43570729999999</v>
      </c>
      <c r="G5272">
        <v>6.9889999999999999</v>
      </c>
      <c r="N5272" s="8"/>
    </row>
    <row r="5273" spans="1:14" x14ac:dyDescent="0.25">
      <c r="A5273" s="8">
        <v>41075</v>
      </c>
      <c r="B5273">
        <v>508573.16</v>
      </c>
      <c r="C5273">
        <v>0</v>
      </c>
      <c r="D5273">
        <v>82.15</v>
      </c>
      <c r="E5273">
        <v>3.3929999999999998</v>
      </c>
      <c r="F5273">
        <v>220.4494148</v>
      </c>
      <c r="G5273">
        <v>6.9889999999999999</v>
      </c>
      <c r="N5273" s="8"/>
    </row>
    <row r="5274" spans="1:14" x14ac:dyDescent="0.25">
      <c r="A5274" s="8">
        <v>41082</v>
      </c>
      <c r="B5274">
        <v>484032.75</v>
      </c>
      <c r="C5274">
        <v>0</v>
      </c>
      <c r="D5274">
        <v>80.400000000000006</v>
      </c>
      <c r="E5274">
        <v>3.3460000000000001</v>
      </c>
      <c r="F5274">
        <v>220.4886472</v>
      </c>
      <c r="G5274">
        <v>6.9889999999999999</v>
      </c>
      <c r="N5274" s="8"/>
    </row>
    <row r="5275" spans="1:14" x14ac:dyDescent="0.25">
      <c r="A5275" s="8">
        <v>41089</v>
      </c>
      <c r="B5275">
        <v>508309.81</v>
      </c>
      <c r="C5275">
        <v>0</v>
      </c>
      <c r="D5275">
        <v>86.68</v>
      </c>
      <c r="E5275">
        <v>3.286</v>
      </c>
      <c r="F5275">
        <v>220.52787960000001</v>
      </c>
      <c r="G5275">
        <v>6.9889999999999999</v>
      </c>
      <c r="N5275" s="8"/>
    </row>
    <row r="5276" spans="1:14" x14ac:dyDescent="0.25">
      <c r="A5276" s="8">
        <v>41096</v>
      </c>
      <c r="B5276">
        <v>519498.32</v>
      </c>
      <c r="C5276">
        <v>0</v>
      </c>
      <c r="D5276">
        <v>81.52</v>
      </c>
      <c r="E5276">
        <v>3.2269999999999999</v>
      </c>
      <c r="F5276">
        <v>220.56711200000001</v>
      </c>
      <c r="G5276">
        <v>6.6230000000000002</v>
      </c>
      <c r="N5276" s="8"/>
    </row>
    <row r="5277" spans="1:14" x14ac:dyDescent="0.25">
      <c r="A5277" s="8">
        <v>41103</v>
      </c>
      <c r="B5277">
        <v>506005.47</v>
      </c>
      <c r="C5277">
        <v>0</v>
      </c>
      <c r="D5277">
        <v>78.150000000000006</v>
      </c>
      <c r="E5277">
        <v>3.2559999999999998</v>
      </c>
      <c r="F5277">
        <v>220.60634440000001</v>
      </c>
      <c r="G5277">
        <v>6.6230000000000002</v>
      </c>
      <c r="N5277" s="8"/>
    </row>
    <row r="5278" spans="1:14" x14ac:dyDescent="0.25">
      <c r="A5278" s="8">
        <v>41110</v>
      </c>
      <c r="B5278">
        <v>503744.56</v>
      </c>
      <c r="C5278">
        <v>0</v>
      </c>
      <c r="D5278">
        <v>81.760000000000005</v>
      </c>
      <c r="E5278">
        <v>3.3109999999999999</v>
      </c>
      <c r="F5278">
        <v>220.61487489999999</v>
      </c>
      <c r="G5278">
        <v>6.6230000000000002</v>
      </c>
      <c r="N5278" s="8"/>
    </row>
    <row r="5279" spans="1:14" x14ac:dyDescent="0.25">
      <c r="A5279" s="8">
        <v>41117</v>
      </c>
      <c r="B5279">
        <v>514489.17</v>
      </c>
      <c r="C5279">
        <v>0</v>
      </c>
      <c r="D5279">
        <v>84</v>
      </c>
      <c r="E5279">
        <v>3.407</v>
      </c>
      <c r="F5279">
        <v>220.6234054</v>
      </c>
      <c r="G5279">
        <v>6.6230000000000002</v>
      </c>
      <c r="N5279" s="8"/>
    </row>
    <row r="5280" spans="1:14" x14ac:dyDescent="0.25">
      <c r="A5280" s="8">
        <v>41124</v>
      </c>
      <c r="B5280">
        <v>521959.28</v>
      </c>
      <c r="C5280">
        <v>0</v>
      </c>
      <c r="D5280">
        <v>85.56</v>
      </c>
      <c r="E5280">
        <v>3.4169999999999998</v>
      </c>
      <c r="F5280">
        <v>220.63193580000001</v>
      </c>
      <c r="G5280">
        <v>6.6230000000000002</v>
      </c>
      <c r="N5280" s="8"/>
    </row>
    <row r="5281" spans="1:14" x14ac:dyDescent="0.25">
      <c r="A5281" s="8">
        <v>41131</v>
      </c>
      <c r="B5281">
        <v>500964.59</v>
      </c>
      <c r="C5281">
        <v>0</v>
      </c>
      <c r="D5281">
        <v>84.41</v>
      </c>
      <c r="E5281">
        <v>3.4940000000000002</v>
      </c>
      <c r="F5281">
        <v>220.64046630000001</v>
      </c>
      <c r="G5281">
        <v>6.6230000000000002</v>
      </c>
      <c r="N5281" s="8"/>
    </row>
    <row r="5282" spans="1:14" x14ac:dyDescent="0.25">
      <c r="A5282" s="8">
        <v>41138</v>
      </c>
      <c r="B5282">
        <v>509633.71</v>
      </c>
      <c r="C5282">
        <v>0</v>
      </c>
      <c r="D5282">
        <v>85.89</v>
      </c>
      <c r="E5282">
        <v>3.5710000000000002</v>
      </c>
      <c r="F5282">
        <v>220.71996089999999</v>
      </c>
      <c r="G5282">
        <v>6.6230000000000002</v>
      </c>
      <c r="N5282" s="8"/>
    </row>
    <row r="5283" spans="1:14" x14ac:dyDescent="0.25">
      <c r="A5283" s="8">
        <v>41145</v>
      </c>
      <c r="B5283">
        <v>522665.04</v>
      </c>
      <c r="C5283">
        <v>0</v>
      </c>
      <c r="D5283">
        <v>81.260000000000005</v>
      </c>
      <c r="E5283">
        <v>3.62</v>
      </c>
      <c r="F5283">
        <v>220.85267870000001</v>
      </c>
      <c r="G5283">
        <v>6.6230000000000002</v>
      </c>
      <c r="N5283" s="8"/>
    </row>
    <row r="5284" spans="1:14" x14ac:dyDescent="0.25">
      <c r="A5284" s="8">
        <v>41152</v>
      </c>
      <c r="B5284">
        <v>538344.1</v>
      </c>
      <c r="C5284">
        <v>0</v>
      </c>
      <c r="D5284">
        <v>84.79</v>
      </c>
      <c r="E5284">
        <v>3.6379999999999999</v>
      </c>
      <c r="F5284">
        <v>220.98539640000001</v>
      </c>
      <c r="G5284">
        <v>6.6230000000000002</v>
      </c>
      <c r="N5284" s="8"/>
    </row>
    <row r="5285" spans="1:14" x14ac:dyDescent="0.25">
      <c r="A5285" s="8">
        <v>41159</v>
      </c>
      <c r="B5285">
        <v>526838.14</v>
      </c>
      <c r="C5285">
        <v>1</v>
      </c>
      <c r="D5285">
        <v>84.19</v>
      </c>
      <c r="E5285">
        <v>3.73</v>
      </c>
      <c r="F5285">
        <v>221.11811420000001</v>
      </c>
      <c r="G5285">
        <v>6.6230000000000002</v>
      </c>
      <c r="N5285" s="8"/>
    </row>
    <row r="5286" spans="1:14" x14ac:dyDescent="0.25">
      <c r="A5286" s="8">
        <v>41166</v>
      </c>
      <c r="B5286">
        <v>514651.74</v>
      </c>
      <c r="C5286">
        <v>0</v>
      </c>
      <c r="D5286">
        <v>78.16</v>
      </c>
      <c r="E5286">
        <v>3.7170000000000001</v>
      </c>
      <c r="F5286">
        <v>221.26012069999999</v>
      </c>
      <c r="G5286">
        <v>6.6230000000000002</v>
      </c>
      <c r="N5286" s="8"/>
    </row>
    <row r="5287" spans="1:14" x14ac:dyDescent="0.25">
      <c r="A5287" s="8">
        <v>41173</v>
      </c>
      <c r="B5287">
        <v>521320.98</v>
      </c>
      <c r="C5287">
        <v>0</v>
      </c>
      <c r="D5287">
        <v>75.98</v>
      </c>
      <c r="E5287">
        <v>3.7210000000000001</v>
      </c>
      <c r="F5287">
        <v>221.45786039999999</v>
      </c>
      <c r="G5287">
        <v>6.6230000000000002</v>
      </c>
      <c r="N5287" s="8"/>
    </row>
    <row r="5288" spans="1:14" x14ac:dyDescent="0.25">
      <c r="A5288" s="8">
        <v>41180</v>
      </c>
      <c r="B5288">
        <v>527953.14</v>
      </c>
      <c r="C5288">
        <v>0</v>
      </c>
      <c r="D5288">
        <v>79.489999999999995</v>
      </c>
      <c r="E5288">
        <v>3.6659999999999999</v>
      </c>
      <c r="F5288">
        <v>221.65559999999999</v>
      </c>
      <c r="G5288">
        <v>6.6230000000000002</v>
      </c>
      <c r="N5288" s="8"/>
    </row>
    <row r="5289" spans="1:14" x14ac:dyDescent="0.25">
      <c r="A5289" s="8">
        <v>41187</v>
      </c>
      <c r="B5289">
        <v>546122.37</v>
      </c>
      <c r="C5289">
        <v>0</v>
      </c>
      <c r="D5289">
        <v>73.569999999999993</v>
      </c>
      <c r="E5289">
        <v>3.617</v>
      </c>
      <c r="F5289">
        <v>221.8533396</v>
      </c>
      <c r="G5289">
        <v>6.2279999999999998</v>
      </c>
      <c r="N5289" s="8"/>
    </row>
    <row r="5290" spans="1:14" x14ac:dyDescent="0.25">
      <c r="A5290" s="8">
        <v>41194</v>
      </c>
      <c r="B5290">
        <v>521810.75</v>
      </c>
      <c r="C5290">
        <v>0</v>
      </c>
      <c r="D5290">
        <v>71.28</v>
      </c>
      <c r="E5290">
        <v>3.601</v>
      </c>
      <c r="F5290">
        <v>222.0510793</v>
      </c>
      <c r="G5290">
        <v>6.2279999999999998</v>
      </c>
      <c r="N5290" s="8"/>
    </row>
    <row r="5291" spans="1:14" x14ac:dyDescent="0.25">
      <c r="A5291" s="8">
        <v>41201</v>
      </c>
      <c r="B5291">
        <v>551969.1</v>
      </c>
      <c r="C5291">
        <v>0</v>
      </c>
      <c r="D5291">
        <v>74.06</v>
      </c>
      <c r="E5291">
        <v>3.5939999999999999</v>
      </c>
      <c r="F5291">
        <v>222.0951719</v>
      </c>
      <c r="G5291">
        <v>6.2279999999999998</v>
      </c>
      <c r="N5291" s="8"/>
    </row>
    <row r="5292" spans="1:14" x14ac:dyDescent="0.25">
      <c r="A5292" s="8">
        <v>41208</v>
      </c>
      <c r="B5292">
        <v>534738.43000000005</v>
      </c>
      <c r="C5292">
        <v>0</v>
      </c>
      <c r="D5292">
        <v>74.39</v>
      </c>
      <c r="E5292">
        <v>3.5059999999999998</v>
      </c>
      <c r="F5292">
        <v>222.11365660000001</v>
      </c>
      <c r="G5292">
        <v>6.2279999999999998</v>
      </c>
      <c r="N5292" s="8"/>
    </row>
    <row r="5293" spans="1:14" x14ac:dyDescent="0.25">
      <c r="A5293" s="8">
        <v>40214</v>
      </c>
      <c r="B5293">
        <v>358496.14</v>
      </c>
      <c r="C5293">
        <v>0</v>
      </c>
      <c r="D5293">
        <v>49.47</v>
      </c>
      <c r="E5293">
        <v>2.9620000000000002</v>
      </c>
      <c r="F5293">
        <v>126.4420645</v>
      </c>
      <c r="G5293">
        <v>13.975</v>
      </c>
      <c r="N5293" s="8"/>
    </row>
    <row r="5294" spans="1:14" x14ac:dyDescent="0.25">
      <c r="A5294" s="8">
        <v>40221</v>
      </c>
      <c r="B5294">
        <v>342214.9</v>
      </c>
      <c r="C5294">
        <v>1</v>
      </c>
      <c r="D5294">
        <v>47.87</v>
      </c>
      <c r="E5294">
        <v>2.9460000000000002</v>
      </c>
      <c r="F5294">
        <v>126.49625810000001</v>
      </c>
      <c r="G5294">
        <v>13.975</v>
      </c>
      <c r="N5294" s="8"/>
    </row>
    <row r="5295" spans="1:14" x14ac:dyDescent="0.25">
      <c r="A5295" s="8">
        <v>40228</v>
      </c>
      <c r="B5295">
        <v>327237.92</v>
      </c>
      <c r="C5295">
        <v>0</v>
      </c>
      <c r="D5295">
        <v>54.83</v>
      </c>
      <c r="E5295">
        <v>2.915</v>
      </c>
      <c r="F5295">
        <v>126.5262857</v>
      </c>
      <c r="G5295">
        <v>13.975</v>
      </c>
      <c r="N5295" s="8"/>
    </row>
    <row r="5296" spans="1:14" x14ac:dyDescent="0.25">
      <c r="A5296" s="8">
        <v>40235</v>
      </c>
      <c r="B5296">
        <v>334222.73</v>
      </c>
      <c r="C5296">
        <v>0</v>
      </c>
      <c r="D5296">
        <v>50.23</v>
      </c>
      <c r="E5296">
        <v>2.8250000000000002</v>
      </c>
      <c r="F5296">
        <v>126.5522857</v>
      </c>
      <c r="G5296">
        <v>13.975</v>
      </c>
      <c r="N5296" s="8"/>
    </row>
    <row r="5297" spans="1:14" x14ac:dyDescent="0.25">
      <c r="A5297" s="8">
        <v>40242</v>
      </c>
      <c r="B5297">
        <v>372239.89</v>
      </c>
      <c r="C5297">
        <v>0</v>
      </c>
      <c r="D5297">
        <v>53.77</v>
      </c>
      <c r="E5297">
        <v>2.9870000000000001</v>
      </c>
      <c r="F5297">
        <v>126.5782857</v>
      </c>
      <c r="G5297">
        <v>13.975</v>
      </c>
      <c r="N5297" s="8"/>
    </row>
    <row r="5298" spans="1:14" x14ac:dyDescent="0.25">
      <c r="A5298" s="8">
        <v>40249</v>
      </c>
      <c r="B5298">
        <v>342023.92</v>
      </c>
      <c r="C5298">
        <v>0</v>
      </c>
      <c r="D5298">
        <v>50.11</v>
      </c>
      <c r="E5298">
        <v>2.9249999999999998</v>
      </c>
      <c r="F5298">
        <v>126.60428570000001</v>
      </c>
      <c r="G5298">
        <v>13.975</v>
      </c>
      <c r="N5298" s="8"/>
    </row>
    <row r="5299" spans="1:14" x14ac:dyDescent="0.25">
      <c r="A5299" s="8">
        <v>40256</v>
      </c>
      <c r="B5299">
        <v>333025.46999999997</v>
      </c>
      <c r="C5299">
        <v>0</v>
      </c>
      <c r="D5299">
        <v>59.57</v>
      </c>
      <c r="E5299">
        <v>3.0539999999999998</v>
      </c>
      <c r="F5299">
        <v>126.6066452</v>
      </c>
      <c r="G5299">
        <v>13.975</v>
      </c>
      <c r="N5299" s="8"/>
    </row>
    <row r="5300" spans="1:14" x14ac:dyDescent="0.25">
      <c r="A5300" s="8">
        <v>40263</v>
      </c>
      <c r="B5300">
        <v>335858.11</v>
      </c>
      <c r="C5300">
        <v>0</v>
      </c>
      <c r="D5300">
        <v>60.06</v>
      </c>
      <c r="E5300">
        <v>3.0830000000000002</v>
      </c>
      <c r="F5300">
        <v>126.6050645</v>
      </c>
      <c r="G5300">
        <v>13.975</v>
      </c>
      <c r="N5300" s="8"/>
    </row>
    <row r="5301" spans="1:14" x14ac:dyDescent="0.25">
      <c r="A5301" s="8">
        <v>40270</v>
      </c>
      <c r="B5301">
        <v>368929.55</v>
      </c>
      <c r="C5301">
        <v>0</v>
      </c>
      <c r="D5301">
        <v>59.84</v>
      </c>
      <c r="E5301">
        <v>3.0859999999999999</v>
      </c>
      <c r="F5301">
        <v>126.6034839</v>
      </c>
      <c r="G5301">
        <v>14.099</v>
      </c>
      <c r="N5301" s="8"/>
    </row>
    <row r="5302" spans="1:14" x14ac:dyDescent="0.25">
      <c r="A5302" s="8">
        <v>40277</v>
      </c>
      <c r="B5302">
        <v>341630.46</v>
      </c>
      <c r="C5302">
        <v>0</v>
      </c>
      <c r="D5302">
        <v>59.25</v>
      </c>
      <c r="E5302">
        <v>3.09</v>
      </c>
      <c r="F5302">
        <v>126.6019032</v>
      </c>
      <c r="G5302">
        <v>14.099</v>
      </c>
      <c r="N5302" s="8"/>
    </row>
    <row r="5303" spans="1:14" x14ac:dyDescent="0.25">
      <c r="A5303" s="8">
        <v>40284</v>
      </c>
      <c r="B5303">
        <v>337723.49</v>
      </c>
      <c r="C5303">
        <v>0</v>
      </c>
      <c r="D5303">
        <v>64.95</v>
      </c>
      <c r="E5303">
        <v>3.109</v>
      </c>
      <c r="F5303">
        <v>126.5621</v>
      </c>
      <c r="G5303">
        <v>14.099</v>
      </c>
      <c r="N5303" s="8"/>
    </row>
    <row r="5304" spans="1:14" x14ac:dyDescent="0.25">
      <c r="A5304" s="8">
        <v>40291</v>
      </c>
      <c r="B5304">
        <v>335121.82</v>
      </c>
      <c r="C5304">
        <v>0</v>
      </c>
      <c r="D5304">
        <v>64.55</v>
      </c>
      <c r="E5304">
        <v>3.05</v>
      </c>
      <c r="F5304">
        <v>126.4713333</v>
      </c>
      <c r="G5304">
        <v>14.099</v>
      </c>
      <c r="N5304" s="8"/>
    </row>
    <row r="5305" spans="1:14" x14ac:dyDescent="0.25">
      <c r="A5305" s="8">
        <v>40298</v>
      </c>
      <c r="B5305">
        <v>337979.65</v>
      </c>
      <c r="C5305">
        <v>0</v>
      </c>
      <c r="D5305">
        <v>67.38</v>
      </c>
      <c r="E5305">
        <v>3.105</v>
      </c>
      <c r="F5305">
        <v>126.3805667</v>
      </c>
      <c r="G5305">
        <v>14.099</v>
      </c>
      <c r="N5305" s="8"/>
    </row>
    <row r="5306" spans="1:14" x14ac:dyDescent="0.25">
      <c r="A5306" s="8">
        <v>40305</v>
      </c>
      <c r="B5306">
        <v>383657.44</v>
      </c>
      <c r="C5306">
        <v>0</v>
      </c>
      <c r="D5306">
        <v>70.150000000000006</v>
      </c>
      <c r="E5306">
        <v>3.1269999999999998</v>
      </c>
      <c r="F5306">
        <v>126.2898</v>
      </c>
      <c r="G5306">
        <v>14.099</v>
      </c>
      <c r="N5306" s="8"/>
    </row>
    <row r="5307" spans="1:14" x14ac:dyDescent="0.25">
      <c r="A5307" s="8">
        <v>40312</v>
      </c>
      <c r="B5307">
        <v>346174.3</v>
      </c>
      <c r="C5307">
        <v>0</v>
      </c>
      <c r="D5307">
        <v>68.44</v>
      </c>
      <c r="E5307">
        <v>3.145</v>
      </c>
      <c r="F5307">
        <v>126.2085484</v>
      </c>
      <c r="G5307">
        <v>14.099</v>
      </c>
      <c r="N5307" s="8"/>
    </row>
    <row r="5308" spans="1:14" x14ac:dyDescent="0.25">
      <c r="A5308" s="8">
        <v>40319</v>
      </c>
      <c r="B5308">
        <v>340497.08</v>
      </c>
      <c r="C5308">
        <v>0</v>
      </c>
      <c r="D5308">
        <v>76.2</v>
      </c>
      <c r="E5308">
        <v>3.12</v>
      </c>
      <c r="F5308">
        <v>126.1843871</v>
      </c>
      <c r="G5308">
        <v>14.099</v>
      </c>
      <c r="N5308" s="8"/>
    </row>
    <row r="5309" spans="1:14" x14ac:dyDescent="0.25">
      <c r="A5309" s="8">
        <v>40326</v>
      </c>
      <c r="B5309">
        <v>326469.43</v>
      </c>
      <c r="C5309">
        <v>0</v>
      </c>
      <c r="D5309">
        <v>67.84</v>
      </c>
      <c r="E5309">
        <v>3.0579999999999998</v>
      </c>
      <c r="F5309">
        <v>126.16022580000001</v>
      </c>
      <c r="G5309">
        <v>14.099</v>
      </c>
      <c r="N5309" s="8"/>
    </row>
    <row r="5310" spans="1:14" x14ac:dyDescent="0.25">
      <c r="A5310" s="8">
        <v>40333</v>
      </c>
      <c r="B5310">
        <v>376184.88</v>
      </c>
      <c r="C5310">
        <v>0</v>
      </c>
      <c r="D5310">
        <v>81.39</v>
      </c>
      <c r="E5310">
        <v>2.9409999999999998</v>
      </c>
      <c r="F5310">
        <v>126.1360645</v>
      </c>
      <c r="G5310">
        <v>14.099</v>
      </c>
      <c r="N5310" s="8"/>
    </row>
    <row r="5311" spans="1:14" x14ac:dyDescent="0.25">
      <c r="A5311" s="8">
        <v>40340</v>
      </c>
      <c r="B5311">
        <v>354828.65</v>
      </c>
      <c r="C5311">
        <v>0</v>
      </c>
      <c r="D5311">
        <v>90.84</v>
      </c>
      <c r="E5311">
        <v>2.9489999999999998</v>
      </c>
      <c r="F5311">
        <v>126.1119032</v>
      </c>
      <c r="G5311">
        <v>14.099</v>
      </c>
      <c r="N5311" s="8"/>
    </row>
    <row r="5312" spans="1:14" x14ac:dyDescent="0.25">
      <c r="A5312" s="8">
        <v>40347</v>
      </c>
      <c r="B5312">
        <v>335691.85</v>
      </c>
      <c r="C5312">
        <v>0</v>
      </c>
      <c r="D5312">
        <v>81.06</v>
      </c>
      <c r="E5312">
        <v>3.0430000000000001</v>
      </c>
      <c r="F5312">
        <v>126.114</v>
      </c>
      <c r="G5312">
        <v>14.099</v>
      </c>
      <c r="N5312" s="8"/>
    </row>
    <row r="5313" spans="1:14" x14ac:dyDescent="0.25">
      <c r="A5313" s="8">
        <v>40354</v>
      </c>
      <c r="B5313">
        <v>322046.76</v>
      </c>
      <c r="C5313">
        <v>0</v>
      </c>
      <c r="D5313">
        <v>87.27</v>
      </c>
      <c r="E5313">
        <v>3.0840000000000001</v>
      </c>
      <c r="F5313">
        <v>126.1266</v>
      </c>
      <c r="G5313">
        <v>14.099</v>
      </c>
      <c r="N5313" s="8"/>
    </row>
    <row r="5314" spans="1:14" x14ac:dyDescent="0.25">
      <c r="A5314" s="8">
        <v>40361</v>
      </c>
      <c r="B5314">
        <v>361181.48</v>
      </c>
      <c r="C5314">
        <v>0</v>
      </c>
      <c r="D5314">
        <v>91.98</v>
      </c>
      <c r="E5314">
        <v>3.105</v>
      </c>
      <c r="F5314">
        <v>126.1392</v>
      </c>
      <c r="G5314">
        <v>14.18</v>
      </c>
      <c r="N5314" s="8"/>
    </row>
    <row r="5315" spans="1:14" x14ac:dyDescent="0.25">
      <c r="A5315" s="8">
        <v>40368</v>
      </c>
      <c r="B5315">
        <v>343850.34</v>
      </c>
      <c r="C5315">
        <v>0</v>
      </c>
      <c r="D5315">
        <v>90.37</v>
      </c>
      <c r="E5315">
        <v>3.1</v>
      </c>
      <c r="F5315">
        <v>126.15179999999999</v>
      </c>
      <c r="G5315">
        <v>14.18</v>
      </c>
      <c r="N5315" s="8"/>
    </row>
    <row r="5316" spans="1:14" x14ac:dyDescent="0.25">
      <c r="A5316" s="8">
        <v>40375</v>
      </c>
      <c r="B5316">
        <v>338277.71</v>
      </c>
      <c r="C5316">
        <v>0</v>
      </c>
      <c r="D5316">
        <v>97.18</v>
      </c>
      <c r="E5316">
        <v>3.0939999999999999</v>
      </c>
      <c r="F5316">
        <v>126.1498065</v>
      </c>
      <c r="G5316">
        <v>14.18</v>
      </c>
      <c r="N5316" s="8"/>
    </row>
    <row r="5317" spans="1:14" x14ac:dyDescent="0.25">
      <c r="A5317" s="8">
        <v>40382</v>
      </c>
      <c r="B5317">
        <v>328336.84999999998</v>
      </c>
      <c r="C5317">
        <v>0</v>
      </c>
      <c r="D5317">
        <v>99.22</v>
      </c>
      <c r="E5317">
        <v>3.1120000000000001</v>
      </c>
      <c r="F5317">
        <v>126.1283548</v>
      </c>
      <c r="G5317">
        <v>14.18</v>
      </c>
      <c r="N5317" s="8"/>
    </row>
    <row r="5318" spans="1:14" x14ac:dyDescent="0.25">
      <c r="A5318" s="8">
        <v>40389</v>
      </c>
      <c r="B5318">
        <v>336378.38</v>
      </c>
      <c r="C5318">
        <v>0</v>
      </c>
      <c r="D5318">
        <v>96.31</v>
      </c>
      <c r="E5318">
        <v>3.0169999999999999</v>
      </c>
      <c r="F5318">
        <v>126.1069032</v>
      </c>
      <c r="G5318">
        <v>14.18</v>
      </c>
      <c r="N5318" s="8"/>
    </row>
    <row r="5319" spans="1:14" x14ac:dyDescent="0.25">
      <c r="A5319" s="8">
        <v>40396</v>
      </c>
      <c r="B5319">
        <v>378574.44</v>
      </c>
      <c r="C5319">
        <v>0</v>
      </c>
      <c r="D5319">
        <v>92.95</v>
      </c>
      <c r="E5319">
        <v>3.1230000000000002</v>
      </c>
      <c r="F5319">
        <v>126.0854516</v>
      </c>
      <c r="G5319">
        <v>14.18</v>
      </c>
      <c r="N5319" s="8"/>
    </row>
    <row r="5320" spans="1:14" x14ac:dyDescent="0.25">
      <c r="A5320" s="8">
        <v>40403</v>
      </c>
      <c r="B5320">
        <v>341400.72</v>
      </c>
      <c r="C5320">
        <v>0</v>
      </c>
      <c r="D5320">
        <v>87.01</v>
      </c>
      <c r="E5320">
        <v>3.1589999999999998</v>
      </c>
      <c r="F5320">
        <v>126.06399999999999</v>
      </c>
      <c r="G5320">
        <v>14.18</v>
      </c>
      <c r="N5320" s="8"/>
    </row>
    <row r="5321" spans="1:14" x14ac:dyDescent="0.25">
      <c r="A5321" s="8">
        <v>40410</v>
      </c>
      <c r="B5321">
        <v>329139.73</v>
      </c>
      <c r="C5321">
        <v>0</v>
      </c>
      <c r="D5321">
        <v>92.81</v>
      </c>
      <c r="E5321">
        <v>3.0409999999999999</v>
      </c>
      <c r="F5321">
        <v>126.0766452</v>
      </c>
      <c r="G5321">
        <v>14.18</v>
      </c>
      <c r="N5321" s="8"/>
    </row>
    <row r="5322" spans="1:14" x14ac:dyDescent="0.25">
      <c r="A5322" s="8">
        <v>40417</v>
      </c>
      <c r="B5322">
        <v>322868.56</v>
      </c>
      <c r="C5322">
        <v>0</v>
      </c>
      <c r="D5322">
        <v>93.19</v>
      </c>
      <c r="E5322">
        <v>3.129</v>
      </c>
      <c r="F5322">
        <v>126.0892903</v>
      </c>
      <c r="G5322">
        <v>14.18</v>
      </c>
      <c r="N5322" s="8"/>
    </row>
    <row r="5323" spans="1:14" x14ac:dyDescent="0.25">
      <c r="A5323" s="8">
        <v>40424</v>
      </c>
      <c r="B5323">
        <v>377096.55</v>
      </c>
      <c r="C5323">
        <v>0</v>
      </c>
      <c r="D5323">
        <v>83.12</v>
      </c>
      <c r="E5323">
        <v>3.0870000000000002</v>
      </c>
      <c r="F5323">
        <v>126.1019355</v>
      </c>
      <c r="G5323">
        <v>14.18</v>
      </c>
      <c r="N5323" s="8"/>
    </row>
    <row r="5324" spans="1:14" x14ac:dyDescent="0.25">
      <c r="A5324" s="8">
        <v>40431</v>
      </c>
      <c r="B5324">
        <v>336227.69</v>
      </c>
      <c r="C5324">
        <v>1</v>
      </c>
      <c r="D5324">
        <v>83.63</v>
      </c>
      <c r="E5324">
        <v>3.044</v>
      </c>
      <c r="F5324">
        <v>126.1145806</v>
      </c>
      <c r="G5324">
        <v>14.18</v>
      </c>
      <c r="N5324" s="8"/>
    </row>
    <row r="5325" spans="1:14" x14ac:dyDescent="0.25">
      <c r="A5325" s="8">
        <v>40438</v>
      </c>
      <c r="B5325">
        <v>336253.19</v>
      </c>
      <c r="C5325">
        <v>0</v>
      </c>
      <c r="D5325">
        <v>82.45</v>
      </c>
      <c r="E5325">
        <v>3.028</v>
      </c>
      <c r="F5325">
        <v>126.1454667</v>
      </c>
      <c r="G5325">
        <v>14.18</v>
      </c>
      <c r="N5325" s="8"/>
    </row>
    <row r="5326" spans="1:14" x14ac:dyDescent="0.25">
      <c r="A5326" s="8">
        <v>40445</v>
      </c>
      <c r="B5326">
        <v>330604.90000000002</v>
      </c>
      <c r="C5326">
        <v>0</v>
      </c>
      <c r="D5326">
        <v>81.77</v>
      </c>
      <c r="E5326">
        <v>2.9390000000000001</v>
      </c>
      <c r="F5326">
        <v>126.1900333</v>
      </c>
      <c r="G5326">
        <v>14.18</v>
      </c>
      <c r="N5326" s="8"/>
    </row>
    <row r="5327" spans="1:14" x14ac:dyDescent="0.25">
      <c r="A5327" s="8">
        <v>40452</v>
      </c>
      <c r="B5327">
        <v>360256.58</v>
      </c>
      <c r="C5327">
        <v>0</v>
      </c>
      <c r="D5327">
        <v>85.2</v>
      </c>
      <c r="E5327">
        <v>3.0009999999999999</v>
      </c>
      <c r="F5327">
        <v>126.2346</v>
      </c>
      <c r="G5327">
        <v>14.313000000000001</v>
      </c>
      <c r="N5327" s="8"/>
    </row>
    <row r="5328" spans="1:14" x14ac:dyDescent="0.25">
      <c r="A5328" s="8">
        <v>40459</v>
      </c>
      <c r="B5328">
        <v>351271.36</v>
      </c>
      <c r="C5328">
        <v>0</v>
      </c>
      <c r="D5328">
        <v>71.819999999999993</v>
      </c>
      <c r="E5328">
        <v>3.0129999999999999</v>
      </c>
      <c r="F5328">
        <v>126.2791667</v>
      </c>
      <c r="G5328">
        <v>14.313000000000001</v>
      </c>
      <c r="N5328" s="8"/>
    </row>
    <row r="5329" spans="1:14" x14ac:dyDescent="0.25">
      <c r="A5329" s="8">
        <v>40466</v>
      </c>
      <c r="B5329">
        <v>337743.26</v>
      </c>
      <c r="C5329">
        <v>0</v>
      </c>
      <c r="D5329">
        <v>75</v>
      </c>
      <c r="E5329">
        <v>2.976</v>
      </c>
      <c r="F5329">
        <v>126.32667739999999</v>
      </c>
      <c r="G5329">
        <v>14.313000000000001</v>
      </c>
      <c r="N5329" s="8"/>
    </row>
    <row r="5330" spans="1:14" x14ac:dyDescent="0.25">
      <c r="A5330" s="8">
        <v>40473</v>
      </c>
      <c r="B5330">
        <v>339042.18</v>
      </c>
      <c r="C5330">
        <v>0</v>
      </c>
      <c r="D5330">
        <v>68.849999999999994</v>
      </c>
      <c r="E5330">
        <v>3.0139999999999998</v>
      </c>
      <c r="F5330">
        <v>126.3815484</v>
      </c>
      <c r="G5330">
        <v>14.313000000000001</v>
      </c>
      <c r="N5330" s="8"/>
    </row>
    <row r="5331" spans="1:14" x14ac:dyDescent="0.25">
      <c r="A5331" s="8">
        <v>40480</v>
      </c>
      <c r="B5331">
        <v>341219.63</v>
      </c>
      <c r="C5331">
        <v>0</v>
      </c>
      <c r="D5331">
        <v>61.09</v>
      </c>
      <c r="E5331">
        <v>3.016</v>
      </c>
      <c r="F5331">
        <v>126.43641940000001</v>
      </c>
      <c r="G5331">
        <v>14.313000000000001</v>
      </c>
      <c r="N5331" s="8"/>
    </row>
    <row r="5332" spans="1:14" x14ac:dyDescent="0.25">
      <c r="A5332" s="8">
        <v>40487</v>
      </c>
      <c r="B5332">
        <v>380870.09</v>
      </c>
      <c r="C5332">
        <v>0</v>
      </c>
      <c r="D5332">
        <v>65.489999999999995</v>
      </c>
      <c r="E5332">
        <v>3.129</v>
      </c>
      <c r="F5332">
        <v>126.4912903</v>
      </c>
      <c r="G5332">
        <v>14.313000000000001</v>
      </c>
      <c r="N5332" s="8"/>
    </row>
    <row r="5333" spans="1:14" x14ac:dyDescent="0.25">
      <c r="A5333" s="8">
        <v>40494</v>
      </c>
      <c r="B5333">
        <v>340147.20000000001</v>
      </c>
      <c r="C5333">
        <v>0</v>
      </c>
      <c r="D5333">
        <v>57.79</v>
      </c>
      <c r="E5333">
        <v>3.13</v>
      </c>
      <c r="F5333">
        <v>126.54616129999999</v>
      </c>
      <c r="G5333">
        <v>14.313000000000001</v>
      </c>
      <c r="N5333" s="8"/>
    </row>
    <row r="5334" spans="1:14" x14ac:dyDescent="0.25">
      <c r="A5334" s="8">
        <v>40501</v>
      </c>
      <c r="B5334">
        <v>348593.99</v>
      </c>
      <c r="C5334">
        <v>0</v>
      </c>
      <c r="D5334">
        <v>58.18</v>
      </c>
      <c r="E5334">
        <v>3.161</v>
      </c>
      <c r="F5334">
        <v>126.60720000000001</v>
      </c>
      <c r="G5334">
        <v>14.313000000000001</v>
      </c>
      <c r="N5334" s="8"/>
    </row>
    <row r="5335" spans="1:14" x14ac:dyDescent="0.25">
      <c r="A5335" s="8">
        <v>40508</v>
      </c>
      <c r="B5335">
        <v>360857.98</v>
      </c>
      <c r="C5335">
        <v>1</v>
      </c>
      <c r="D5335">
        <v>47.66</v>
      </c>
      <c r="E5335">
        <v>3.1619999999999999</v>
      </c>
      <c r="F5335">
        <v>126.66926669999999</v>
      </c>
      <c r="G5335">
        <v>14.313000000000001</v>
      </c>
      <c r="N5335" s="8"/>
    </row>
    <row r="5336" spans="1:14" x14ac:dyDescent="0.25">
      <c r="A5336" s="8">
        <v>40515</v>
      </c>
      <c r="B5336">
        <v>351925.36</v>
      </c>
      <c r="C5336">
        <v>0</v>
      </c>
      <c r="D5336">
        <v>43.33</v>
      </c>
      <c r="E5336">
        <v>3.0409999999999999</v>
      </c>
      <c r="F5336">
        <v>126.7313333</v>
      </c>
      <c r="G5336">
        <v>14.313000000000001</v>
      </c>
      <c r="N5336" s="8"/>
    </row>
    <row r="5337" spans="1:14" x14ac:dyDescent="0.25">
      <c r="A5337" s="8">
        <v>40522</v>
      </c>
      <c r="B5337">
        <v>355965.23</v>
      </c>
      <c r="C5337">
        <v>0</v>
      </c>
      <c r="D5337">
        <v>50.01</v>
      </c>
      <c r="E5337">
        <v>3.2029999999999998</v>
      </c>
      <c r="F5337">
        <v>126.79340000000001</v>
      </c>
      <c r="G5337">
        <v>14.313000000000001</v>
      </c>
      <c r="N5337" s="8"/>
    </row>
    <row r="5338" spans="1:14" x14ac:dyDescent="0.25">
      <c r="A5338" s="8">
        <v>40529</v>
      </c>
      <c r="B5338">
        <v>334441.15000000002</v>
      </c>
      <c r="C5338">
        <v>0</v>
      </c>
      <c r="D5338">
        <v>52.77</v>
      </c>
      <c r="E5338">
        <v>3.2360000000000002</v>
      </c>
      <c r="F5338">
        <v>126.8794839</v>
      </c>
      <c r="G5338">
        <v>14.313000000000001</v>
      </c>
      <c r="N5338" s="8"/>
    </row>
    <row r="5339" spans="1:14" x14ac:dyDescent="0.25">
      <c r="A5339" s="8">
        <v>40536</v>
      </c>
      <c r="B5339">
        <v>369106.72</v>
      </c>
      <c r="C5339">
        <v>0</v>
      </c>
      <c r="D5339">
        <v>52.02</v>
      </c>
      <c r="E5339">
        <v>3.2360000000000002</v>
      </c>
      <c r="F5339">
        <v>126.9835806</v>
      </c>
      <c r="G5339">
        <v>14.313000000000001</v>
      </c>
      <c r="N5339" s="8"/>
    </row>
    <row r="5340" spans="1:14" x14ac:dyDescent="0.25">
      <c r="A5340" s="8">
        <v>40543</v>
      </c>
      <c r="B5340">
        <v>303908.81</v>
      </c>
      <c r="C5340">
        <v>1</v>
      </c>
      <c r="D5340">
        <v>45.64</v>
      </c>
      <c r="E5340">
        <v>3.1480000000000001</v>
      </c>
      <c r="F5340">
        <v>127.0876774</v>
      </c>
      <c r="G5340">
        <v>14.313000000000001</v>
      </c>
      <c r="N5340" s="8"/>
    </row>
    <row r="5341" spans="1:14" x14ac:dyDescent="0.25">
      <c r="A5341" s="8">
        <v>40550</v>
      </c>
      <c r="B5341">
        <v>386344.54</v>
      </c>
      <c r="C5341">
        <v>0</v>
      </c>
      <c r="D5341">
        <v>37.64</v>
      </c>
      <c r="E5341">
        <v>3.2869999999999999</v>
      </c>
      <c r="F5341">
        <v>127.1917742</v>
      </c>
      <c r="G5341">
        <v>14.021000000000001</v>
      </c>
      <c r="N5341" s="8"/>
    </row>
    <row r="5342" spans="1:14" x14ac:dyDescent="0.25">
      <c r="A5342" s="8">
        <v>40557</v>
      </c>
      <c r="B5342">
        <v>356138.79</v>
      </c>
      <c r="C5342">
        <v>0</v>
      </c>
      <c r="D5342">
        <v>43.15</v>
      </c>
      <c r="E5342">
        <v>3.3119999999999998</v>
      </c>
      <c r="F5342">
        <v>127.30093549999999</v>
      </c>
      <c r="G5342">
        <v>14.021000000000001</v>
      </c>
      <c r="N5342" s="8"/>
    </row>
    <row r="5343" spans="1:14" x14ac:dyDescent="0.25">
      <c r="A5343" s="8">
        <v>40564</v>
      </c>
      <c r="B5343">
        <v>341098.08</v>
      </c>
      <c r="C5343">
        <v>0</v>
      </c>
      <c r="D5343">
        <v>53.53</v>
      </c>
      <c r="E5343">
        <v>3.2229999999999999</v>
      </c>
      <c r="F5343">
        <v>127.4404839</v>
      </c>
      <c r="G5343">
        <v>14.021000000000001</v>
      </c>
      <c r="N5343" s="8"/>
    </row>
    <row r="5344" spans="1:14" x14ac:dyDescent="0.25">
      <c r="A5344" s="8">
        <v>40571</v>
      </c>
      <c r="B5344">
        <v>357557.16</v>
      </c>
      <c r="C5344">
        <v>0</v>
      </c>
      <c r="D5344">
        <v>50.74</v>
      </c>
      <c r="E5344">
        <v>3.3420000000000001</v>
      </c>
      <c r="F5344">
        <v>127.5800323</v>
      </c>
      <c r="G5344">
        <v>14.021000000000001</v>
      </c>
      <c r="N5344" s="8"/>
    </row>
    <row r="5345" spans="1:14" x14ac:dyDescent="0.25">
      <c r="A5345" s="8">
        <v>40578</v>
      </c>
      <c r="B5345">
        <v>402341.76</v>
      </c>
      <c r="C5345">
        <v>0</v>
      </c>
      <c r="D5345">
        <v>45.14</v>
      </c>
      <c r="E5345">
        <v>3.3479999999999999</v>
      </c>
      <c r="F5345">
        <v>127.7195806</v>
      </c>
      <c r="G5345">
        <v>14.021000000000001</v>
      </c>
      <c r="N5345" s="8"/>
    </row>
    <row r="5346" spans="1:14" x14ac:dyDescent="0.25">
      <c r="A5346" s="8">
        <v>40585</v>
      </c>
      <c r="B5346">
        <v>377672.46</v>
      </c>
      <c r="C5346">
        <v>1</v>
      </c>
      <c r="D5346">
        <v>51.3</v>
      </c>
      <c r="E5346">
        <v>3.3809999999999998</v>
      </c>
      <c r="F5346">
        <v>127.859129</v>
      </c>
      <c r="G5346">
        <v>14.021000000000001</v>
      </c>
      <c r="N5346" s="8"/>
    </row>
    <row r="5347" spans="1:14" x14ac:dyDescent="0.25">
      <c r="A5347" s="8">
        <v>40592</v>
      </c>
      <c r="B5347">
        <v>364606.7</v>
      </c>
      <c r="C5347">
        <v>0</v>
      </c>
      <c r="D5347">
        <v>53.35</v>
      </c>
      <c r="E5347">
        <v>3.43</v>
      </c>
      <c r="F5347">
        <v>127.99525</v>
      </c>
      <c r="G5347">
        <v>14.021000000000001</v>
      </c>
      <c r="N5347" s="8"/>
    </row>
    <row r="5348" spans="1:14" x14ac:dyDescent="0.25">
      <c r="A5348" s="8">
        <v>40599</v>
      </c>
      <c r="B5348">
        <v>354232.34</v>
      </c>
      <c r="C5348">
        <v>0</v>
      </c>
      <c r="D5348">
        <v>48.45</v>
      </c>
      <c r="E5348">
        <v>3.53</v>
      </c>
      <c r="F5348">
        <v>128.13</v>
      </c>
      <c r="G5348">
        <v>14.021000000000001</v>
      </c>
      <c r="N5348" s="8"/>
    </row>
    <row r="5349" spans="1:14" x14ac:dyDescent="0.25">
      <c r="A5349" s="8">
        <v>40606</v>
      </c>
      <c r="B5349">
        <v>405429.43</v>
      </c>
      <c r="C5349">
        <v>0</v>
      </c>
      <c r="D5349">
        <v>51.72</v>
      </c>
      <c r="E5349">
        <v>3.6739999999999999</v>
      </c>
      <c r="F5349">
        <v>128.26474999999999</v>
      </c>
      <c r="G5349">
        <v>14.021000000000001</v>
      </c>
      <c r="N5349" s="8"/>
    </row>
    <row r="5350" spans="1:14" x14ac:dyDescent="0.25">
      <c r="A5350" s="8">
        <v>40613</v>
      </c>
      <c r="B5350">
        <v>357897.18</v>
      </c>
      <c r="C5350">
        <v>0</v>
      </c>
      <c r="D5350">
        <v>57.75</v>
      </c>
      <c r="E5350">
        <v>3.8180000000000001</v>
      </c>
      <c r="F5350">
        <v>128.39949999999999</v>
      </c>
      <c r="G5350">
        <v>14.021000000000001</v>
      </c>
      <c r="N5350" s="8"/>
    </row>
    <row r="5351" spans="1:14" x14ac:dyDescent="0.25">
      <c r="A5351" s="8">
        <v>40620</v>
      </c>
      <c r="B5351">
        <v>349459.95</v>
      </c>
      <c r="C5351">
        <v>0</v>
      </c>
      <c r="D5351">
        <v>64.209999999999994</v>
      </c>
      <c r="E5351">
        <v>3.6920000000000002</v>
      </c>
      <c r="F5351">
        <v>128.5121935</v>
      </c>
      <c r="G5351">
        <v>14.021000000000001</v>
      </c>
      <c r="N5351" s="8"/>
    </row>
    <row r="5352" spans="1:14" x14ac:dyDescent="0.25">
      <c r="A5352" s="8">
        <v>40627</v>
      </c>
      <c r="B5352">
        <v>351541.62</v>
      </c>
      <c r="C5352">
        <v>0</v>
      </c>
      <c r="D5352">
        <v>54.4</v>
      </c>
      <c r="E5352">
        <v>3.9089999999999998</v>
      </c>
      <c r="F5352">
        <v>128.61606449999999</v>
      </c>
      <c r="G5352">
        <v>14.021000000000001</v>
      </c>
      <c r="N5352" s="8"/>
    </row>
    <row r="5353" spans="1:14" x14ac:dyDescent="0.25">
      <c r="A5353" s="8">
        <v>40634</v>
      </c>
      <c r="B5353">
        <v>382098.13</v>
      </c>
      <c r="C5353">
        <v>0</v>
      </c>
      <c r="D5353">
        <v>63.63</v>
      </c>
      <c r="E5353">
        <v>3.7719999999999998</v>
      </c>
      <c r="F5353">
        <v>128.71993549999999</v>
      </c>
      <c r="G5353">
        <v>13.736000000000001</v>
      </c>
      <c r="N5353" s="8"/>
    </row>
    <row r="5354" spans="1:14" x14ac:dyDescent="0.25">
      <c r="A5354" s="8">
        <v>40641</v>
      </c>
      <c r="B5354">
        <v>392152.3</v>
      </c>
      <c r="C5354">
        <v>0</v>
      </c>
      <c r="D5354">
        <v>64.47</v>
      </c>
      <c r="E5354">
        <v>4.0030000000000001</v>
      </c>
      <c r="F5354">
        <v>128.82380649999999</v>
      </c>
      <c r="G5354">
        <v>13.736000000000001</v>
      </c>
      <c r="N5354" s="8"/>
    </row>
    <row r="5355" spans="1:14" x14ac:dyDescent="0.25">
      <c r="A5355" s="8">
        <v>40648</v>
      </c>
      <c r="B5355">
        <v>362758.94</v>
      </c>
      <c r="C5355">
        <v>0</v>
      </c>
      <c r="D5355">
        <v>57.63</v>
      </c>
      <c r="E5355">
        <v>3.8679999999999999</v>
      </c>
      <c r="F5355">
        <v>128.9107333</v>
      </c>
      <c r="G5355">
        <v>13.736000000000001</v>
      </c>
      <c r="N5355" s="8"/>
    </row>
    <row r="5356" spans="1:14" x14ac:dyDescent="0.25">
      <c r="A5356" s="8">
        <v>40655</v>
      </c>
      <c r="B5356">
        <v>362952.34</v>
      </c>
      <c r="C5356">
        <v>0</v>
      </c>
      <c r="D5356">
        <v>72.12</v>
      </c>
      <c r="E5356">
        <v>4.1340000000000003</v>
      </c>
      <c r="F5356">
        <v>128.95529999999999</v>
      </c>
      <c r="G5356">
        <v>13.736000000000001</v>
      </c>
      <c r="N5356" s="8"/>
    </row>
    <row r="5357" spans="1:14" x14ac:dyDescent="0.25">
      <c r="A5357" s="8">
        <v>40662</v>
      </c>
      <c r="B5357">
        <v>344225.99</v>
      </c>
      <c r="C5357">
        <v>0</v>
      </c>
      <c r="D5357">
        <v>68.27</v>
      </c>
      <c r="E5357">
        <v>4.1509999999999998</v>
      </c>
      <c r="F5357">
        <v>128.99986670000001</v>
      </c>
      <c r="G5357">
        <v>13.736000000000001</v>
      </c>
      <c r="N5357" s="8"/>
    </row>
    <row r="5358" spans="1:14" x14ac:dyDescent="0.25">
      <c r="A5358" s="8">
        <v>40669</v>
      </c>
      <c r="B5358">
        <v>422186.65</v>
      </c>
      <c r="C5358">
        <v>0</v>
      </c>
      <c r="D5358">
        <v>68.400000000000006</v>
      </c>
      <c r="E5358">
        <v>4.1929999999999996</v>
      </c>
      <c r="F5358">
        <v>129.04443330000001</v>
      </c>
      <c r="G5358">
        <v>13.736000000000001</v>
      </c>
      <c r="N5358" s="8"/>
    </row>
    <row r="5359" spans="1:14" x14ac:dyDescent="0.25">
      <c r="A5359" s="8">
        <v>40676</v>
      </c>
      <c r="B5359">
        <v>366977.79</v>
      </c>
      <c r="C5359">
        <v>0</v>
      </c>
      <c r="D5359">
        <v>70.930000000000007</v>
      </c>
      <c r="E5359">
        <v>4.202</v>
      </c>
      <c r="F5359">
        <v>129.089</v>
      </c>
      <c r="G5359">
        <v>13.736000000000001</v>
      </c>
      <c r="N5359" s="8"/>
    </row>
    <row r="5360" spans="1:14" x14ac:dyDescent="0.25">
      <c r="A5360" s="8">
        <v>40683</v>
      </c>
      <c r="B5360">
        <v>365730.76</v>
      </c>
      <c r="C5360">
        <v>0</v>
      </c>
      <c r="D5360">
        <v>66.59</v>
      </c>
      <c r="E5360">
        <v>4.1689999999999996</v>
      </c>
      <c r="F5360">
        <v>129.07567739999999</v>
      </c>
      <c r="G5360">
        <v>13.736000000000001</v>
      </c>
      <c r="N5360" s="8"/>
    </row>
    <row r="5361" spans="1:14" x14ac:dyDescent="0.25">
      <c r="A5361" s="8">
        <v>40690</v>
      </c>
      <c r="B5361">
        <v>356886.1</v>
      </c>
      <c r="C5361">
        <v>0</v>
      </c>
      <c r="D5361">
        <v>76.67</v>
      </c>
      <c r="E5361">
        <v>4.0869999999999997</v>
      </c>
      <c r="F5361">
        <v>129.06235480000001</v>
      </c>
      <c r="G5361">
        <v>13.736000000000001</v>
      </c>
      <c r="N5361" s="8"/>
    </row>
    <row r="5362" spans="1:14" x14ac:dyDescent="0.25">
      <c r="A5362" s="8">
        <v>40697</v>
      </c>
      <c r="B5362">
        <v>396826.06</v>
      </c>
      <c r="C5362">
        <v>0</v>
      </c>
      <c r="D5362">
        <v>71.81</v>
      </c>
      <c r="E5362">
        <v>4.0309999999999997</v>
      </c>
      <c r="F5362">
        <v>129.04903229999999</v>
      </c>
      <c r="G5362">
        <v>13.736000000000001</v>
      </c>
      <c r="N5362" s="8"/>
    </row>
    <row r="5363" spans="1:14" x14ac:dyDescent="0.25">
      <c r="A5363" s="8">
        <v>40704</v>
      </c>
      <c r="B5363">
        <v>381763.02</v>
      </c>
      <c r="C5363">
        <v>0</v>
      </c>
      <c r="D5363">
        <v>78.72</v>
      </c>
      <c r="E5363">
        <v>3.9809999999999999</v>
      </c>
      <c r="F5363">
        <v>129.03570970000001</v>
      </c>
      <c r="G5363">
        <v>13.736000000000001</v>
      </c>
      <c r="N5363" s="8"/>
    </row>
    <row r="5364" spans="1:14" x14ac:dyDescent="0.25">
      <c r="A5364" s="8">
        <v>40711</v>
      </c>
      <c r="B5364">
        <v>356797</v>
      </c>
      <c r="C5364">
        <v>0</v>
      </c>
      <c r="D5364">
        <v>86.84</v>
      </c>
      <c r="E5364">
        <v>3.9350000000000001</v>
      </c>
      <c r="F5364">
        <v>129.04320000000001</v>
      </c>
      <c r="G5364">
        <v>13.736000000000001</v>
      </c>
      <c r="N5364" s="8"/>
    </row>
    <row r="5365" spans="1:14" x14ac:dyDescent="0.25">
      <c r="A5365" s="8">
        <v>40718</v>
      </c>
      <c r="B5365">
        <v>354078.95</v>
      </c>
      <c r="C5365">
        <v>0</v>
      </c>
      <c r="D5365">
        <v>88.95</v>
      </c>
      <c r="E5365">
        <v>3.8980000000000001</v>
      </c>
      <c r="F5365">
        <v>129.06630000000001</v>
      </c>
      <c r="G5365">
        <v>13.736000000000001</v>
      </c>
      <c r="N5365" s="8"/>
    </row>
    <row r="5366" spans="1:14" x14ac:dyDescent="0.25">
      <c r="A5366" s="8">
        <v>40725</v>
      </c>
      <c r="B5366">
        <v>387334.04</v>
      </c>
      <c r="C5366">
        <v>0</v>
      </c>
      <c r="D5366">
        <v>89.85</v>
      </c>
      <c r="E5366">
        <v>3.8420000000000001</v>
      </c>
      <c r="F5366">
        <v>129.08940000000001</v>
      </c>
      <c r="G5366">
        <v>13.503</v>
      </c>
      <c r="N5366" s="8"/>
    </row>
    <row r="5367" spans="1:14" x14ac:dyDescent="0.25">
      <c r="A5367" s="8">
        <v>40732</v>
      </c>
      <c r="B5367">
        <v>399699.17</v>
      </c>
      <c r="C5367">
        <v>0</v>
      </c>
      <c r="D5367">
        <v>89.9</v>
      </c>
      <c r="E5367">
        <v>3.7050000000000001</v>
      </c>
      <c r="F5367">
        <v>129.11250000000001</v>
      </c>
      <c r="G5367">
        <v>13.503</v>
      </c>
      <c r="N5367" s="8"/>
    </row>
    <row r="5368" spans="1:14" x14ac:dyDescent="0.25">
      <c r="A5368" s="8">
        <v>40739</v>
      </c>
      <c r="B5368">
        <v>367181.71</v>
      </c>
      <c r="C5368">
        <v>0</v>
      </c>
      <c r="D5368">
        <v>88.1</v>
      </c>
      <c r="E5368">
        <v>3.6920000000000002</v>
      </c>
      <c r="F5368">
        <v>129.13383870000001</v>
      </c>
      <c r="G5368">
        <v>13.503</v>
      </c>
      <c r="N5368" s="8"/>
    </row>
    <row r="5369" spans="1:14" x14ac:dyDescent="0.25">
      <c r="A5369" s="8">
        <v>40746</v>
      </c>
      <c r="B5369">
        <v>365562.67</v>
      </c>
      <c r="C5369">
        <v>0</v>
      </c>
      <c r="D5369">
        <v>91.17</v>
      </c>
      <c r="E5369">
        <v>3.794</v>
      </c>
      <c r="F5369">
        <v>129.1507742</v>
      </c>
      <c r="G5369">
        <v>13.503</v>
      </c>
      <c r="N5369" s="8"/>
    </row>
    <row r="5370" spans="1:14" x14ac:dyDescent="0.25">
      <c r="A5370" s="8">
        <v>40753</v>
      </c>
      <c r="B5370">
        <v>355131.33</v>
      </c>
      <c r="C5370">
        <v>0</v>
      </c>
      <c r="D5370">
        <v>93.29</v>
      </c>
      <c r="E5370">
        <v>3.8050000000000002</v>
      </c>
      <c r="F5370">
        <v>129.16770969999999</v>
      </c>
      <c r="G5370">
        <v>13.503</v>
      </c>
      <c r="N5370" s="8"/>
    </row>
    <row r="5371" spans="1:14" x14ac:dyDescent="0.25">
      <c r="A5371" s="8">
        <v>40760</v>
      </c>
      <c r="B5371">
        <v>437631.44</v>
      </c>
      <c r="C5371">
        <v>0</v>
      </c>
      <c r="D5371">
        <v>90.61</v>
      </c>
      <c r="E5371">
        <v>3.8029999999999999</v>
      </c>
      <c r="F5371">
        <v>129.18464520000001</v>
      </c>
      <c r="G5371">
        <v>13.503</v>
      </c>
      <c r="N5371" s="8"/>
    </row>
    <row r="5372" spans="1:14" x14ac:dyDescent="0.25">
      <c r="A5372" s="8">
        <v>40767</v>
      </c>
      <c r="B5372">
        <v>387844.05</v>
      </c>
      <c r="C5372">
        <v>0</v>
      </c>
      <c r="D5372">
        <v>91.04</v>
      </c>
      <c r="E5372">
        <v>3.7010000000000001</v>
      </c>
      <c r="F5372">
        <v>129.2015806</v>
      </c>
      <c r="G5372">
        <v>13.503</v>
      </c>
      <c r="N5372" s="8"/>
    </row>
    <row r="5373" spans="1:14" x14ac:dyDescent="0.25">
      <c r="A5373" s="8">
        <v>40774</v>
      </c>
      <c r="B5373">
        <v>362224.7</v>
      </c>
      <c r="C5373">
        <v>0</v>
      </c>
      <c r="D5373">
        <v>91.74</v>
      </c>
      <c r="E5373">
        <v>3.7429999999999999</v>
      </c>
      <c r="F5373">
        <v>129.24058059999999</v>
      </c>
      <c r="G5373">
        <v>13.503</v>
      </c>
      <c r="N5373" s="8"/>
    </row>
    <row r="5374" spans="1:14" x14ac:dyDescent="0.25">
      <c r="A5374" s="8">
        <v>40781</v>
      </c>
      <c r="B5374">
        <v>365672.55</v>
      </c>
      <c r="C5374">
        <v>0</v>
      </c>
      <c r="D5374">
        <v>94.61</v>
      </c>
      <c r="E5374">
        <v>3.74</v>
      </c>
      <c r="F5374">
        <v>129.28325810000001</v>
      </c>
      <c r="G5374">
        <v>13.503</v>
      </c>
      <c r="N5374" s="8"/>
    </row>
    <row r="5375" spans="1:14" x14ac:dyDescent="0.25">
      <c r="A5375" s="8">
        <v>40788</v>
      </c>
      <c r="B5375">
        <v>416953.51</v>
      </c>
      <c r="C5375">
        <v>0</v>
      </c>
      <c r="D5375">
        <v>93.66</v>
      </c>
      <c r="E5375">
        <v>3.798</v>
      </c>
      <c r="F5375">
        <v>129.32593550000001</v>
      </c>
      <c r="G5375">
        <v>13.503</v>
      </c>
      <c r="N5375" s="8"/>
    </row>
    <row r="5376" spans="1:14" x14ac:dyDescent="0.25">
      <c r="A5376" s="8">
        <v>40795</v>
      </c>
      <c r="B5376">
        <v>397771.68</v>
      </c>
      <c r="C5376">
        <v>1</v>
      </c>
      <c r="D5376">
        <v>88</v>
      </c>
      <c r="E5376">
        <v>3.9129999999999998</v>
      </c>
      <c r="F5376">
        <v>129.36861289999999</v>
      </c>
      <c r="G5376">
        <v>13.503</v>
      </c>
      <c r="N5376" s="8"/>
    </row>
    <row r="5377" spans="1:14" x14ac:dyDescent="0.25">
      <c r="A5377" s="8">
        <v>40802</v>
      </c>
      <c r="B5377">
        <v>408188.88</v>
      </c>
      <c r="C5377">
        <v>0</v>
      </c>
      <c r="D5377">
        <v>76.36</v>
      </c>
      <c r="E5377">
        <v>3.9180000000000001</v>
      </c>
      <c r="F5377">
        <v>129.4306</v>
      </c>
      <c r="G5377">
        <v>13.503</v>
      </c>
      <c r="N5377" s="8"/>
    </row>
    <row r="5378" spans="1:14" x14ac:dyDescent="0.25">
      <c r="A5378" s="8">
        <v>40809</v>
      </c>
      <c r="B5378">
        <v>394665.28</v>
      </c>
      <c r="C5378">
        <v>0</v>
      </c>
      <c r="D5378">
        <v>82.95</v>
      </c>
      <c r="E5378">
        <v>3.7890000000000001</v>
      </c>
      <c r="F5378">
        <v>129.51833329999999</v>
      </c>
      <c r="G5378">
        <v>13.503</v>
      </c>
      <c r="N5378" s="8"/>
    </row>
    <row r="5379" spans="1:14" x14ac:dyDescent="0.25">
      <c r="A5379" s="8">
        <v>40816</v>
      </c>
      <c r="B5379">
        <v>366819.84000000003</v>
      </c>
      <c r="C5379">
        <v>0</v>
      </c>
      <c r="D5379">
        <v>83.26</v>
      </c>
      <c r="E5379">
        <v>3.8769999999999998</v>
      </c>
      <c r="F5379">
        <v>129.60606670000001</v>
      </c>
      <c r="G5379">
        <v>13.503</v>
      </c>
      <c r="N5379" s="8"/>
    </row>
    <row r="5380" spans="1:14" x14ac:dyDescent="0.25">
      <c r="A5380" s="8">
        <v>40823</v>
      </c>
      <c r="B5380">
        <v>449516.29</v>
      </c>
      <c r="C5380">
        <v>0</v>
      </c>
      <c r="D5380">
        <v>70.44</v>
      </c>
      <c r="E5380">
        <v>3.827</v>
      </c>
      <c r="F5380">
        <v>129.69380000000001</v>
      </c>
      <c r="G5380">
        <v>12.89</v>
      </c>
      <c r="N5380" s="8"/>
    </row>
    <row r="5381" spans="1:14" x14ac:dyDescent="0.25">
      <c r="A5381" s="8">
        <v>40830</v>
      </c>
      <c r="B5381">
        <v>400430.78</v>
      </c>
      <c r="C5381">
        <v>0</v>
      </c>
      <c r="D5381">
        <v>67.31</v>
      </c>
      <c r="E5381">
        <v>3.8050000000000002</v>
      </c>
      <c r="F5381">
        <v>129.77064519999999</v>
      </c>
      <c r="G5381">
        <v>12.89</v>
      </c>
      <c r="N5381" s="8"/>
    </row>
    <row r="5382" spans="1:14" x14ac:dyDescent="0.25">
      <c r="A5382" s="8">
        <v>40837</v>
      </c>
      <c r="B5382">
        <v>402709.17</v>
      </c>
      <c r="C5382">
        <v>0</v>
      </c>
      <c r="D5382">
        <v>73.05</v>
      </c>
      <c r="E5382">
        <v>3.8420000000000001</v>
      </c>
      <c r="F5382">
        <v>129.78216130000001</v>
      </c>
      <c r="G5382">
        <v>12.89</v>
      </c>
      <c r="N5382" s="8"/>
    </row>
    <row r="5383" spans="1:14" x14ac:dyDescent="0.25">
      <c r="A5383" s="8">
        <v>40844</v>
      </c>
      <c r="B5383">
        <v>378539.17</v>
      </c>
      <c r="C5383">
        <v>0</v>
      </c>
      <c r="D5383">
        <v>67.41</v>
      </c>
      <c r="E5383">
        <v>3.7269999999999999</v>
      </c>
      <c r="F5383">
        <v>129.79367740000001</v>
      </c>
      <c r="G5383">
        <v>12.89</v>
      </c>
      <c r="N5383" s="8"/>
    </row>
    <row r="5384" spans="1:14" x14ac:dyDescent="0.25">
      <c r="A5384" s="8">
        <v>40851</v>
      </c>
      <c r="B5384">
        <v>436970.1</v>
      </c>
      <c r="C5384">
        <v>0</v>
      </c>
      <c r="D5384">
        <v>59.77</v>
      </c>
      <c r="E5384">
        <v>3.8279999999999998</v>
      </c>
      <c r="F5384">
        <v>129.8051935</v>
      </c>
      <c r="G5384">
        <v>12.89</v>
      </c>
      <c r="N5384" s="8"/>
    </row>
    <row r="5385" spans="1:14" x14ac:dyDescent="0.25">
      <c r="A5385" s="8">
        <v>40858</v>
      </c>
      <c r="B5385">
        <v>411116.95</v>
      </c>
      <c r="C5385">
        <v>0</v>
      </c>
      <c r="D5385">
        <v>48.76</v>
      </c>
      <c r="E5385">
        <v>3.8239999999999998</v>
      </c>
      <c r="F5385">
        <v>129.81670969999999</v>
      </c>
      <c r="G5385">
        <v>12.89</v>
      </c>
      <c r="N5385" s="8"/>
    </row>
    <row r="5386" spans="1:14" x14ac:dyDescent="0.25">
      <c r="A5386" s="8">
        <v>40865</v>
      </c>
      <c r="B5386">
        <v>392003.13</v>
      </c>
      <c r="C5386">
        <v>0</v>
      </c>
      <c r="D5386">
        <v>54.2</v>
      </c>
      <c r="E5386">
        <v>3.8130000000000002</v>
      </c>
      <c r="F5386">
        <v>129.8268333</v>
      </c>
      <c r="G5386">
        <v>12.89</v>
      </c>
      <c r="N5386" s="8"/>
    </row>
    <row r="5387" spans="1:14" x14ac:dyDescent="0.25">
      <c r="A5387" s="8">
        <v>40872</v>
      </c>
      <c r="B5387">
        <v>393715.71</v>
      </c>
      <c r="C5387">
        <v>1</v>
      </c>
      <c r="D5387">
        <v>53.25</v>
      </c>
      <c r="E5387">
        <v>3.6219999999999999</v>
      </c>
      <c r="F5387">
        <v>129.8364</v>
      </c>
      <c r="G5387">
        <v>12.89</v>
      </c>
      <c r="N5387" s="8"/>
    </row>
    <row r="5388" spans="1:14" x14ac:dyDescent="0.25">
      <c r="A5388" s="8">
        <v>40879</v>
      </c>
      <c r="B5388">
        <v>411252.02</v>
      </c>
      <c r="C5388">
        <v>0</v>
      </c>
      <c r="D5388">
        <v>52.5</v>
      </c>
      <c r="E5388">
        <v>3.7010000000000001</v>
      </c>
      <c r="F5388">
        <v>129.84596669999999</v>
      </c>
      <c r="G5388">
        <v>12.89</v>
      </c>
      <c r="N5388" s="8"/>
    </row>
    <row r="5389" spans="1:14" x14ac:dyDescent="0.25">
      <c r="A5389" s="8">
        <v>40886</v>
      </c>
      <c r="B5389">
        <v>435401.64</v>
      </c>
      <c r="C5389">
        <v>0</v>
      </c>
      <c r="D5389">
        <v>42.17</v>
      </c>
      <c r="E5389">
        <v>3.6440000000000001</v>
      </c>
      <c r="F5389">
        <v>129.85553329999999</v>
      </c>
      <c r="G5389">
        <v>12.89</v>
      </c>
      <c r="N5389" s="8"/>
    </row>
    <row r="5390" spans="1:14" x14ac:dyDescent="0.25">
      <c r="A5390" s="8">
        <v>40893</v>
      </c>
      <c r="B5390">
        <v>404283.84</v>
      </c>
      <c r="C5390">
        <v>0</v>
      </c>
      <c r="D5390">
        <v>43.29</v>
      </c>
      <c r="E5390">
        <v>3.6</v>
      </c>
      <c r="F5390">
        <v>129.8980645</v>
      </c>
      <c r="G5390">
        <v>12.89</v>
      </c>
      <c r="N5390" s="8"/>
    </row>
    <row r="5391" spans="1:14" x14ac:dyDescent="0.25">
      <c r="A5391" s="8">
        <v>40900</v>
      </c>
      <c r="B5391">
        <v>419717.41</v>
      </c>
      <c r="C5391">
        <v>0</v>
      </c>
      <c r="D5391">
        <v>45.4</v>
      </c>
      <c r="E5391">
        <v>3.5409999999999999</v>
      </c>
      <c r="F5391">
        <v>129.98454839999999</v>
      </c>
      <c r="G5391">
        <v>12.89</v>
      </c>
      <c r="N5391" s="8"/>
    </row>
    <row r="5392" spans="1:14" x14ac:dyDescent="0.25">
      <c r="A5392" s="8">
        <v>40907</v>
      </c>
      <c r="B5392">
        <v>342667.35</v>
      </c>
      <c r="C5392">
        <v>1</v>
      </c>
      <c r="D5392">
        <v>44.64</v>
      </c>
      <c r="E5392">
        <v>3.4279999999999999</v>
      </c>
      <c r="F5392">
        <v>130.07103230000001</v>
      </c>
      <c r="G5392">
        <v>12.89</v>
      </c>
      <c r="N5392" s="8"/>
    </row>
    <row r="5393" spans="1:14" x14ac:dyDescent="0.25">
      <c r="A5393" s="8">
        <v>40914</v>
      </c>
      <c r="B5393">
        <v>478483.20000000001</v>
      </c>
      <c r="C5393">
        <v>0</v>
      </c>
      <c r="D5393">
        <v>50.43</v>
      </c>
      <c r="E5393">
        <v>3.5990000000000002</v>
      </c>
      <c r="F5393">
        <v>130.15751610000001</v>
      </c>
      <c r="G5393">
        <v>12.186999999999999</v>
      </c>
      <c r="N5393" s="8"/>
    </row>
    <row r="5394" spans="1:14" x14ac:dyDescent="0.25">
      <c r="A5394" s="8">
        <v>40921</v>
      </c>
      <c r="B5394">
        <v>423260.82</v>
      </c>
      <c r="C5394">
        <v>0</v>
      </c>
      <c r="D5394">
        <v>48.07</v>
      </c>
      <c r="E5394">
        <v>3.657</v>
      </c>
      <c r="F5394">
        <v>130.244</v>
      </c>
      <c r="G5394">
        <v>12.186999999999999</v>
      </c>
      <c r="N5394" s="8"/>
    </row>
    <row r="5395" spans="1:14" x14ac:dyDescent="0.25">
      <c r="A5395" s="8">
        <v>40928</v>
      </c>
      <c r="B5395">
        <v>405215.91</v>
      </c>
      <c r="C5395">
        <v>0</v>
      </c>
      <c r="D5395">
        <v>46.2</v>
      </c>
      <c r="E5395">
        <v>3.66</v>
      </c>
      <c r="F5395">
        <v>130.27922580000001</v>
      </c>
      <c r="G5395">
        <v>12.186999999999999</v>
      </c>
      <c r="N5395" s="8"/>
    </row>
    <row r="5396" spans="1:14" x14ac:dyDescent="0.25">
      <c r="A5396" s="8">
        <v>40935</v>
      </c>
      <c r="B5396">
        <v>412882.31</v>
      </c>
      <c r="C5396">
        <v>0</v>
      </c>
      <c r="D5396">
        <v>50.43</v>
      </c>
      <c r="E5396">
        <v>3.6749999999999998</v>
      </c>
      <c r="F5396">
        <v>130.31445160000001</v>
      </c>
      <c r="G5396">
        <v>12.186999999999999</v>
      </c>
      <c r="N5396" s="8"/>
    </row>
    <row r="5397" spans="1:14" x14ac:dyDescent="0.25">
      <c r="A5397" s="8">
        <v>40942</v>
      </c>
      <c r="B5397">
        <v>457711.68</v>
      </c>
      <c r="C5397">
        <v>0</v>
      </c>
      <c r="D5397">
        <v>50.58</v>
      </c>
      <c r="E5397">
        <v>3.702</v>
      </c>
      <c r="F5397">
        <v>130.34967739999999</v>
      </c>
      <c r="G5397">
        <v>12.186999999999999</v>
      </c>
      <c r="N5397" s="8"/>
    </row>
    <row r="5398" spans="1:14" x14ac:dyDescent="0.25">
      <c r="A5398" s="8">
        <v>40949</v>
      </c>
      <c r="B5398">
        <v>469787.38</v>
      </c>
      <c r="C5398">
        <v>1</v>
      </c>
      <c r="D5398">
        <v>52.27</v>
      </c>
      <c r="E5398">
        <v>3.722</v>
      </c>
      <c r="F5398">
        <v>130.3849032</v>
      </c>
      <c r="G5398">
        <v>12.186999999999999</v>
      </c>
      <c r="N5398" s="8"/>
    </row>
    <row r="5399" spans="1:14" x14ac:dyDescent="0.25">
      <c r="A5399" s="8">
        <v>40956</v>
      </c>
      <c r="B5399">
        <v>415513.97</v>
      </c>
      <c r="C5399">
        <v>0</v>
      </c>
      <c r="D5399">
        <v>51.8</v>
      </c>
      <c r="E5399">
        <v>3.7810000000000001</v>
      </c>
      <c r="F5399">
        <v>130.45462069999999</v>
      </c>
      <c r="G5399">
        <v>12.186999999999999</v>
      </c>
      <c r="N5399" s="8"/>
    </row>
    <row r="5400" spans="1:14" x14ac:dyDescent="0.25">
      <c r="A5400" s="8">
        <v>40963</v>
      </c>
      <c r="B5400">
        <v>409411.61</v>
      </c>
      <c r="C5400">
        <v>0</v>
      </c>
      <c r="D5400">
        <v>53.13</v>
      </c>
      <c r="E5400">
        <v>3.95</v>
      </c>
      <c r="F5400">
        <v>130.55020690000001</v>
      </c>
      <c r="G5400">
        <v>12.186999999999999</v>
      </c>
      <c r="N5400" s="8"/>
    </row>
    <row r="5401" spans="1:14" x14ac:dyDescent="0.25">
      <c r="A5401" s="8">
        <v>40970</v>
      </c>
      <c r="B5401">
        <v>471115.38</v>
      </c>
      <c r="C5401">
        <v>0</v>
      </c>
      <c r="D5401">
        <v>52.27</v>
      </c>
      <c r="E5401">
        <v>4.1779999999999999</v>
      </c>
      <c r="F5401">
        <v>130.64579309999999</v>
      </c>
      <c r="G5401">
        <v>12.186999999999999</v>
      </c>
      <c r="N5401" s="8"/>
    </row>
    <row r="5402" spans="1:14" x14ac:dyDescent="0.25">
      <c r="A5402" s="8">
        <v>40977</v>
      </c>
      <c r="B5402">
        <v>452792.53</v>
      </c>
      <c r="C5402">
        <v>0</v>
      </c>
      <c r="D5402">
        <v>54.54</v>
      </c>
      <c r="E5402">
        <v>4.25</v>
      </c>
      <c r="F5402">
        <v>130.74137930000001</v>
      </c>
      <c r="G5402">
        <v>12.186999999999999</v>
      </c>
      <c r="N5402" s="8"/>
    </row>
    <row r="5403" spans="1:14" x14ac:dyDescent="0.25">
      <c r="A5403" s="8">
        <v>40984</v>
      </c>
      <c r="B5403">
        <v>428465.11</v>
      </c>
      <c r="C5403">
        <v>0</v>
      </c>
      <c r="D5403">
        <v>64.44</v>
      </c>
      <c r="E5403">
        <v>4.2729999999999997</v>
      </c>
      <c r="F5403">
        <v>130.82619349999999</v>
      </c>
      <c r="G5403">
        <v>12.186999999999999</v>
      </c>
      <c r="N5403" s="8"/>
    </row>
    <row r="5404" spans="1:14" x14ac:dyDescent="0.25">
      <c r="A5404" s="8">
        <v>40991</v>
      </c>
      <c r="B5404">
        <v>412456.48</v>
      </c>
      <c r="C5404">
        <v>0</v>
      </c>
      <c r="D5404">
        <v>56.26</v>
      </c>
      <c r="E5404">
        <v>4.0380000000000003</v>
      </c>
      <c r="F5404">
        <v>130.89664519999999</v>
      </c>
      <c r="G5404">
        <v>12.186999999999999</v>
      </c>
      <c r="N5404" s="8"/>
    </row>
    <row r="5405" spans="1:14" x14ac:dyDescent="0.25">
      <c r="A5405" s="8">
        <v>40998</v>
      </c>
      <c r="B5405">
        <v>408679.36</v>
      </c>
      <c r="C5405">
        <v>0</v>
      </c>
      <c r="D5405">
        <v>64.36</v>
      </c>
      <c r="E5405">
        <v>4.2939999999999996</v>
      </c>
      <c r="F5405">
        <v>130.96709680000001</v>
      </c>
      <c r="G5405">
        <v>12.186999999999999</v>
      </c>
      <c r="N5405" s="8"/>
    </row>
    <row r="5406" spans="1:14" x14ac:dyDescent="0.25">
      <c r="A5406" s="8">
        <v>41005</v>
      </c>
      <c r="B5406">
        <v>499267.66</v>
      </c>
      <c r="C5406">
        <v>0</v>
      </c>
      <c r="D5406">
        <v>64.05</v>
      </c>
      <c r="E5406">
        <v>4.1210000000000004</v>
      </c>
      <c r="F5406">
        <v>131.03754839999999</v>
      </c>
      <c r="G5406">
        <v>11.627000000000001</v>
      </c>
      <c r="N5406" s="8"/>
    </row>
    <row r="5407" spans="1:14" x14ac:dyDescent="0.25">
      <c r="A5407" s="8">
        <v>41012</v>
      </c>
      <c r="B5407">
        <v>435790.74</v>
      </c>
      <c r="C5407">
        <v>0</v>
      </c>
      <c r="D5407">
        <v>64.28</v>
      </c>
      <c r="E5407">
        <v>4.2539999999999996</v>
      </c>
      <c r="F5407">
        <v>131.108</v>
      </c>
      <c r="G5407">
        <v>11.627000000000001</v>
      </c>
      <c r="N5407" s="8"/>
    </row>
    <row r="5408" spans="1:14" x14ac:dyDescent="0.25">
      <c r="A5408" s="8">
        <v>41019</v>
      </c>
      <c r="B5408">
        <v>401615.8</v>
      </c>
      <c r="C5408">
        <v>0</v>
      </c>
      <c r="D5408">
        <v>66.73</v>
      </c>
      <c r="E5408">
        <v>4.2220000000000004</v>
      </c>
      <c r="F5408">
        <v>131.11733330000001</v>
      </c>
      <c r="G5408">
        <v>11.627000000000001</v>
      </c>
      <c r="N5408" s="8"/>
    </row>
    <row r="5409" spans="1:14" x14ac:dyDescent="0.25">
      <c r="A5409" s="8">
        <v>41026</v>
      </c>
      <c r="B5409">
        <v>419964.77</v>
      </c>
      <c r="C5409">
        <v>0</v>
      </c>
      <c r="D5409">
        <v>77.989999999999995</v>
      </c>
      <c r="E5409">
        <v>4.1929999999999996</v>
      </c>
      <c r="F5409">
        <v>131.12666669999999</v>
      </c>
      <c r="G5409">
        <v>11.627000000000001</v>
      </c>
      <c r="N5409" s="8"/>
    </row>
    <row r="5410" spans="1:14" x14ac:dyDescent="0.25">
      <c r="A5410" s="8">
        <v>41033</v>
      </c>
      <c r="B5410">
        <v>491755.69</v>
      </c>
      <c r="C5410">
        <v>0</v>
      </c>
      <c r="D5410">
        <v>76.03</v>
      </c>
      <c r="E5410">
        <v>4.1710000000000003</v>
      </c>
      <c r="F5410">
        <v>131.136</v>
      </c>
      <c r="G5410">
        <v>11.627000000000001</v>
      </c>
      <c r="N5410" s="8"/>
    </row>
    <row r="5411" spans="1:14" x14ac:dyDescent="0.25">
      <c r="A5411" s="8">
        <v>41040</v>
      </c>
      <c r="B5411">
        <v>429914.6</v>
      </c>
      <c r="C5411">
        <v>0</v>
      </c>
      <c r="D5411">
        <v>77.27</v>
      </c>
      <c r="E5411">
        <v>4.1859999999999999</v>
      </c>
      <c r="F5411">
        <v>131.1453333</v>
      </c>
      <c r="G5411">
        <v>11.627000000000001</v>
      </c>
      <c r="N5411" s="8"/>
    </row>
    <row r="5412" spans="1:14" x14ac:dyDescent="0.25">
      <c r="A5412" s="8">
        <v>41047</v>
      </c>
      <c r="B5412">
        <v>412314.71</v>
      </c>
      <c r="C5412">
        <v>0</v>
      </c>
      <c r="D5412">
        <v>84.51</v>
      </c>
      <c r="E5412">
        <v>4.1100000000000003</v>
      </c>
      <c r="F5412">
        <v>131.09832259999999</v>
      </c>
      <c r="G5412">
        <v>11.627000000000001</v>
      </c>
      <c r="N5412" s="8"/>
    </row>
    <row r="5413" spans="1:14" x14ac:dyDescent="0.25">
      <c r="A5413" s="8">
        <v>41054</v>
      </c>
      <c r="B5413">
        <v>422810.12</v>
      </c>
      <c r="C5413">
        <v>0</v>
      </c>
      <c r="D5413">
        <v>83.84</v>
      </c>
      <c r="E5413">
        <v>4.2930000000000001</v>
      </c>
      <c r="F5413">
        <v>131.02877419999999</v>
      </c>
      <c r="G5413">
        <v>11.627000000000001</v>
      </c>
      <c r="N5413" s="8"/>
    </row>
    <row r="5414" spans="1:14" x14ac:dyDescent="0.25">
      <c r="A5414" s="8">
        <v>41061</v>
      </c>
      <c r="B5414">
        <v>435579.7</v>
      </c>
      <c r="C5414">
        <v>0</v>
      </c>
      <c r="D5414">
        <v>78.11</v>
      </c>
      <c r="E5414">
        <v>4.2770000000000001</v>
      </c>
      <c r="F5414">
        <v>130.95922580000001</v>
      </c>
      <c r="G5414">
        <v>11.627000000000001</v>
      </c>
      <c r="N5414" s="8"/>
    </row>
    <row r="5415" spans="1:14" x14ac:dyDescent="0.25">
      <c r="A5415" s="8">
        <v>41068</v>
      </c>
      <c r="B5415">
        <v>448110.25</v>
      </c>
      <c r="C5415">
        <v>0</v>
      </c>
      <c r="D5415">
        <v>84.83</v>
      </c>
      <c r="E5415">
        <v>4.1029999999999998</v>
      </c>
      <c r="F5415">
        <v>130.88967740000001</v>
      </c>
      <c r="G5415">
        <v>11.627000000000001</v>
      </c>
      <c r="N5415" s="8"/>
    </row>
    <row r="5416" spans="1:14" x14ac:dyDescent="0.25">
      <c r="A5416" s="8">
        <v>41075</v>
      </c>
      <c r="B5416">
        <v>430222.07</v>
      </c>
      <c r="C5416">
        <v>0</v>
      </c>
      <c r="D5416">
        <v>85.94</v>
      </c>
      <c r="E5416">
        <v>4.1440000000000001</v>
      </c>
      <c r="F5416">
        <v>130.82953330000001</v>
      </c>
      <c r="G5416">
        <v>11.627000000000001</v>
      </c>
      <c r="N5416" s="8"/>
    </row>
    <row r="5417" spans="1:14" x14ac:dyDescent="0.25">
      <c r="A5417" s="8">
        <v>41082</v>
      </c>
      <c r="B5417">
        <v>405938.35</v>
      </c>
      <c r="C5417">
        <v>0</v>
      </c>
      <c r="D5417">
        <v>91.61</v>
      </c>
      <c r="E5417">
        <v>4.0140000000000002</v>
      </c>
      <c r="F5417">
        <v>130.7929</v>
      </c>
      <c r="G5417">
        <v>11.627000000000001</v>
      </c>
      <c r="N5417" s="8"/>
    </row>
    <row r="5418" spans="1:14" x14ac:dyDescent="0.25">
      <c r="A5418" s="8">
        <v>41089</v>
      </c>
      <c r="B5418">
        <v>404634.36</v>
      </c>
      <c r="C5418">
        <v>0</v>
      </c>
      <c r="D5418">
        <v>90.47</v>
      </c>
      <c r="E5418">
        <v>3.875</v>
      </c>
      <c r="F5418">
        <v>130.7562667</v>
      </c>
      <c r="G5418">
        <v>11.627000000000001</v>
      </c>
      <c r="N5418" s="8"/>
    </row>
    <row r="5419" spans="1:14" x14ac:dyDescent="0.25">
      <c r="A5419" s="8">
        <v>41096</v>
      </c>
      <c r="B5419">
        <v>471086.22</v>
      </c>
      <c r="C5419">
        <v>0</v>
      </c>
      <c r="D5419">
        <v>89.13</v>
      </c>
      <c r="E5419">
        <v>3.7650000000000001</v>
      </c>
      <c r="F5419">
        <v>130.7196333</v>
      </c>
      <c r="G5419">
        <v>10.926</v>
      </c>
      <c r="N5419" s="8"/>
    </row>
    <row r="5420" spans="1:14" x14ac:dyDescent="0.25">
      <c r="A5420" s="8">
        <v>41103</v>
      </c>
      <c r="B5420">
        <v>416036.75</v>
      </c>
      <c r="C5420">
        <v>0</v>
      </c>
      <c r="D5420">
        <v>95.61</v>
      </c>
      <c r="E5420">
        <v>3.7229999999999999</v>
      </c>
      <c r="F5420">
        <v>130.68299999999999</v>
      </c>
      <c r="G5420">
        <v>10.926</v>
      </c>
      <c r="N5420" s="8"/>
    </row>
    <row r="5421" spans="1:14" x14ac:dyDescent="0.25">
      <c r="A5421" s="8">
        <v>41110</v>
      </c>
      <c r="B5421">
        <v>441683.74</v>
      </c>
      <c r="C5421">
        <v>0</v>
      </c>
      <c r="D5421">
        <v>85.53</v>
      </c>
      <c r="E5421">
        <v>3.726</v>
      </c>
      <c r="F5421">
        <v>130.70129030000001</v>
      </c>
      <c r="G5421">
        <v>10.926</v>
      </c>
      <c r="N5421" s="8"/>
    </row>
    <row r="5422" spans="1:14" x14ac:dyDescent="0.25">
      <c r="A5422" s="8">
        <v>41117</v>
      </c>
      <c r="B5422">
        <v>407186.47</v>
      </c>
      <c r="C5422">
        <v>0</v>
      </c>
      <c r="D5422">
        <v>93.47</v>
      </c>
      <c r="E5422">
        <v>3.7690000000000001</v>
      </c>
      <c r="F5422">
        <v>130.7195806</v>
      </c>
      <c r="G5422">
        <v>10.926</v>
      </c>
      <c r="N5422" s="8"/>
    </row>
    <row r="5423" spans="1:14" x14ac:dyDescent="0.25">
      <c r="A5423" s="8">
        <v>41124</v>
      </c>
      <c r="B5423">
        <v>469311.17</v>
      </c>
      <c r="C5423">
        <v>0</v>
      </c>
      <c r="D5423">
        <v>88.16</v>
      </c>
      <c r="E5423">
        <v>3.76</v>
      </c>
      <c r="F5423">
        <v>130.73787100000001</v>
      </c>
      <c r="G5423">
        <v>10.926</v>
      </c>
      <c r="N5423" s="8"/>
    </row>
    <row r="5424" spans="1:14" x14ac:dyDescent="0.25">
      <c r="A5424" s="8">
        <v>41131</v>
      </c>
      <c r="B5424">
        <v>436690.13</v>
      </c>
      <c r="C5424">
        <v>0</v>
      </c>
      <c r="D5424">
        <v>95.91</v>
      </c>
      <c r="E5424">
        <v>3.8109999999999999</v>
      </c>
      <c r="F5424">
        <v>130.7561613</v>
      </c>
      <c r="G5424">
        <v>10.926</v>
      </c>
      <c r="N5424" s="8"/>
    </row>
    <row r="5425" spans="1:14" x14ac:dyDescent="0.25">
      <c r="A5425" s="8">
        <v>41138</v>
      </c>
      <c r="B5425">
        <v>411866.46</v>
      </c>
      <c r="C5425">
        <v>0</v>
      </c>
      <c r="D5425">
        <v>94.87</v>
      </c>
      <c r="E5425">
        <v>4.0019999999999998</v>
      </c>
      <c r="F5425">
        <v>130.79096770000001</v>
      </c>
      <c r="G5425">
        <v>10.926</v>
      </c>
      <c r="N5425" s="8"/>
    </row>
    <row r="5426" spans="1:14" x14ac:dyDescent="0.25">
      <c r="A5426" s="8">
        <v>41145</v>
      </c>
      <c r="B5426">
        <v>397428.22</v>
      </c>
      <c r="C5426">
        <v>0</v>
      </c>
      <c r="D5426">
        <v>85.32</v>
      </c>
      <c r="E5426">
        <v>4.0549999999999997</v>
      </c>
      <c r="F5426">
        <v>130.8381613</v>
      </c>
      <c r="G5426">
        <v>10.926</v>
      </c>
      <c r="N5426" s="8"/>
    </row>
    <row r="5427" spans="1:14" x14ac:dyDescent="0.25">
      <c r="A5427" s="8">
        <v>41152</v>
      </c>
      <c r="B5427">
        <v>424904.95</v>
      </c>
      <c r="C5427">
        <v>0</v>
      </c>
      <c r="D5427">
        <v>89.78</v>
      </c>
      <c r="E5427">
        <v>4.093</v>
      </c>
      <c r="F5427">
        <v>130.88535479999999</v>
      </c>
      <c r="G5427">
        <v>10.926</v>
      </c>
      <c r="N5427" s="8"/>
    </row>
    <row r="5428" spans="1:14" x14ac:dyDescent="0.25">
      <c r="A5428" s="8">
        <v>41159</v>
      </c>
      <c r="B5428">
        <v>490274.82</v>
      </c>
      <c r="C5428">
        <v>1</v>
      </c>
      <c r="D5428">
        <v>88.52</v>
      </c>
      <c r="E5428">
        <v>4.1239999999999997</v>
      </c>
      <c r="F5428">
        <v>130.9325484</v>
      </c>
      <c r="G5428">
        <v>10.926</v>
      </c>
      <c r="N5428" s="8"/>
    </row>
    <row r="5429" spans="1:14" x14ac:dyDescent="0.25">
      <c r="A5429" s="8">
        <v>41166</v>
      </c>
      <c r="B5429">
        <v>430944.39</v>
      </c>
      <c r="C5429">
        <v>0</v>
      </c>
      <c r="D5429">
        <v>83.64</v>
      </c>
      <c r="E5429">
        <v>4.133</v>
      </c>
      <c r="F5429">
        <v>130.97766669999999</v>
      </c>
      <c r="G5429">
        <v>10.926</v>
      </c>
      <c r="N5429" s="8"/>
    </row>
    <row r="5430" spans="1:14" x14ac:dyDescent="0.25">
      <c r="A5430" s="8">
        <v>41173</v>
      </c>
      <c r="B5430">
        <v>409600.98</v>
      </c>
      <c r="C5430">
        <v>0</v>
      </c>
      <c r="D5430">
        <v>82.97</v>
      </c>
      <c r="E5430">
        <v>4.125</v>
      </c>
      <c r="F5430">
        <v>131.01033330000001</v>
      </c>
      <c r="G5430">
        <v>10.926</v>
      </c>
      <c r="N5430" s="8"/>
    </row>
    <row r="5431" spans="1:14" x14ac:dyDescent="0.25">
      <c r="A5431" s="8">
        <v>41180</v>
      </c>
      <c r="B5431">
        <v>398468.08</v>
      </c>
      <c r="C5431">
        <v>0</v>
      </c>
      <c r="D5431">
        <v>81.22</v>
      </c>
      <c r="E5431">
        <v>3.9660000000000002</v>
      </c>
      <c r="F5431">
        <v>131.04300000000001</v>
      </c>
      <c r="G5431">
        <v>10.926</v>
      </c>
      <c r="N5431" s="8"/>
    </row>
    <row r="5432" spans="1:14" x14ac:dyDescent="0.25">
      <c r="A5432" s="8">
        <v>41187</v>
      </c>
      <c r="B5432">
        <v>458479.01</v>
      </c>
      <c r="C5432">
        <v>0</v>
      </c>
      <c r="D5432">
        <v>81.61</v>
      </c>
      <c r="E5432">
        <v>3.9660000000000002</v>
      </c>
      <c r="F5432">
        <v>131.0756667</v>
      </c>
      <c r="G5432">
        <v>10.199</v>
      </c>
      <c r="N5432" s="8"/>
    </row>
    <row r="5433" spans="1:14" x14ac:dyDescent="0.25">
      <c r="A5433" s="8">
        <v>41194</v>
      </c>
      <c r="B5433">
        <v>437320.66</v>
      </c>
      <c r="C5433">
        <v>0</v>
      </c>
      <c r="D5433">
        <v>71.739999999999995</v>
      </c>
      <c r="E5433">
        <v>4.468</v>
      </c>
      <c r="F5433">
        <v>131.1083333</v>
      </c>
      <c r="G5433">
        <v>10.199</v>
      </c>
      <c r="N5433" s="8"/>
    </row>
    <row r="5434" spans="1:14" x14ac:dyDescent="0.25">
      <c r="A5434" s="8">
        <v>41201</v>
      </c>
      <c r="B5434">
        <v>428806.46</v>
      </c>
      <c r="C5434">
        <v>0</v>
      </c>
      <c r="D5434">
        <v>68.66</v>
      </c>
      <c r="E5434">
        <v>4.4489999999999998</v>
      </c>
      <c r="F5434">
        <v>131.14996769999999</v>
      </c>
      <c r="G5434">
        <v>10.199</v>
      </c>
      <c r="N5434" s="8"/>
    </row>
    <row r="5435" spans="1:14" x14ac:dyDescent="0.25">
      <c r="A5435" s="8">
        <v>41208</v>
      </c>
      <c r="B5435">
        <v>417290.38</v>
      </c>
      <c r="C5435">
        <v>0</v>
      </c>
      <c r="D5435">
        <v>65.95</v>
      </c>
      <c r="E5435">
        <v>4.3010000000000002</v>
      </c>
      <c r="F5435">
        <v>131.19309680000001</v>
      </c>
      <c r="G5435">
        <v>10.199</v>
      </c>
      <c r="N5435" s="8"/>
    </row>
    <row r="5436" spans="1:14" x14ac:dyDescent="0.25">
      <c r="A5436" s="8">
        <v>40214</v>
      </c>
      <c r="B5436">
        <v>1230596.8</v>
      </c>
      <c r="C5436">
        <v>0</v>
      </c>
      <c r="D5436">
        <v>44.3</v>
      </c>
      <c r="E5436">
        <v>2.5720000000000001</v>
      </c>
      <c r="F5436">
        <v>209.85296629999999</v>
      </c>
      <c r="G5436">
        <v>8.5540000000000003</v>
      </c>
      <c r="N5436" s="8"/>
    </row>
    <row r="5437" spans="1:14" x14ac:dyDescent="0.25">
      <c r="A5437" s="8">
        <v>40221</v>
      </c>
      <c r="B5437">
        <v>1266229.07</v>
      </c>
      <c r="C5437">
        <v>1</v>
      </c>
      <c r="D5437">
        <v>44.58</v>
      </c>
      <c r="E5437">
        <v>2.548</v>
      </c>
      <c r="F5437">
        <v>209.9970208</v>
      </c>
      <c r="G5437">
        <v>8.5540000000000003</v>
      </c>
      <c r="N5437" s="8"/>
    </row>
    <row r="5438" spans="1:14" x14ac:dyDescent="0.25">
      <c r="A5438" s="8">
        <v>40228</v>
      </c>
      <c r="B5438">
        <v>1230591.97</v>
      </c>
      <c r="C5438">
        <v>0</v>
      </c>
      <c r="D5438">
        <v>43.96</v>
      </c>
      <c r="E5438">
        <v>2.5139999999999998</v>
      </c>
      <c r="F5438">
        <v>210.04510239999999</v>
      </c>
      <c r="G5438">
        <v>8.5540000000000003</v>
      </c>
      <c r="N5438" s="8"/>
    </row>
    <row r="5439" spans="1:14" x14ac:dyDescent="0.25">
      <c r="A5439" s="8">
        <v>40235</v>
      </c>
      <c r="B5439">
        <v>1168582.02</v>
      </c>
      <c r="C5439">
        <v>0</v>
      </c>
      <c r="D5439">
        <v>49.79</v>
      </c>
      <c r="E5439">
        <v>2.5609999999999999</v>
      </c>
      <c r="F5439">
        <v>210.07718850000001</v>
      </c>
      <c r="G5439">
        <v>8.5540000000000003</v>
      </c>
      <c r="N5439" s="8"/>
    </row>
    <row r="5440" spans="1:14" x14ac:dyDescent="0.25">
      <c r="A5440" s="8">
        <v>40242</v>
      </c>
      <c r="B5440">
        <v>1266254.21</v>
      </c>
      <c r="C5440">
        <v>0</v>
      </c>
      <c r="D5440">
        <v>50.93</v>
      </c>
      <c r="E5440">
        <v>2.625</v>
      </c>
      <c r="F5440">
        <v>210.10927459999999</v>
      </c>
      <c r="G5440">
        <v>8.5540000000000003</v>
      </c>
      <c r="N5440" s="8"/>
    </row>
    <row r="5441" spans="1:14" x14ac:dyDescent="0.25">
      <c r="A5441" s="8">
        <v>40249</v>
      </c>
      <c r="B5441">
        <v>1244391.83</v>
      </c>
      <c r="C5441">
        <v>0</v>
      </c>
      <c r="D5441">
        <v>61.88</v>
      </c>
      <c r="E5441">
        <v>2.6669999999999998</v>
      </c>
      <c r="F5441">
        <v>210.14136070000001</v>
      </c>
      <c r="G5441">
        <v>8.5540000000000003</v>
      </c>
      <c r="N5441" s="8"/>
    </row>
    <row r="5442" spans="1:14" x14ac:dyDescent="0.25">
      <c r="A5442" s="8">
        <v>40256</v>
      </c>
      <c r="B5442">
        <v>1301590.1299999999</v>
      </c>
      <c r="C5442">
        <v>0</v>
      </c>
      <c r="D5442">
        <v>58.62</v>
      </c>
      <c r="E5442">
        <v>2.72</v>
      </c>
      <c r="F5442">
        <v>209.98032079999999</v>
      </c>
      <c r="G5442">
        <v>8.5540000000000003</v>
      </c>
      <c r="N5442" s="8"/>
    </row>
    <row r="5443" spans="1:14" x14ac:dyDescent="0.25">
      <c r="A5443" s="8">
        <v>40263</v>
      </c>
      <c r="B5443">
        <v>1235094.6599999999</v>
      </c>
      <c r="C5443">
        <v>0</v>
      </c>
      <c r="D5443">
        <v>54.83</v>
      </c>
      <c r="E5443">
        <v>2.7320000000000002</v>
      </c>
      <c r="F5443">
        <v>209.78709319999999</v>
      </c>
      <c r="G5443">
        <v>8.5540000000000003</v>
      </c>
      <c r="N5443" s="8"/>
    </row>
    <row r="5444" spans="1:14" x14ac:dyDescent="0.25">
      <c r="A5444" s="8">
        <v>40270</v>
      </c>
      <c r="B5444">
        <v>1463942.62</v>
      </c>
      <c r="C5444">
        <v>0</v>
      </c>
      <c r="D5444">
        <v>63.31</v>
      </c>
      <c r="E5444">
        <v>2.7189999999999999</v>
      </c>
      <c r="F5444">
        <v>209.59386559999999</v>
      </c>
      <c r="G5444">
        <v>8.4640000000000004</v>
      </c>
      <c r="N5444" s="8"/>
    </row>
    <row r="5445" spans="1:14" x14ac:dyDescent="0.25">
      <c r="A5445" s="8">
        <v>40277</v>
      </c>
      <c r="B5445">
        <v>1327035.27</v>
      </c>
      <c r="C5445">
        <v>0</v>
      </c>
      <c r="D5445">
        <v>68.150000000000006</v>
      </c>
      <c r="E5445">
        <v>2.77</v>
      </c>
      <c r="F5445">
        <v>209.40063799999999</v>
      </c>
      <c r="G5445">
        <v>8.4640000000000004</v>
      </c>
      <c r="N5445" s="8"/>
    </row>
    <row r="5446" spans="1:14" x14ac:dyDescent="0.25">
      <c r="A5446" s="8">
        <v>40284</v>
      </c>
      <c r="B5446">
        <v>1242874.98</v>
      </c>
      <c r="C5446">
        <v>0</v>
      </c>
      <c r="D5446">
        <v>66.33</v>
      </c>
      <c r="E5446">
        <v>2.8079999999999998</v>
      </c>
      <c r="F5446">
        <v>209.2691428</v>
      </c>
      <c r="G5446">
        <v>8.4640000000000004</v>
      </c>
      <c r="N5446" s="8"/>
    </row>
    <row r="5447" spans="1:14" x14ac:dyDescent="0.25">
      <c r="A5447" s="8">
        <v>40291</v>
      </c>
      <c r="B5447">
        <v>1280231.8500000001</v>
      </c>
      <c r="C5447">
        <v>0</v>
      </c>
      <c r="D5447">
        <v>67.64</v>
      </c>
      <c r="E5447">
        <v>2.7949999999999999</v>
      </c>
      <c r="F5447">
        <v>209.2199574</v>
      </c>
      <c r="G5447">
        <v>8.4640000000000004</v>
      </c>
      <c r="N5447" s="8"/>
    </row>
    <row r="5448" spans="1:14" x14ac:dyDescent="0.25">
      <c r="A5448" s="8">
        <v>40298</v>
      </c>
      <c r="B5448">
        <v>1263836.5900000001</v>
      </c>
      <c r="C5448">
        <v>0</v>
      </c>
      <c r="D5448">
        <v>70.03</v>
      </c>
      <c r="E5448">
        <v>2.78</v>
      </c>
      <c r="F5448">
        <v>209.170772</v>
      </c>
      <c r="G5448">
        <v>8.4640000000000004</v>
      </c>
      <c r="N5448" s="8"/>
    </row>
    <row r="5449" spans="1:14" x14ac:dyDescent="0.25">
      <c r="A5449" s="8">
        <v>40305</v>
      </c>
      <c r="B5449">
        <v>1355704.21</v>
      </c>
      <c r="C5449">
        <v>0</v>
      </c>
      <c r="D5449">
        <v>74.86</v>
      </c>
      <c r="E5449">
        <v>2.835</v>
      </c>
      <c r="F5449">
        <v>209.12158669999999</v>
      </c>
      <c r="G5449">
        <v>8.4640000000000004</v>
      </c>
      <c r="N5449" s="8"/>
    </row>
    <row r="5450" spans="1:14" x14ac:dyDescent="0.25">
      <c r="A5450" s="8">
        <v>40312</v>
      </c>
      <c r="B5450">
        <v>1226997.7</v>
      </c>
      <c r="C5450">
        <v>0</v>
      </c>
      <c r="D5450">
        <v>77.489999999999995</v>
      </c>
      <c r="E5450">
        <v>2.8540000000000001</v>
      </c>
      <c r="F5450">
        <v>209.11853600000001</v>
      </c>
      <c r="G5450">
        <v>8.4640000000000004</v>
      </c>
      <c r="N5450" s="8"/>
    </row>
    <row r="5451" spans="1:14" x14ac:dyDescent="0.25">
      <c r="A5451" s="8">
        <v>40319</v>
      </c>
      <c r="B5451">
        <v>1350673.98</v>
      </c>
      <c r="C5451">
        <v>0</v>
      </c>
      <c r="D5451">
        <v>76.67</v>
      </c>
      <c r="E5451">
        <v>2.8260000000000001</v>
      </c>
      <c r="F5451">
        <v>209.39229370000001</v>
      </c>
      <c r="G5451">
        <v>8.4640000000000004</v>
      </c>
      <c r="N5451" s="8"/>
    </row>
    <row r="5452" spans="1:14" x14ac:dyDescent="0.25">
      <c r="A5452" s="8">
        <v>40326</v>
      </c>
      <c r="B5452">
        <v>1365541.59</v>
      </c>
      <c r="C5452">
        <v>0</v>
      </c>
      <c r="D5452">
        <v>80.22</v>
      </c>
      <c r="E5452">
        <v>2.7589999999999999</v>
      </c>
      <c r="F5452">
        <v>209.66605139999999</v>
      </c>
      <c r="G5452">
        <v>8.4640000000000004</v>
      </c>
      <c r="N5452" s="8"/>
    </row>
    <row r="5453" spans="1:14" x14ac:dyDescent="0.25">
      <c r="A5453" s="8">
        <v>40333</v>
      </c>
      <c r="B5453">
        <v>1512207.95</v>
      </c>
      <c r="C5453">
        <v>0</v>
      </c>
      <c r="D5453">
        <v>79.83</v>
      </c>
      <c r="E5453">
        <v>2.7050000000000001</v>
      </c>
      <c r="F5453">
        <v>209.93980909999999</v>
      </c>
      <c r="G5453">
        <v>8.4640000000000004</v>
      </c>
      <c r="N5453" s="8"/>
    </row>
    <row r="5454" spans="1:14" x14ac:dyDescent="0.25">
      <c r="A5454" s="8">
        <v>40340</v>
      </c>
      <c r="B5454">
        <v>1371405.33</v>
      </c>
      <c r="C5454">
        <v>0</v>
      </c>
      <c r="D5454">
        <v>81.78</v>
      </c>
      <c r="E5454">
        <v>2.6680000000000001</v>
      </c>
      <c r="F5454">
        <v>210.2135668</v>
      </c>
      <c r="G5454">
        <v>8.4640000000000004</v>
      </c>
      <c r="N5454" s="8"/>
    </row>
    <row r="5455" spans="1:14" x14ac:dyDescent="0.25">
      <c r="A5455" s="8">
        <v>40347</v>
      </c>
      <c r="B5455">
        <v>1368312.45</v>
      </c>
      <c r="C5455">
        <v>0</v>
      </c>
      <c r="D5455">
        <v>83.96</v>
      </c>
      <c r="E5455">
        <v>2.637</v>
      </c>
      <c r="F5455">
        <v>210.2108417</v>
      </c>
      <c r="G5455">
        <v>8.4640000000000004</v>
      </c>
      <c r="N5455" s="8"/>
    </row>
    <row r="5456" spans="1:14" x14ac:dyDescent="0.25">
      <c r="A5456" s="8">
        <v>40354</v>
      </c>
      <c r="B5456">
        <v>1280414.8</v>
      </c>
      <c r="C5456">
        <v>0</v>
      </c>
      <c r="D5456">
        <v>83.24</v>
      </c>
      <c r="E5456">
        <v>2.653</v>
      </c>
      <c r="F5456">
        <v>210.09752330000001</v>
      </c>
      <c r="G5456">
        <v>8.4640000000000004</v>
      </c>
      <c r="N5456" s="8"/>
    </row>
    <row r="5457" spans="1:14" x14ac:dyDescent="0.25">
      <c r="A5457" s="8">
        <v>40361</v>
      </c>
      <c r="B5457">
        <v>1352547.7</v>
      </c>
      <c r="C5457">
        <v>0</v>
      </c>
      <c r="D5457">
        <v>81.349999999999994</v>
      </c>
      <c r="E5457">
        <v>2.669</v>
      </c>
      <c r="F5457">
        <v>209.984205</v>
      </c>
      <c r="G5457">
        <v>8.36</v>
      </c>
      <c r="N5457" s="8"/>
    </row>
    <row r="5458" spans="1:14" x14ac:dyDescent="0.25">
      <c r="A5458" s="8">
        <v>40368</v>
      </c>
      <c r="B5458">
        <v>1330473.47</v>
      </c>
      <c r="C5458">
        <v>0</v>
      </c>
      <c r="D5458">
        <v>81.099999999999994</v>
      </c>
      <c r="E5458">
        <v>2.6419999999999999</v>
      </c>
      <c r="F5458">
        <v>209.8708867</v>
      </c>
      <c r="G5458">
        <v>8.36</v>
      </c>
      <c r="N5458" s="8"/>
    </row>
    <row r="5459" spans="1:14" x14ac:dyDescent="0.25">
      <c r="A5459" s="8">
        <v>40375</v>
      </c>
      <c r="B5459">
        <v>1339811.68</v>
      </c>
      <c r="C5459">
        <v>0</v>
      </c>
      <c r="D5459">
        <v>83.86</v>
      </c>
      <c r="E5459">
        <v>2.6230000000000002</v>
      </c>
      <c r="F5459">
        <v>209.8630532</v>
      </c>
      <c r="G5459">
        <v>8.36</v>
      </c>
      <c r="N5459" s="8"/>
    </row>
    <row r="5460" spans="1:14" x14ac:dyDescent="0.25">
      <c r="A5460" s="8">
        <v>40382</v>
      </c>
      <c r="B5460">
        <v>1314651.83</v>
      </c>
      <c r="C5460">
        <v>0</v>
      </c>
      <c r="D5460">
        <v>82.2</v>
      </c>
      <c r="E5460">
        <v>2.6080000000000001</v>
      </c>
      <c r="F5460">
        <v>209.99586629999999</v>
      </c>
      <c r="G5460">
        <v>8.36</v>
      </c>
      <c r="N5460" s="8"/>
    </row>
    <row r="5461" spans="1:14" x14ac:dyDescent="0.25">
      <c r="A5461" s="8">
        <v>40389</v>
      </c>
      <c r="B5461">
        <v>1308222.24</v>
      </c>
      <c r="C5461">
        <v>0</v>
      </c>
      <c r="D5461">
        <v>80.989999999999995</v>
      </c>
      <c r="E5461">
        <v>2.64</v>
      </c>
      <c r="F5461">
        <v>210.12867940000001</v>
      </c>
      <c r="G5461">
        <v>8.36</v>
      </c>
      <c r="N5461" s="8"/>
    </row>
    <row r="5462" spans="1:14" x14ac:dyDescent="0.25">
      <c r="A5462" s="8">
        <v>40396</v>
      </c>
      <c r="B5462">
        <v>1409989.67</v>
      </c>
      <c r="C5462">
        <v>0</v>
      </c>
      <c r="D5462">
        <v>84.92</v>
      </c>
      <c r="E5462">
        <v>2.6269999999999998</v>
      </c>
      <c r="F5462">
        <v>210.2614925</v>
      </c>
      <c r="G5462">
        <v>8.36</v>
      </c>
      <c r="N5462" s="8"/>
    </row>
    <row r="5463" spans="1:14" x14ac:dyDescent="0.25">
      <c r="A5463" s="8">
        <v>40403</v>
      </c>
      <c r="B5463">
        <v>1371465.66</v>
      </c>
      <c r="C5463">
        <v>0</v>
      </c>
      <c r="D5463">
        <v>85.66</v>
      </c>
      <c r="E5463">
        <v>2.6920000000000002</v>
      </c>
      <c r="F5463">
        <v>210.3943056</v>
      </c>
      <c r="G5463">
        <v>8.36</v>
      </c>
      <c r="N5463" s="8"/>
    </row>
    <row r="5464" spans="1:14" x14ac:dyDescent="0.25">
      <c r="A5464" s="8">
        <v>40410</v>
      </c>
      <c r="B5464">
        <v>1471816.52</v>
      </c>
      <c r="C5464">
        <v>0</v>
      </c>
      <c r="D5464">
        <v>85.73</v>
      </c>
      <c r="E5464">
        <v>2.6640000000000001</v>
      </c>
      <c r="F5464">
        <v>210.3617581</v>
      </c>
      <c r="G5464">
        <v>8.36</v>
      </c>
      <c r="N5464" s="8"/>
    </row>
    <row r="5465" spans="1:14" x14ac:dyDescent="0.25">
      <c r="A5465" s="8">
        <v>40417</v>
      </c>
      <c r="B5465">
        <v>1417515.93</v>
      </c>
      <c r="C5465">
        <v>0</v>
      </c>
      <c r="D5465">
        <v>84.31</v>
      </c>
      <c r="E5465">
        <v>2.6190000000000002</v>
      </c>
      <c r="F5465">
        <v>210.32921060000001</v>
      </c>
      <c r="G5465">
        <v>8.36</v>
      </c>
      <c r="N5465" s="8"/>
    </row>
    <row r="5466" spans="1:14" x14ac:dyDescent="0.25">
      <c r="A5466" s="8">
        <v>40424</v>
      </c>
      <c r="B5466">
        <v>1345167.61</v>
      </c>
      <c r="C5466">
        <v>0</v>
      </c>
      <c r="D5466">
        <v>82.13</v>
      </c>
      <c r="E5466">
        <v>2.577</v>
      </c>
      <c r="F5466">
        <v>210.29666309999999</v>
      </c>
      <c r="G5466">
        <v>8.36</v>
      </c>
      <c r="N5466" s="8"/>
    </row>
    <row r="5467" spans="1:14" x14ac:dyDescent="0.25">
      <c r="A5467" s="8">
        <v>40431</v>
      </c>
      <c r="B5467">
        <v>1279666.47</v>
      </c>
      <c r="C5467">
        <v>1</v>
      </c>
      <c r="D5467">
        <v>79.94</v>
      </c>
      <c r="E5467">
        <v>2.5649999999999999</v>
      </c>
      <c r="F5467">
        <v>210.2641156</v>
      </c>
      <c r="G5467">
        <v>8.36</v>
      </c>
      <c r="N5467" s="8"/>
    </row>
    <row r="5468" spans="1:14" x14ac:dyDescent="0.25">
      <c r="A5468" s="8">
        <v>40438</v>
      </c>
      <c r="B5468">
        <v>1252915.43</v>
      </c>
      <c r="C5468">
        <v>0</v>
      </c>
      <c r="D5468">
        <v>81.83</v>
      </c>
      <c r="E5468">
        <v>2.5819999999999999</v>
      </c>
      <c r="F5468">
        <v>210.29245040000001</v>
      </c>
      <c r="G5468">
        <v>8.36</v>
      </c>
      <c r="N5468" s="8"/>
    </row>
    <row r="5469" spans="1:14" x14ac:dyDescent="0.25">
      <c r="A5469" s="8">
        <v>40445</v>
      </c>
      <c r="B5469">
        <v>1199449.54</v>
      </c>
      <c r="C5469">
        <v>0</v>
      </c>
      <c r="D5469">
        <v>78.5</v>
      </c>
      <c r="E5469">
        <v>2.6240000000000001</v>
      </c>
      <c r="F5469">
        <v>210.3664469</v>
      </c>
      <c r="G5469">
        <v>8.36</v>
      </c>
      <c r="N5469" s="8"/>
    </row>
    <row r="5470" spans="1:14" x14ac:dyDescent="0.25">
      <c r="A5470" s="8">
        <v>40452</v>
      </c>
      <c r="B5470">
        <v>1219583.9099999999</v>
      </c>
      <c r="C5470">
        <v>0</v>
      </c>
      <c r="D5470">
        <v>72.739999999999995</v>
      </c>
      <c r="E5470">
        <v>2.6030000000000002</v>
      </c>
      <c r="F5470">
        <v>210.4404433</v>
      </c>
      <c r="G5470">
        <v>8.4760000000000009</v>
      </c>
      <c r="N5470" s="8"/>
    </row>
    <row r="5471" spans="1:14" x14ac:dyDescent="0.25">
      <c r="A5471" s="8">
        <v>40459</v>
      </c>
      <c r="B5471">
        <v>1286598.5900000001</v>
      </c>
      <c r="C5471">
        <v>0</v>
      </c>
      <c r="D5471">
        <v>64.8</v>
      </c>
      <c r="E5471">
        <v>2.633</v>
      </c>
      <c r="F5471">
        <v>210.51443979999999</v>
      </c>
      <c r="G5471">
        <v>8.4760000000000009</v>
      </c>
      <c r="N5471" s="8"/>
    </row>
    <row r="5472" spans="1:14" x14ac:dyDescent="0.25">
      <c r="A5472" s="8">
        <v>40466</v>
      </c>
      <c r="B5472">
        <v>1238742</v>
      </c>
      <c r="C5472">
        <v>0</v>
      </c>
      <c r="D5472">
        <v>69.959999999999994</v>
      </c>
      <c r="E5472">
        <v>2.72</v>
      </c>
      <c r="F5472">
        <v>210.5805944</v>
      </c>
      <c r="G5472">
        <v>8.4760000000000009</v>
      </c>
      <c r="N5472" s="8"/>
    </row>
    <row r="5473" spans="1:14" x14ac:dyDescent="0.25">
      <c r="A5473" s="8">
        <v>40473</v>
      </c>
      <c r="B5473">
        <v>1261109.01</v>
      </c>
      <c r="C5473">
        <v>0</v>
      </c>
      <c r="D5473">
        <v>71.73</v>
      </c>
      <c r="E5473">
        <v>2.7250000000000001</v>
      </c>
      <c r="F5473">
        <v>210.62714439999999</v>
      </c>
      <c r="G5473">
        <v>8.4760000000000009</v>
      </c>
      <c r="N5473" s="8"/>
    </row>
    <row r="5474" spans="1:14" x14ac:dyDescent="0.25">
      <c r="A5474" s="8">
        <v>40480</v>
      </c>
      <c r="B5474">
        <v>1294769.08</v>
      </c>
      <c r="C5474">
        <v>0</v>
      </c>
      <c r="D5474">
        <v>75.14</v>
      </c>
      <c r="E5474">
        <v>2.7160000000000002</v>
      </c>
      <c r="F5474">
        <v>210.67369439999999</v>
      </c>
      <c r="G5474">
        <v>8.4760000000000009</v>
      </c>
      <c r="N5474" s="8"/>
    </row>
    <row r="5475" spans="1:14" x14ac:dyDescent="0.25">
      <c r="A5475" s="8">
        <v>40487</v>
      </c>
      <c r="B5475">
        <v>1293707.19</v>
      </c>
      <c r="C5475">
        <v>0</v>
      </c>
      <c r="D5475">
        <v>61.62</v>
      </c>
      <c r="E5475">
        <v>2.6890000000000001</v>
      </c>
      <c r="F5475">
        <v>210.72024440000001</v>
      </c>
      <c r="G5475">
        <v>8.4760000000000009</v>
      </c>
      <c r="N5475" s="8"/>
    </row>
    <row r="5476" spans="1:14" x14ac:dyDescent="0.25">
      <c r="A5476" s="8">
        <v>40494</v>
      </c>
      <c r="B5476">
        <v>1291398.71</v>
      </c>
      <c r="C5476">
        <v>0</v>
      </c>
      <c r="D5476">
        <v>62.21</v>
      </c>
      <c r="E5476">
        <v>2.7280000000000002</v>
      </c>
      <c r="F5476">
        <v>210.76679440000001</v>
      </c>
      <c r="G5476">
        <v>8.4760000000000009</v>
      </c>
      <c r="N5476" s="8"/>
    </row>
    <row r="5477" spans="1:14" x14ac:dyDescent="0.25">
      <c r="A5477" s="8">
        <v>40501</v>
      </c>
      <c r="B5477">
        <v>1370659.54</v>
      </c>
      <c r="C5477">
        <v>0</v>
      </c>
      <c r="D5477">
        <v>55.5</v>
      </c>
      <c r="E5477">
        <v>2.7709999999999999</v>
      </c>
      <c r="F5477">
        <v>210.65429</v>
      </c>
      <c r="G5477">
        <v>8.4760000000000009</v>
      </c>
      <c r="N5477" s="8"/>
    </row>
    <row r="5478" spans="1:14" x14ac:dyDescent="0.25">
      <c r="A5478" s="8">
        <v>40508</v>
      </c>
      <c r="B5478">
        <v>2149355.2000000002</v>
      </c>
      <c r="C5478">
        <v>1</v>
      </c>
      <c r="D5478">
        <v>67.75</v>
      </c>
      <c r="E5478">
        <v>2.7349999999999999</v>
      </c>
      <c r="F5478">
        <v>210.5152765</v>
      </c>
      <c r="G5478">
        <v>8.4760000000000009</v>
      </c>
      <c r="N5478" s="8"/>
    </row>
    <row r="5479" spans="1:14" x14ac:dyDescent="0.25">
      <c r="A5479" s="8">
        <v>40515</v>
      </c>
      <c r="B5479">
        <v>1431910.98</v>
      </c>
      <c r="C5479">
        <v>0</v>
      </c>
      <c r="D5479">
        <v>53.55</v>
      </c>
      <c r="E5479">
        <v>2.7080000000000002</v>
      </c>
      <c r="F5479">
        <v>210.37626299999999</v>
      </c>
      <c r="G5479">
        <v>8.4760000000000009</v>
      </c>
      <c r="N5479" s="8"/>
    </row>
    <row r="5480" spans="1:14" x14ac:dyDescent="0.25">
      <c r="A5480" s="8">
        <v>40522</v>
      </c>
      <c r="B5480">
        <v>1630564.48</v>
      </c>
      <c r="C5480">
        <v>0</v>
      </c>
      <c r="D5480">
        <v>50.81</v>
      </c>
      <c r="E5480">
        <v>2.843</v>
      </c>
      <c r="F5480">
        <v>210.2372494</v>
      </c>
      <c r="G5480">
        <v>8.4760000000000009</v>
      </c>
      <c r="N5480" s="8"/>
    </row>
    <row r="5481" spans="1:14" x14ac:dyDescent="0.25">
      <c r="A5481" s="8">
        <v>40529</v>
      </c>
      <c r="B5481">
        <v>1842172.46</v>
      </c>
      <c r="C5481">
        <v>0</v>
      </c>
      <c r="D5481">
        <v>55.31</v>
      </c>
      <c r="E5481">
        <v>2.8690000000000002</v>
      </c>
      <c r="F5481">
        <v>210.1787224</v>
      </c>
      <c r="G5481">
        <v>8.4760000000000009</v>
      </c>
      <c r="N5481" s="8"/>
    </row>
    <row r="5482" spans="1:14" x14ac:dyDescent="0.25">
      <c r="A5482" s="8">
        <v>40536</v>
      </c>
      <c r="B5482">
        <v>2495489.25</v>
      </c>
      <c r="C5482">
        <v>0</v>
      </c>
      <c r="D5482">
        <v>58.86</v>
      </c>
      <c r="E5482">
        <v>2.8860000000000001</v>
      </c>
      <c r="F5482">
        <v>210.1805602</v>
      </c>
      <c r="G5482">
        <v>8.4760000000000009</v>
      </c>
      <c r="N5482" s="8"/>
    </row>
    <row r="5483" spans="1:14" x14ac:dyDescent="0.25">
      <c r="A5483" s="8">
        <v>40543</v>
      </c>
      <c r="B5483">
        <v>1230012.1599999999</v>
      </c>
      <c r="C5483">
        <v>1</v>
      </c>
      <c r="D5483">
        <v>52.45</v>
      </c>
      <c r="E5483">
        <v>2.9430000000000001</v>
      </c>
      <c r="F5483">
        <v>210.18239800000001</v>
      </c>
      <c r="G5483">
        <v>8.4760000000000009</v>
      </c>
      <c r="N5483" s="8"/>
    </row>
    <row r="5484" spans="1:14" x14ac:dyDescent="0.25">
      <c r="A5484" s="8">
        <v>40550</v>
      </c>
      <c r="B5484">
        <v>1224475.1200000001</v>
      </c>
      <c r="C5484">
        <v>0</v>
      </c>
      <c r="D5484">
        <v>52.74</v>
      </c>
      <c r="E5484">
        <v>2.976</v>
      </c>
      <c r="F5484">
        <v>210.18423580000001</v>
      </c>
      <c r="G5484">
        <v>8.3949999999999996</v>
      </c>
      <c r="N5484" s="8"/>
    </row>
    <row r="5485" spans="1:14" x14ac:dyDescent="0.25">
      <c r="A5485" s="8">
        <v>40557</v>
      </c>
      <c r="B5485">
        <v>1193199.3899999999</v>
      </c>
      <c r="C5485">
        <v>0</v>
      </c>
      <c r="D5485">
        <v>41.74</v>
      </c>
      <c r="E5485">
        <v>2.9830000000000001</v>
      </c>
      <c r="F5485">
        <v>210.2379731</v>
      </c>
      <c r="G5485">
        <v>8.3949999999999996</v>
      </c>
      <c r="N5485" s="8"/>
    </row>
    <row r="5486" spans="1:14" x14ac:dyDescent="0.25">
      <c r="A5486" s="8">
        <v>40564</v>
      </c>
      <c r="B5486">
        <v>1243370.74</v>
      </c>
      <c r="C5486">
        <v>0</v>
      </c>
      <c r="D5486">
        <v>50.25</v>
      </c>
      <c r="E5486">
        <v>3.016</v>
      </c>
      <c r="F5486">
        <v>210.60310720000001</v>
      </c>
      <c r="G5486">
        <v>8.3949999999999996</v>
      </c>
      <c r="N5486" s="8"/>
    </row>
    <row r="5487" spans="1:14" x14ac:dyDescent="0.25">
      <c r="A5487" s="8">
        <v>40571</v>
      </c>
      <c r="B5487">
        <v>1158698.44</v>
      </c>
      <c r="C5487">
        <v>0</v>
      </c>
      <c r="D5487">
        <v>47.94</v>
      </c>
      <c r="E5487">
        <v>3.01</v>
      </c>
      <c r="F5487">
        <v>210.96824119999999</v>
      </c>
      <c r="G5487">
        <v>8.3949999999999996</v>
      </c>
      <c r="N5487" s="8"/>
    </row>
    <row r="5488" spans="1:14" x14ac:dyDescent="0.25">
      <c r="A5488" s="8">
        <v>40578</v>
      </c>
      <c r="B5488">
        <v>1343773.94</v>
      </c>
      <c r="C5488">
        <v>0</v>
      </c>
      <c r="D5488">
        <v>45.96</v>
      </c>
      <c r="E5488">
        <v>2.9889999999999999</v>
      </c>
      <c r="F5488">
        <v>211.3333753</v>
      </c>
      <c r="G5488">
        <v>8.3949999999999996</v>
      </c>
      <c r="N5488" s="8"/>
    </row>
    <row r="5489" spans="1:14" x14ac:dyDescent="0.25">
      <c r="A5489" s="8">
        <v>40585</v>
      </c>
      <c r="B5489">
        <v>1227893.8899999999</v>
      </c>
      <c r="C5489">
        <v>1</v>
      </c>
      <c r="D5489">
        <v>40.340000000000003</v>
      </c>
      <c r="E5489">
        <v>3.0219999999999998</v>
      </c>
      <c r="F5489">
        <v>211.69850930000001</v>
      </c>
      <c r="G5489">
        <v>8.3949999999999996</v>
      </c>
      <c r="N5489" s="8"/>
    </row>
    <row r="5490" spans="1:14" x14ac:dyDescent="0.25">
      <c r="A5490" s="8">
        <v>40592</v>
      </c>
      <c r="B5490">
        <v>1335233.74</v>
      </c>
      <c r="C5490">
        <v>0</v>
      </c>
      <c r="D5490">
        <v>58.2</v>
      </c>
      <c r="E5490">
        <v>3.0449999999999999</v>
      </c>
      <c r="F5490">
        <v>212.00635220000001</v>
      </c>
      <c r="G5490">
        <v>8.3949999999999996</v>
      </c>
      <c r="N5490" s="8"/>
    </row>
    <row r="5491" spans="1:14" x14ac:dyDescent="0.25">
      <c r="A5491" s="8">
        <v>40599</v>
      </c>
      <c r="B5491">
        <v>1240921.19</v>
      </c>
      <c r="C5491">
        <v>0</v>
      </c>
      <c r="D5491">
        <v>67.77</v>
      </c>
      <c r="E5491">
        <v>3.0649999999999999</v>
      </c>
      <c r="F5491">
        <v>212.2912786</v>
      </c>
      <c r="G5491">
        <v>8.3949999999999996</v>
      </c>
      <c r="N5491" s="8"/>
    </row>
    <row r="5492" spans="1:14" x14ac:dyDescent="0.25">
      <c r="A5492" s="8">
        <v>40606</v>
      </c>
      <c r="B5492">
        <v>1316385.43</v>
      </c>
      <c r="C5492">
        <v>0</v>
      </c>
      <c r="D5492">
        <v>63.56</v>
      </c>
      <c r="E5492">
        <v>3.2879999999999998</v>
      </c>
      <c r="F5492">
        <v>212.57620499999999</v>
      </c>
      <c r="G5492">
        <v>8.3949999999999996</v>
      </c>
      <c r="N5492" s="8"/>
    </row>
    <row r="5493" spans="1:14" x14ac:dyDescent="0.25">
      <c r="A5493" s="8">
        <v>40613</v>
      </c>
      <c r="B5493">
        <v>1283716.81</v>
      </c>
      <c r="C5493">
        <v>0</v>
      </c>
      <c r="D5493">
        <v>58.35</v>
      </c>
      <c r="E5493">
        <v>3.4590000000000001</v>
      </c>
      <c r="F5493">
        <v>212.86113130000001</v>
      </c>
      <c r="G5493">
        <v>8.3949999999999996</v>
      </c>
      <c r="N5493" s="8"/>
    </row>
    <row r="5494" spans="1:14" x14ac:dyDescent="0.25">
      <c r="A5494" s="8">
        <v>40620</v>
      </c>
      <c r="B5494">
        <v>1348410.05</v>
      </c>
      <c r="C5494">
        <v>0</v>
      </c>
      <c r="D5494">
        <v>65.28</v>
      </c>
      <c r="E5494">
        <v>3.488</v>
      </c>
      <c r="F5494">
        <v>213.10967869999999</v>
      </c>
      <c r="G5494">
        <v>8.3949999999999996</v>
      </c>
      <c r="N5494" s="8"/>
    </row>
    <row r="5495" spans="1:14" x14ac:dyDescent="0.25">
      <c r="A5495" s="8">
        <v>40627</v>
      </c>
      <c r="B5495">
        <v>1284334.79</v>
      </c>
      <c r="C5495">
        <v>0</v>
      </c>
      <c r="D5495">
        <v>71.17</v>
      </c>
      <c r="E5495">
        <v>3.4729999999999999</v>
      </c>
      <c r="F5495">
        <v>213.3436744</v>
      </c>
      <c r="G5495">
        <v>8.3949999999999996</v>
      </c>
      <c r="N5495" s="8"/>
    </row>
    <row r="5496" spans="1:14" x14ac:dyDescent="0.25">
      <c r="A5496" s="8">
        <v>40634</v>
      </c>
      <c r="B5496">
        <v>1316849.3600000001</v>
      </c>
      <c r="C5496">
        <v>0</v>
      </c>
      <c r="D5496">
        <v>66.569999999999993</v>
      </c>
      <c r="E5496">
        <v>3.524</v>
      </c>
      <c r="F5496">
        <v>213.57767010000001</v>
      </c>
      <c r="G5496">
        <v>8.3000000000000007</v>
      </c>
      <c r="N5496" s="8"/>
    </row>
    <row r="5497" spans="1:14" x14ac:dyDescent="0.25">
      <c r="A5497" s="8">
        <v>40641</v>
      </c>
      <c r="B5497">
        <v>1350646.16</v>
      </c>
      <c r="C5497">
        <v>0</v>
      </c>
      <c r="D5497">
        <v>69.45</v>
      </c>
      <c r="E5497">
        <v>3.6219999999999999</v>
      </c>
      <c r="F5497">
        <v>213.81166579999999</v>
      </c>
      <c r="G5497">
        <v>8.3000000000000007</v>
      </c>
      <c r="N5497" s="8"/>
    </row>
    <row r="5498" spans="1:14" x14ac:dyDescent="0.25">
      <c r="A5498" s="8">
        <v>40648</v>
      </c>
      <c r="B5498">
        <v>1348031.55</v>
      </c>
      <c r="C5498">
        <v>0</v>
      </c>
      <c r="D5498">
        <v>73.19</v>
      </c>
      <c r="E5498">
        <v>3.7429999999999999</v>
      </c>
      <c r="F5498">
        <v>214.026217</v>
      </c>
      <c r="G5498">
        <v>8.3000000000000007</v>
      </c>
      <c r="N5498" s="8"/>
    </row>
    <row r="5499" spans="1:14" x14ac:dyDescent="0.25">
      <c r="A5499" s="8">
        <v>40655</v>
      </c>
      <c r="B5499">
        <v>1563140.85</v>
      </c>
      <c r="C5499">
        <v>0</v>
      </c>
      <c r="D5499">
        <v>74.98</v>
      </c>
      <c r="E5499">
        <v>3.8069999999999999</v>
      </c>
      <c r="F5499">
        <v>214.1921572</v>
      </c>
      <c r="G5499">
        <v>8.3000000000000007</v>
      </c>
      <c r="N5499" s="8"/>
    </row>
    <row r="5500" spans="1:14" x14ac:dyDescent="0.25">
      <c r="A5500" s="8">
        <v>40662</v>
      </c>
      <c r="B5500">
        <v>1379651.87</v>
      </c>
      <c r="C5500">
        <v>0</v>
      </c>
      <c r="D5500">
        <v>76.47</v>
      </c>
      <c r="E5500">
        <v>3.81</v>
      </c>
      <c r="F5500">
        <v>214.35809739999999</v>
      </c>
      <c r="G5500">
        <v>8.3000000000000007</v>
      </c>
      <c r="N5500" s="8"/>
    </row>
    <row r="5501" spans="1:14" x14ac:dyDescent="0.25">
      <c r="A5501" s="8">
        <v>40669</v>
      </c>
      <c r="B5501">
        <v>1370920.87</v>
      </c>
      <c r="C5501">
        <v>0</v>
      </c>
      <c r="D5501">
        <v>68.75</v>
      </c>
      <c r="E5501">
        <v>3.9060000000000001</v>
      </c>
      <c r="F5501">
        <v>214.52403760000001</v>
      </c>
      <c r="G5501">
        <v>8.3000000000000007</v>
      </c>
      <c r="N5501" s="8"/>
    </row>
    <row r="5502" spans="1:14" x14ac:dyDescent="0.25">
      <c r="A5502" s="8">
        <v>40676</v>
      </c>
      <c r="B5502">
        <v>1325022.77</v>
      </c>
      <c r="C5502">
        <v>0</v>
      </c>
      <c r="D5502">
        <v>77.39</v>
      </c>
      <c r="E5502">
        <v>3.899</v>
      </c>
      <c r="F5502">
        <v>214.68997780000001</v>
      </c>
      <c r="G5502">
        <v>8.3000000000000007</v>
      </c>
      <c r="N5502" s="8"/>
    </row>
    <row r="5503" spans="1:14" x14ac:dyDescent="0.25">
      <c r="A5503" s="8">
        <v>40683</v>
      </c>
      <c r="B5503">
        <v>1373907.21</v>
      </c>
      <c r="C5503">
        <v>0</v>
      </c>
      <c r="D5503">
        <v>73.31</v>
      </c>
      <c r="E5503">
        <v>3.907</v>
      </c>
      <c r="F5503">
        <v>214.46541199999999</v>
      </c>
      <c r="G5503">
        <v>8.3000000000000007</v>
      </c>
      <c r="N5503" s="8"/>
    </row>
    <row r="5504" spans="1:14" x14ac:dyDescent="0.25">
      <c r="A5504" s="8">
        <v>40690</v>
      </c>
      <c r="B5504">
        <v>1406124.14</v>
      </c>
      <c r="C5504">
        <v>0</v>
      </c>
      <c r="D5504">
        <v>82.1</v>
      </c>
      <c r="E5504">
        <v>3.786</v>
      </c>
      <c r="F5504">
        <v>214.24084619999999</v>
      </c>
      <c r="G5504">
        <v>8.3000000000000007</v>
      </c>
      <c r="N5504" s="8"/>
    </row>
    <row r="5505" spans="1:14" x14ac:dyDescent="0.25">
      <c r="A5505" s="8">
        <v>40697</v>
      </c>
      <c r="B5505">
        <v>1541745.59</v>
      </c>
      <c r="C5505">
        <v>0</v>
      </c>
      <c r="D5505">
        <v>83.59</v>
      </c>
      <c r="E5505">
        <v>3.6989999999999998</v>
      </c>
      <c r="F5505">
        <v>214.01628049999999</v>
      </c>
      <c r="G5505">
        <v>8.3000000000000007</v>
      </c>
      <c r="N5505" s="8"/>
    </row>
    <row r="5506" spans="1:14" x14ac:dyDescent="0.25">
      <c r="A5506" s="8">
        <v>40704</v>
      </c>
      <c r="B5506">
        <v>1442092.08</v>
      </c>
      <c r="C5506">
        <v>0</v>
      </c>
      <c r="D5506">
        <v>82.75</v>
      </c>
      <c r="E5506">
        <v>3.6480000000000001</v>
      </c>
      <c r="F5506">
        <v>213.7917147</v>
      </c>
      <c r="G5506">
        <v>8.3000000000000007</v>
      </c>
      <c r="N5506" s="8"/>
    </row>
    <row r="5507" spans="1:14" x14ac:dyDescent="0.25">
      <c r="A5507" s="8">
        <v>40711</v>
      </c>
      <c r="B5507">
        <v>1451392.67</v>
      </c>
      <c r="C5507">
        <v>0</v>
      </c>
      <c r="D5507">
        <v>85.21</v>
      </c>
      <c r="E5507">
        <v>3.637</v>
      </c>
      <c r="F5507">
        <v>213.74812560000001</v>
      </c>
      <c r="G5507">
        <v>8.3000000000000007</v>
      </c>
      <c r="N5507" s="8"/>
    </row>
    <row r="5508" spans="1:14" x14ac:dyDescent="0.25">
      <c r="A5508" s="8">
        <v>40718</v>
      </c>
      <c r="B5508">
        <v>1363167.95</v>
      </c>
      <c r="C5508">
        <v>0</v>
      </c>
      <c r="D5508">
        <v>84.06</v>
      </c>
      <c r="E5508">
        <v>3.5939999999999999</v>
      </c>
      <c r="F5508">
        <v>213.84026890000001</v>
      </c>
      <c r="G5508">
        <v>8.3000000000000007</v>
      </c>
      <c r="N5508" s="8"/>
    </row>
    <row r="5509" spans="1:14" x14ac:dyDescent="0.25">
      <c r="A5509" s="8">
        <v>40725</v>
      </c>
      <c r="B5509">
        <v>1429829.36</v>
      </c>
      <c r="C5509">
        <v>0</v>
      </c>
      <c r="D5509">
        <v>84.93</v>
      </c>
      <c r="E5509">
        <v>3.524</v>
      </c>
      <c r="F5509">
        <v>213.93241219999999</v>
      </c>
      <c r="G5509">
        <v>8.1769999999999996</v>
      </c>
      <c r="N5509" s="8"/>
    </row>
    <row r="5510" spans="1:14" x14ac:dyDescent="0.25">
      <c r="A5510" s="8">
        <v>40732</v>
      </c>
      <c r="B5510">
        <v>1414564.53</v>
      </c>
      <c r="C5510">
        <v>0</v>
      </c>
      <c r="D5510">
        <v>84.33</v>
      </c>
      <c r="E5510">
        <v>3.48</v>
      </c>
      <c r="F5510">
        <v>214.02455560000001</v>
      </c>
      <c r="G5510">
        <v>8.1769999999999996</v>
      </c>
      <c r="N5510" s="8"/>
    </row>
    <row r="5511" spans="1:14" x14ac:dyDescent="0.25">
      <c r="A5511" s="8">
        <v>40739</v>
      </c>
      <c r="B5511">
        <v>1380257.12</v>
      </c>
      <c r="C5511">
        <v>0</v>
      </c>
      <c r="D5511">
        <v>85.96</v>
      </c>
      <c r="E5511">
        <v>3.5750000000000002</v>
      </c>
      <c r="F5511">
        <v>214.1083654</v>
      </c>
      <c r="G5511">
        <v>8.1769999999999996</v>
      </c>
      <c r="N5511" s="8"/>
    </row>
    <row r="5512" spans="1:14" x14ac:dyDescent="0.25">
      <c r="A5512" s="8">
        <v>40746</v>
      </c>
      <c r="B5512">
        <v>1416005.59</v>
      </c>
      <c r="C5512">
        <v>0</v>
      </c>
      <c r="D5512">
        <v>84.6</v>
      </c>
      <c r="E5512">
        <v>3.6509999999999998</v>
      </c>
      <c r="F5512">
        <v>214.17134160000001</v>
      </c>
      <c r="G5512">
        <v>8.1769999999999996</v>
      </c>
      <c r="N5512" s="8"/>
    </row>
    <row r="5513" spans="1:14" x14ac:dyDescent="0.25">
      <c r="A5513" s="8">
        <v>40753</v>
      </c>
      <c r="B5513">
        <v>1426418.53</v>
      </c>
      <c r="C5513">
        <v>0</v>
      </c>
      <c r="D5513">
        <v>86.24</v>
      </c>
      <c r="E5513">
        <v>3.6819999999999999</v>
      </c>
      <c r="F5513">
        <v>214.23431769999999</v>
      </c>
      <c r="G5513">
        <v>8.1769999999999996</v>
      </c>
      <c r="N5513" s="8"/>
    </row>
    <row r="5514" spans="1:14" x14ac:dyDescent="0.25">
      <c r="A5514" s="8">
        <v>40760</v>
      </c>
      <c r="B5514">
        <v>1518790.89</v>
      </c>
      <c r="C5514">
        <v>0</v>
      </c>
      <c r="D5514">
        <v>87.73</v>
      </c>
      <c r="E5514">
        <v>3.6840000000000002</v>
      </c>
      <c r="F5514">
        <v>214.2972939</v>
      </c>
      <c r="G5514">
        <v>8.1769999999999996</v>
      </c>
      <c r="N5514" s="8"/>
    </row>
    <row r="5515" spans="1:14" x14ac:dyDescent="0.25">
      <c r="A5515" s="8">
        <v>40767</v>
      </c>
      <c r="B5515">
        <v>1514055.97</v>
      </c>
      <c r="C5515">
        <v>0</v>
      </c>
      <c r="D5515">
        <v>88.27</v>
      </c>
      <c r="E5515">
        <v>3.6379999999999999</v>
      </c>
      <c r="F5515">
        <v>214.36027010000001</v>
      </c>
      <c r="G5515">
        <v>8.1769999999999996</v>
      </c>
      <c r="N5515" s="8"/>
    </row>
    <row r="5516" spans="1:14" x14ac:dyDescent="0.25">
      <c r="A5516" s="8">
        <v>40774</v>
      </c>
      <c r="B5516">
        <v>1629066.9</v>
      </c>
      <c r="C5516">
        <v>0</v>
      </c>
      <c r="D5516">
        <v>87.93</v>
      </c>
      <c r="E5516">
        <v>3.5539999999999998</v>
      </c>
      <c r="F5516">
        <v>214.42399349999999</v>
      </c>
      <c r="G5516">
        <v>8.1769999999999996</v>
      </c>
      <c r="N5516" s="8"/>
    </row>
    <row r="5517" spans="1:14" x14ac:dyDescent="0.25">
      <c r="A5517" s="8">
        <v>40781</v>
      </c>
      <c r="B5517">
        <v>1573898.63</v>
      </c>
      <c r="C5517">
        <v>0</v>
      </c>
      <c r="D5517">
        <v>86.49</v>
      </c>
      <c r="E5517">
        <v>3.5230000000000001</v>
      </c>
      <c r="F5517">
        <v>214.4878416</v>
      </c>
      <c r="G5517">
        <v>8.1769999999999996</v>
      </c>
      <c r="N5517" s="8"/>
    </row>
    <row r="5518" spans="1:14" x14ac:dyDescent="0.25">
      <c r="A5518" s="8">
        <v>40788</v>
      </c>
      <c r="B5518">
        <v>1465089.85</v>
      </c>
      <c r="C5518">
        <v>0</v>
      </c>
      <c r="D5518">
        <v>88.65</v>
      </c>
      <c r="E5518">
        <v>3.5329999999999999</v>
      </c>
      <c r="F5518">
        <v>214.5516896</v>
      </c>
      <c r="G5518">
        <v>8.1769999999999996</v>
      </c>
      <c r="N5518" s="8"/>
    </row>
    <row r="5519" spans="1:14" x14ac:dyDescent="0.25">
      <c r="A5519" s="8">
        <v>40795</v>
      </c>
      <c r="B5519">
        <v>1429345.86</v>
      </c>
      <c r="C5519">
        <v>1</v>
      </c>
      <c r="D5519">
        <v>79.150000000000006</v>
      </c>
      <c r="E5519">
        <v>3.5459999999999998</v>
      </c>
      <c r="F5519">
        <v>214.61553760000001</v>
      </c>
      <c r="G5519">
        <v>8.1769999999999996</v>
      </c>
      <c r="N5519" s="8"/>
    </row>
    <row r="5520" spans="1:14" x14ac:dyDescent="0.25">
      <c r="A5520" s="8">
        <v>40802</v>
      </c>
      <c r="B5520">
        <v>1372500.63</v>
      </c>
      <c r="C5520">
        <v>0</v>
      </c>
      <c r="D5520">
        <v>83.11</v>
      </c>
      <c r="E5520">
        <v>3.5259999999999998</v>
      </c>
      <c r="F5520">
        <v>214.79341109999999</v>
      </c>
      <c r="G5520">
        <v>8.1769999999999996</v>
      </c>
      <c r="N5520" s="8"/>
    </row>
    <row r="5521" spans="1:14" x14ac:dyDescent="0.25">
      <c r="A5521" s="8">
        <v>40809</v>
      </c>
      <c r="B5521">
        <v>1338657.95</v>
      </c>
      <c r="C5521">
        <v>0</v>
      </c>
      <c r="D5521">
        <v>78.75</v>
      </c>
      <c r="E5521">
        <v>3.4670000000000001</v>
      </c>
      <c r="F5521">
        <v>215.12331850000001</v>
      </c>
      <c r="G5521">
        <v>8.1769999999999996</v>
      </c>
      <c r="N5521" s="8"/>
    </row>
    <row r="5522" spans="1:14" x14ac:dyDescent="0.25">
      <c r="A5522" s="8">
        <v>40816</v>
      </c>
      <c r="B5522">
        <v>1311775.83</v>
      </c>
      <c r="C5522">
        <v>0</v>
      </c>
      <c r="D5522">
        <v>81.510000000000005</v>
      </c>
      <c r="E5522">
        <v>3.355</v>
      </c>
      <c r="F5522">
        <v>215.45322590000001</v>
      </c>
      <c r="G5522">
        <v>8.1769999999999996</v>
      </c>
      <c r="N5522" s="8"/>
    </row>
    <row r="5523" spans="1:14" x14ac:dyDescent="0.25">
      <c r="A5523" s="8">
        <v>40823</v>
      </c>
      <c r="B5523">
        <v>1443884.39</v>
      </c>
      <c r="C5523">
        <v>0</v>
      </c>
      <c r="D5523">
        <v>71.680000000000007</v>
      </c>
      <c r="E5523">
        <v>3.2850000000000001</v>
      </c>
      <c r="F5523">
        <v>215.7831333</v>
      </c>
      <c r="G5523">
        <v>7.7160000000000002</v>
      </c>
      <c r="N5523" s="8"/>
    </row>
    <row r="5524" spans="1:14" x14ac:dyDescent="0.25">
      <c r="A5524" s="8">
        <v>40830</v>
      </c>
      <c r="B5524">
        <v>1384721.84</v>
      </c>
      <c r="C5524">
        <v>0</v>
      </c>
      <c r="D5524">
        <v>73.790000000000006</v>
      </c>
      <c r="E5524">
        <v>3.274</v>
      </c>
      <c r="F5524">
        <v>216.08852580000001</v>
      </c>
      <c r="G5524">
        <v>7.7160000000000002</v>
      </c>
      <c r="N5524" s="8"/>
    </row>
    <row r="5525" spans="1:14" x14ac:dyDescent="0.25">
      <c r="A5525" s="8">
        <v>40837</v>
      </c>
      <c r="B5525">
        <v>1465283.29</v>
      </c>
      <c r="C5525">
        <v>0</v>
      </c>
      <c r="D5525">
        <v>67.650000000000006</v>
      </c>
      <c r="E5525">
        <v>3.3530000000000002</v>
      </c>
      <c r="F5525">
        <v>216.24682870000001</v>
      </c>
      <c r="G5525">
        <v>7.7160000000000002</v>
      </c>
      <c r="N5525" s="8"/>
    </row>
    <row r="5526" spans="1:14" x14ac:dyDescent="0.25">
      <c r="A5526" s="8">
        <v>40844</v>
      </c>
      <c r="B5526">
        <v>1472663.1</v>
      </c>
      <c r="C5526">
        <v>0</v>
      </c>
      <c r="D5526">
        <v>71.05</v>
      </c>
      <c r="E5526">
        <v>3.3719999999999999</v>
      </c>
      <c r="F5526">
        <v>216.40513150000001</v>
      </c>
      <c r="G5526">
        <v>7.7160000000000002</v>
      </c>
      <c r="N5526" s="8"/>
    </row>
    <row r="5527" spans="1:14" x14ac:dyDescent="0.25">
      <c r="A5527" s="8">
        <v>40851</v>
      </c>
      <c r="B5527">
        <v>1553629.59</v>
      </c>
      <c r="C5527">
        <v>0</v>
      </c>
      <c r="D5527">
        <v>58.04</v>
      </c>
      <c r="E5527">
        <v>3.3319999999999999</v>
      </c>
      <c r="F5527">
        <v>216.56343440000001</v>
      </c>
      <c r="G5527">
        <v>7.7160000000000002</v>
      </c>
      <c r="N5527" s="8"/>
    </row>
    <row r="5528" spans="1:14" x14ac:dyDescent="0.25">
      <c r="A5528" s="8">
        <v>40858</v>
      </c>
      <c r="B5528">
        <v>1456957.38</v>
      </c>
      <c r="C5528">
        <v>0</v>
      </c>
      <c r="D5528">
        <v>63.11</v>
      </c>
      <c r="E5528">
        <v>3.2970000000000002</v>
      </c>
      <c r="F5528">
        <v>216.7217373</v>
      </c>
      <c r="G5528">
        <v>7.7160000000000002</v>
      </c>
      <c r="N5528" s="8"/>
    </row>
    <row r="5529" spans="1:14" x14ac:dyDescent="0.25">
      <c r="A5529" s="8">
        <v>40865</v>
      </c>
      <c r="B5529">
        <v>1510397.27</v>
      </c>
      <c r="C5529">
        <v>0</v>
      </c>
      <c r="D5529">
        <v>66.09</v>
      </c>
      <c r="E5529">
        <v>3.3079999999999998</v>
      </c>
      <c r="F5529">
        <v>216.93958610000001</v>
      </c>
      <c r="G5529">
        <v>7.7160000000000002</v>
      </c>
      <c r="N5529" s="8"/>
    </row>
    <row r="5530" spans="1:14" x14ac:dyDescent="0.25">
      <c r="A5530" s="8">
        <v>40872</v>
      </c>
      <c r="B5530">
        <v>2338832.4</v>
      </c>
      <c r="C5530">
        <v>1</v>
      </c>
      <c r="D5530">
        <v>66.36</v>
      </c>
      <c r="E5530">
        <v>3.2360000000000002</v>
      </c>
      <c r="F5530">
        <v>217.18125330000001</v>
      </c>
      <c r="G5530">
        <v>7.7160000000000002</v>
      </c>
      <c r="N5530" s="8"/>
    </row>
    <row r="5531" spans="1:14" x14ac:dyDescent="0.25">
      <c r="A5531" s="8">
        <v>40879</v>
      </c>
      <c r="B5531">
        <v>1632894.58</v>
      </c>
      <c r="C5531">
        <v>0</v>
      </c>
      <c r="D5531">
        <v>53.14</v>
      </c>
      <c r="E5531">
        <v>3.1720000000000002</v>
      </c>
      <c r="F5531">
        <v>217.4229206</v>
      </c>
      <c r="G5531">
        <v>7.7160000000000002</v>
      </c>
      <c r="N5531" s="8"/>
    </row>
    <row r="5532" spans="1:14" x14ac:dyDescent="0.25">
      <c r="A5532" s="8">
        <v>40886</v>
      </c>
      <c r="B5532">
        <v>1781528.77</v>
      </c>
      <c r="C5532">
        <v>0</v>
      </c>
      <c r="D5532">
        <v>49.36</v>
      </c>
      <c r="E5532">
        <v>3.1579999999999999</v>
      </c>
      <c r="F5532">
        <v>217.66458779999999</v>
      </c>
      <c r="G5532">
        <v>7.7160000000000002</v>
      </c>
      <c r="N5532" s="8"/>
    </row>
    <row r="5533" spans="1:14" x14ac:dyDescent="0.25">
      <c r="A5533" s="8">
        <v>40893</v>
      </c>
      <c r="B5533">
        <v>1991824.05</v>
      </c>
      <c r="C5533">
        <v>0</v>
      </c>
      <c r="D5533">
        <v>58.58</v>
      </c>
      <c r="E5533">
        <v>3.1589999999999998</v>
      </c>
      <c r="F5533">
        <v>217.87813389999999</v>
      </c>
      <c r="G5533">
        <v>7.7160000000000002</v>
      </c>
      <c r="N5533" s="8"/>
    </row>
    <row r="5534" spans="1:14" x14ac:dyDescent="0.25">
      <c r="A5534" s="8">
        <v>40900</v>
      </c>
      <c r="B5534">
        <v>2554482.84</v>
      </c>
      <c r="C5534">
        <v>0</v>
      </c>
      <c r="D5534">
        <v>54.62</v>
      </c>
      <c r="E5534">
        <v>3.1120000000000001</v>
      </c>
      <c r="F5534">
        <v>218.05418510000001</v>
      </c>
      <c r="G5534">
        <v>7.7160000000000002</v>
      </c>
      <c r="N5534" s="8"/>
    </row>
    <row r="5535" spans="1:14" x14ac:dyDescent="0.25">
      <c r="A5535" s="8">
        <v>40907</v>
      </c>
      <c r="B5535">
        <v>1537139.56</v>
      </c>
      <c r="C5535">
        <v>1</v>
      </c>
      <c r="D5535">
        <v>47.6</v>
      </c>
      <c r="E5535">
        <v>3.129</v>
      </c>
      <c r="F5535">
        <v>218.2302364</v>
      </c>
      <c r="G5535">
        <v>7.7160000000000002</v>
      </c>
      <c r="N5535" s="8"/>
    </row>
    <row r="5536" spans="1:14" x14ac:dyDescent="0.25">
      <c r="A5536" s="8">
        <v>40914</v>
      </c>
      <c r="B5536">
        <v>1478537.93</v>
      </c>
      <c r="C5536">
        <v>0</v>
      </c>
      <c r="D5536">
        <v>55.83</v>
      </c>
      <c r="E5536">
        <v>3.157</v>
      </c>
      <c r="F5536">
        <v>218.40628760000001</v>
      </c>
      <c r="G5536">
        <v>7.2439999999999998</v>
      </c>
      <c r="N5536" s="8"/>
    </row>
    <row r="5537" spans="1:14" x14ac:dyDescent="0.25">
      <c r="A5537" s="8">
        <v>40921</v>
      </c>
      <c r="B5537">
        <v>1369125.37</v>
      </c>
      <c r="C5537">
        <v>0</v>
      </c>
      <c r="D5537">
        <v>54.66</v>
      </c>
      <c r="E5537">
        <v>3.2610000000000001</v>
      </c>
      <c r="F5537">
        <v>218.5823389</v>
      </c>
      <c r="G5537">
        <v>7.2439999999999998</v>
      </c>
      <c r="N5537" s="8"/>
    </row>
    <row r="5538" spans="1:14" x14ac:dyDescent="0.25">
      <c r="A5538" s="8">
        <v>40928</v>
      </c>
      <c r="B5538">
        <v>1394841.03</v>
      </c>
      <c r="C5538">
        <v>0</v>
      </c>
      <c r="D5538">
        <v>58.04</v>
      </c>
      <c r="E5538">
        <v>3.2679999999999998</v>
      </c>
      <c r="F5538">
        <v>218.6755292</v>
      </c>
      <c r="G5538">
        <v>7.2439999999999998</v>
      </c>
      <c r="N5538" s="8"/>
    </row>
    <row r="5539" spans="1:14" x14ac:dyDescent="0.25">
      <c r="A5539" s="8">
        <v>40935</v>
      </c>
      <c r="B5539">
        <v>1320301.6100000001</v>
      </c>
      <c r="C5539">
        <v>0</v>
      </c>
      <c r="D5539">
        <v>60.65</v>
      </c>
      <c r="E5539">
        <v>3.29</v>
      </c>
      <c r="F5539">
        <v>218.7687195</v>
      </c>
      <c r="G5539">
        <v>7.2439999999999998</v>
      </c>
      <c r="N5539" s="8"/>
    </row>
    <row r="5540" spans="1:14" x14ac:dyDescent="0.25">
      <c r="A5540" s="8">
        <v>40942</v>
      </c>
      <c r="B5540">
        <v>1396150.15</v>
      </c>
      <c r="C5540">
        <v>0</v>
      </c>
      <c r="D5540">
        <v>60.69</v>
      </c>
      <c r="E5540">
        <v>3.36</v>
      </c>
      <c r="F5540">
        <v>218.8619099</v>
      </c>
      <c r="G5540">
        <v>7.2439999999999998</v>
      </c>
      <c r="N5540" s="8"/>
    </row>
    <row r="5541" spans="1:14" x14ac:dyDescent="0.25">
      <c r="A5541" s="8">
        <v>40949</v>
      </c>
      <c r="B5541">
        <v>1442988.44</v>
      </c>
      <c r="C5541">
        <v>1</v>
      </c>
      <c r="D5541">
        <v>52.89</v>
      </c>
      <c r="E5541">
        <v>3.4089999999999998</v>
      </c>
      <c r="F5541">
        <v>218.9551002</v>
      </c>
      <c r="G5541">
        <v>7.2439999999999998</v>
      </c>
      <c r="N5541" s="8"/>
    </row>
    <row r="5542" spans="1:14" x14ac:dyDescent="0.25">
      <c r="A5542" s="8">
        <v>40956</v>
      </c>
      <c r="B5542">
        <v>1511041.69</v>
      </c>
      <c r="C5542">
        <v>0</v>
      </c>
      <c r="D5542">
        <v>52.75</v>
      </c>
      <c r="E5542">
        <v>3.51</v>
      </c>
      <c r="F5542">
        <v>219.1148297</v>
      </c>
      <c r="G5542">
        <v>7.2439999999999998</v>
      </c>
      <c r="N5542" s="8"/>
    </row>
    <row r="5543" spans="1:14" x14ac:dyDescent="0.25">
      <c r="A5543" s="8">
        <v>40963</v>
      </c>
      <c r="B5543">
        <v>1412065.04</v>
      </c>
      <c r="C5543">
        <v>0</v>
      </c>
      <c r="D5543">
        <v>61.1</v>
      </c>
      <c r="E5543">
        <v>3.5550000000000002</v>
      </c>
      <c r="F5543">
        <v>219.3244636</v>
      </c>
      <c r="G5543">
        <v>7.2439999999999998</v>
      </c>
      <c r="N5543" s="8"/>
    </row>
    <row r="5544" spans="1:14" x14ac:dyDescent="0.25">
      <c r="A5544" s="8">
        <v>40970</v>
      </c>
      <c r="B5544">
        <v>1453047.02</v>
      </c>
      <c r="C5544">
        <v>0</v>
      </c>
      <c r="D5544">
        <v>64.05</v>
      </c>
      <c r="E5544">
        <v>3.63</v>
      </c>
      <c r="F5544">
        <v>219.5340975</v>
      </c>
      <c r="G5544">
        <v>7.2439999999999998</v>
      </c>
      <c r="N5544" s="8"/>
    </row>
    <row r="5545" spans="1:14" x14ac:dyDescent="0.25">
      <c r="A5545" s="8">
        <v>40977</v>
      </c>
      <c r="B5545">
        <v>1470764.35</v>
      </c>
      <c r="C5545">
        <v>0</v>
      </c>
      <c r="D5545">
        <v>61.64</v>
      </c>
      <c r="E5545">
        <v>3.669</v>
      </c>
      <c r="F5545">
        <v>219.7437314</v>
      </c>
      <c r="G5545">
        <v>7.2439999999999998</v>
      </c>
      <c r="N5545" s="8"/>
    </row>
    <row r="5546" spans="1:14" x14ac:dyDescent="0.25">
      <c r="A5546" s="8">
        <v>40984</v>
      </c>
      <c r="B5546">
        <v>1522421.07</v>
      </c>
      <c r="C5546">
        <v>0</v>
      </c>
      <c r="D5546">
        <v>65.81</v>
      </c>
      <c r="E5546">
        <v>3.734</v>
      </c>
      <c r="F5546">
        <v>219.8956335</v>
      </c>
      <c r="G5546">
        <v>7.2439999999999998</v>
      </c>
      <c r="N5546" s="8"/>
    </row>
    <row r="5547" spans="1:14" x14ac:dyDescent="0.25">
      <c r="A5547" s="8">
        <v>40991</v>
      </c>
      <c r="B5547">
        <v>1469593.37</v>
      </c>
      <c r="C5547">
        <v>0</v>
      </c>
      <c r="D5547">
        <v>67.91</v>
      </c>
      <c r="E5547">
        <v>3.7869999999999999</v>
      </c>
      <c r="F5547">
        <v>219.97055990000001</v>
      </c>
      <c r="G5547">
        <v>7.2439999999999998</v>
      </c>
      <c r="N5547" s="8"/>
    </row>
    <row r="5548" spans="1:14" x14ac:dyDescent="0.25">
      <c r="A5548" s="8">
        <v>40998</v>
      </c>
      <c r="B5548">
        <v>1499727.02</v>
      </c>
      <c r="C5548">
        <v>0</v>
      </c>
      <c r="D5548">
        <v>69.11</v>
      </c>
      <c r="E5548">
        <v>3.8450000000000002</v>
      </c>
      <c r="F5548">
        <v>220.0454862</v>
      </c>
      <c r="G5548">
        <v>7.2439999999999998</v>
      </c>
      <c r="N5548" s="8"/>
    </row>
    <row r="5549" spans="1:14" x14ac:dyDescent="0.25">
      <c r="A5549" s="8">
        <v>41005</v>
      </c>
      <c r="B5549">
        <v>1764847.94</v>
      </c>
      <c r="C5549">
        <v>0</v>
      </c>
      <c r="D5549">
        <v>73.489999999999995</v>
      </c>
      <c r="E5549">
        <v>3.891</v>
      </c>
      <c r="F5549">
        <v>220.12041249999999</v>
      </c>
      <c r="G5549">
        <v>6.9889999999999999</v>
      </c>
      <c r="N5549" s="8"/>
    </row>
    <row r="5550" spans="1:14" x14ac:dyDescent="0.25">
      <c r="A5550" s="8">
        <v>41012</v>
      </c>
      <c r="B5550">
        <v>1580732.73</v>
      </c>
      <c r="C5550">
        <v>0</v>
      </c>
      <c r="D5550">
        <v>71.59</v>
      </c>
      <c r="E5550">
        <v>3.891</v>
      </c>
      <c r="F5550">
        <v>220.1953389</v>
      </c>
      <c r="G5550">
        <v>6.9889999999999999</v>
      </c>
      <c r="N5550" s="8"/>
    </row>
    <row r="5551" spans="1:14" x14ac:dyDescent="0.25">
      <c r="A5551" s="8">
        <v>41019</v>
      </c>
      <c r="B5551">
        <v>1433391.04</v>
      </c>
      <c r="C5551">
        <v>0</v>
      </c>
      <c r="D5551">
        <v>70.040000000000006</v>
      </c>
      <c r="E5551">
        <v>3.8769999999999998</v>
      </c>
      <c r="F5551">
        <v>220.24839370000001</v>
      </c>
      <c r="G5551">
        <v>6.9889999999999999</v>
      </c>
      <c r="N5551" s="8"/>
    </row>
    <row r="5552" spans="1:14" x14ac:dyDescent="0.25">
      <c r="A5552" s="8">
        <v>41026</v>
      </c>
      <c r="B5552">
        <v>1456997.2</v>
      </c>
      <c r="C5552">
        <v>0</v>
      </c>
      <c r="D5552">
        <v>69.11</v>
      </c>
      <c r="E5552">
        <v>3.8140000000000001</v>
      </c>
      <c r="F5552">
        <v>220.30144849999999</v>
      </c>
      <c r="G5552">
        <v>6.9889999999999999</v>
      </c>
      <c r="N5552" s="8"/>
    </row>
    <row r="5553" spans="1:14" x14ac:dyDescent="0.25">
      <c r="A5553" s="8">
        <v>41033</v>
      </c>
      <c r="B5553">
        <v>1512227.34</v>
      </c>
      <c r="C5553">
        <v>0</v>
      </c>
      <c r="D5553">
        <v>77.150000000000006</v>
      </c>
      <c r="E5553">
        <v>3.7490000000000001</v>
      </c>
      <c r="F5553">
        <v>220.3545033</v>
      </c>
      <c r="G5553">
        <v>6.9889999999999999</v>
      </c>
      <c r="N5553" s="8"/>
    </row>
    <row r="5554" spans="1:14" x14ac:dyDescent="0.25">
      <c r="A5554" s="8">
        <v>41040</v>
      </c>
      <c r="B5554">
        <v>1470792.41</v>
      </c>
      <c r="C5554">
        <v>0</v>
      </c>
      <c r="D5554">
        <v>75.52</v>
      </c>
      <c r="E5554">
        <v>3.6880000000000002</v>
      </c>
      <c r="F5554">
        <v>220.40755809999999</v>
      </c>
      <c r="G5554">
        <v>6.9889999999999999</v>
      </c>
      <c r="N5554" s="8"/>
    </row>
    <row r="5555" spans="1:14" x14ac:dyDescent="0.25">
      <c r="A5555" s="8">
        <v>41047</v>
      </c>
      <c r="B5555">
        <v>1522978.54</v>
      </c>
      <c r="C5555">
        <v>0</v>
      </c>
      <c r="D5555">
        <v>72.36</v>
      </c>
      <c r="E5555">
        <v>3.63</v>
      </c>
      <c r="F5555">
        <v>220.42521489999999</v>
      </c>
      <c r="G5555">
        <v>6.9889999999999999</v>
      </c>
      <c r="N5555" s="8"/>
    </row>
    <row r="5556" spans="1:14" x14ac:dyDescent="0.25">
      <c r="A5556" s="8">
        <v>41054</v>
      </c>
      <c r="B5556">
        <v>1596036.66</v>
      </c>
      <c r="C5556">
        <v>0</v>
      </c>
      <c r="D5556">
        <v>78.31</v>
      </c>
      <c r="E5556">
        <v>3.5609999999999999</v>
      </c>
      <c r="F5556">
        <v>220.42871239999999</v>
      </c>
      <c r="G5556">
        <v>6.9889999999999999</v>
      </c>
      <c r="N5556" s="8"/>
    </row>
    <row r="5557" spans="1:14" x14ac:dyDescent="0.25">
      <c r="A5557" s="8">
        <v>41061</v>
      </c>
      <c r="B5557">
        <v>1640476.77</v>
      </c>
      <c r="C5557">
        <v>0</v>
      </c>
      <c r="D5557">
        <v>80.33</v>
      </c>
      <c r="E5557">
        <v>3.5009999999999999</v>
      </c>
      <c r="F5557">
        <v>220.4322099</v>
      </c>
      <c r="G5557">
        <v>6.9889999999999999</v>
      </c>
      <c r="N5557" s="8"/>
    </row>
    <row r="5558" spans="1:14" x14ac:dyDescent="0.25">
      <c r="A5558" s="8">
        <v>41068</v>
      </c>
      <c r="B5558">
        <v>1623442.24</v>
      </c>
      <c r="C5558">
        <v>0</v>
      </c>
      <c r="D5558">
        <v>81.12</v>
      </c>
      <c r="E5558">
        <v>3.452</v>
      </c>
      <c r="F5558">
        <v>220.43570729999999</v>
      </c>
      <c r="G5558">
        <v>6.9889999999999999</v>
      </c>
      <c r="N5558" s="8"/>
    </row>
    <row r="5559" spans="1:14" x14ac:dyDescent="0.25">
      <c r="A5559" s="8">
        <v>41075</v>
      </c>
      <c r="B5559">
        <v>1587499.82</v>
      </c>
      <c r="C5559">
        <v>0</v>
      </c>
      <c r="D5559">
        <v>81.33</v>
      </c>
      <c r="E5559">
        <v>3.3929999999999998</v>
      </c>
      <c r="F5559">
        <v>220.4494148</v>
      </c>
      <c r="G5559">
        <v>6.9889999999999999</v>
      </c>
      <c r="N5559" s="8"/>
    </row>
    <row r="5560" spans="1:14" x14ac:dyDescent="0.25">
      <c r="A5560" s="8">
        <v>41082</v>
      </c>
      <c r="B5560">
        <v>1532316.79</v>
      </c>
      <c r="C5560">
        <v>0</v>
      </c>
      <c r="D5560">
        <v>79.84</v>
      </c>
      <c r="E5560">
        <v>3.3460000000000001</v>
      </c>
      <c r="F5560">
        <v>220.4886472</v>
      </c>
      <c r="G5560">
        <v>6.9889999999999999</v>
      </c>
      <c r="N5560" s="8"/>
    </row>
    <row r="5561" spans="1:14" x14ac:dyDescent="0.25">
      <c r="A5561" s="8">
        <v>41089</v>
      </c>
      <c r="B5561">
        <v>1492388.98</v>
      </c>
      <c r="C5561">
        <v>0</v>
      </c>
      <c r="D5561">
        <v>85.72</v>
      </c>
      <c r="E5561">
        <v>3.286</v>
      </c>
      <c r="F5561">
        <v>220.52787960000001</v>
      </c>
      <c r="G5561">
        <v>6.9889999999999999</v>
      </c>
      <c r="N5561" s="8"/>
    </row>
    <row r="5562" spans="1:14" x14ac:dyDescent="0.25">
      <c r="A5562" s="8">
        <v>41096</v>
      </c>
      <c r="B5562">
        <v>1659221.99</v>
      </c>
      <c r="C5562">
        <v>0</v>
      </c>
      <c r="D5562">
        <v>81.05</v>
      </c>
      <c r="E5562">
        <v>3.2269999999999999</v>
      </c>
      <c r="F5562">
        <v>220.56711200000001</v>
      </c>
      <c r="G5562">
        <v>6.6230000000000002</v>
      </c>
      <c r="N5562" s="8"/>
    </row>
    <row r="5563" spans="1:14" x14ac:dyDescent="0.25">
      <c r="A5563" s="8">
        <v>41103</v>
      </c>
      <c r="B5563">
        <v>1471261.76</v>
      </c>
      <c r="C5563">
        <v>0</v>
      </c>
      <c r="D5563">
        <v>78.16</v>
      </c>
      <c r="E5563">
        <v>3.2559999999999998</v>
      </c>
      <c r="F5563">
        <v>220.60634440000001</v>
      </c>
      <c r="G5563">
        <v>6.6230000000000002</v>
      </c>
      <c r="N5563" s="8"/>
    </row>
    <row r="5564" spans="1:14" x14ac:dyDescent="0.25">
      <c r="A5564" s="8">
        <v>41110</v>
      </c>
      <c r="B5564">
        <v>1582168.27</v>
      </c>
      <c r="C5564">
        <v>0</v>
      </c>
      <c r="D5564">
        <v>80.319999999999993</v>
      </c>
      <c r="E5564">
        <v>3.3109999999999999</v>
      </c>
      <c r="F5564">
        <v>220.61487489999999</v>
      </c>
      <c r="G5564">
        <v>6.6230000000000002</v>
      </c>
      <c r="N5564" s="8"/>
    </row>
    <row r="5565" spans="1:14" x14ac:dyDescent="0.25">
      <c r="A5565" s="8">
        <v>41117</v>
      </c>
      <c r="B5565">
        <v>1487797.54</v>
      </c>
      <c r="C5565">
        <v>0</v>
      </c>
      <c r="D5565">
        <v>82.89</v>
      </c>
      <c r="E5565">
        <v>3.407</v>
      </c>
      <c r="F5565">
        <v>220.6234054</v>
      </c>
      <c r="G5565">
        <v>6.6230000000000002</v>
      </c>
      <c r="N5565" s="8"/>
    </row>
    <row r="5566" spans="1:14" x14ac:dyDescent="0.25">
      <c r="A5566" s="8">
        <v>41124</v>
      </c>
      <c r="B5566">
        <v>1608277.74</v>
      </c>
      <c r="C5566">
        <v>0</v>
      </c>
      <c r="D5566">
        <v>84.05</v>
      </c>
      <c r="E5566">
        <v>3.4169999999999998</v>
      </c>
      <c r="F5566">
        <v>220.63193580000001</v>
      </c>
      <c r="G5566">
        <v>6.6230000000000002</v>
      </c>
      <c r="N5566" s="8"/>
    </row>
    <row r="5567" spans="1:14" x14ac:dyDescent="0.25">
      <c r="A5567" s="8">
        <v>41131</v>
      </c>
      <c r="B5567">
        <v>1641867.92</v>
      </c>
      <c r="C5567">
        <v>0</v>
      </c>
      <c r="D5567">
        <v>83.47</v>
      </c>
      <c r="E5567">
        <v>3.4940000000000002</v>
      </c>
      <c r="F5567">
        <v>220.64046630000001</v>
      </c>
      <c r="G5567">
        <v>6.6230000000000002</v>
      </c>
      <c r="N5567" s="8"/>
    </row>
    <row r="5568" spans="1:14" x14ac:dyDescent="0.25">
      <c r="A5568" s="8">
        <v>41138</v>
      </c>
      <c r="B5568">
        <v>1720221.91</v>
      </c>
      <c r="C5568">
        <v>0</v>
      </c>
      <c r="D5568">
        <v>84.72</v>
      </c>
      <c r="E5568">
        <v>3.5710000000000002</v>
      </c>
      <c r="F5568">
        <v>220.71996089999999</v>
      </c>
      <c r="G5568">
        <v>6.6230000000000002</v>
      </c>
      <c r="N5568" s="8"/>
    </row>
    <row r="5569" spans="1:14" x14ac:dyDescent="0.25">
      <c r="A5569" s="8">
        <v>41145</v>
      </c>
      <c r="B5569">
        <v>1724669.75</v>
      </c>
      <c r="C5569">
        <v>0</v>
      </c>
      <c r="D5569">
        <v>80.489999999999995</v>
      </c>
      <c r="E5569">
        <v>3.62</v>
      </c>
      <c r="F5569">
        <v>220.85267870000001</v>
      </c>
      <c r="G5569">
        <v>6.6230000000000002</v>
      </c>
      <c r="N5569" s="8"/>
    </row>
    <row r="5570" spans="1:14" x14ac:dyDescent="0.25">
      <c r="A5570" s="8">
        <v>41152</v>
      </c>
      <c r="B5570">
        <v>1710923.94</v>
      </c>
      <c r="C5570">
        <v>0</v>
      </c>
      <c r="D5570">
        <v>83.72</v>
      </c>
      <c r="E5570">
        <v>3.6379999999999999</v>
      </c>
      <c r="F5570">
        <v>220.98539640000001</v>
      </c>
      <c r="G5570">
        <v>6.6230000000000002</v>
      </c>
      <c r="N5570" s="8"/>
    </row>
    <row r="5571" spans="1:14" x14ac:dyDescent="0.25">
      <c r="A5571" s="8">
        <v>41159</v>
      </c>
      <c r="B5571">
        <v>1609811.75</v>
      </c>
      <c r="C5571">
        <v>1</v>
      </c>
      <c r="D5571">
        <v>83.71</v>
      </c>
      <c r="E5571">
        <v>3.73</v>
      </c>
      <c r="F5571">
        <v>221.11811420000001</v>
      </c>
      <c r="G5571">
        <v>6.6230000000000002</v>
      </c>
      <c r="N5571" s="8"/>
    </row>
    <row r="5572" spans="1:14" x14ac:dyDescent="0.25">
      <c r="A5572" s="8">
        <v>41166</v>
      </c>
      <c r="B5572">
        <v>1447614.08</v>
      </c>
      <c r="C5572">
        <v>0</v>
      </c>
      <c r="D5572">
        <v>76.709999999999994</v>
      </c>
      <c r="E5572">
        <v>3.7170000000000001</v>
      </c>
      <c r="F5572">
        <v>221.26012069999999</v>
      </c>
      <c r="G5572">
        <v>6.6230000000000002</v>
      </c>
      <c r="N5572" s="8"/>
    </row>
    <row r="5573" spans="1:14" x14ac:dyDescent="0.25">
      <c r="A5573" s="8">
        <v>41173</v>
      </c>
      <c r="B5573">
        <v>1555672.51</v>
      </c>
      <c r="C5573">
        <v>0</v>
      </c>
      <c r="D5573">
        <v>73.58</v>
      </c>
      <c r="E5573">
        <v>3.7210000000000001</v>
      </c>
      <c r="F5573">
        <v>221.45786039999999</v>
      </c>
      <c r="G5573">
        <v>6.6230000000000002</v>
      </c>
      <c r="N5573" s="8"/>
    </row>
    <row r="5574" spans="1:14" x14ac:dyDescent="0.25">
      <c r="A5574" s="8">
        <v>41180</v>
      </c>
      <c r="B5574">
        <v>1495607.07</v>
      </c>
      <c r="C5574">
        <v>0</v>
      </c>
      <c r="D5574">
        <v>78.040000000000006</v>
      </c>
      <c r="E5574">
        <v>3.6659999999999999</v>
      </c>
      <c r="F5574">
        <v>221.65559999999999</v>
      </c>
      <c r="G5574">
        <v>6.6230000000000002</v>
      </c>
      <c r="N5574" s="8"/>
    </row>
    <row r="5575" spans="1:14" x14ac:dyDescent="0.25">
      <c r="A5575" s="8">
        <v>41187</v>
      </c>
      <c r="B5575">
        <v>1574408.67</v>
      </c>
      <c r="C5575">
        <v>0</v>
      </c>
      <c r="D5575">
        <v>72.05</v>
      </c>
      <c r="E5575">
        <v>3.617</v>
      </c>
      <c r="F5575">
        <v>221.8533396</v>
      </c>
      <c r="G5575">
        <v>6.2279999999999998</v>
      </c>
      <c r="N5575" s="8"/>
    </row>
    <row r="5576" spans="1:14" x14ac:dyDescent="0.25">
      <c r="A5576" s="8">
        <v>41194</v>
      </c>
      <c r="B5576">
        <v>1494417.07</v>
      </c>
      <c r="C5576">
        <v>0</v>
      </c>
      <c r="D5576">
        <v>69.88</v>
      </c>
      <c r="E5576">
        <v>3.601</v>
      </c>
      <c r="F5576">
        <v>222.0510793</v>
      </c>
      <c r="G5576">
        <v>6.2279999999999998</v>
      </c>
      <c r="N5576" s="8"/>
    </row>
    <row r="5577" spans="1:14" x14ac:dyDescent="0.25">
      <c r="A5577" s="8">
        <v>41201</v>
      </c>
      <c r="B5577">
        <v>1577486.33</v>
      </c>
      <c r="C5577">
        <v>0</v>
      </c>
      <c r="D5577">
        <v>71.45</v>
      </c>
      <c r="E5577">
        <v>3.5939999999999999</v>
      </c>
      <c r="F5577">
        <v>222.0951719</v>
      </c>
      <c r="G5577">
        <v>6.2279999999999998</v>
      </c>
      <c r="N5577" s="8"/>
    </row>
    <row r="5578" spans="1:14" x14ac:dyDescent="0.25">
      <c r="A5578" s="8">
        <v>41208</v>
      </c>
      <c r="B5578">
        <v>1569502</v>
      </c>
      <c r="C5578">
        <v>0</v>
      </c>
      <c r="D5578">
        <v>72.900000000000006</v>
      </c>
      <c r="E5578">
        <v>3.5059999999999998</v>
      </c>
      <c r="F5578">
        <v>222.11365660000001</v>
      </c>
      <c r="G5578">
        <v>6.2279999999999998</v>
      </c>
      <c r="N5578" s="8"/>
    </row>
    <row r="5579" spans="1:14" x14ac:dyDescent="0.25">
      <c r="A5579" s="8">
        <v>40214</v>
      </c>
      <c r="B5579">
        <v>1001943.8</v>
      </c>
      <c r="C5579">
        <v>0</v>
      </c>
      <c r="D5579">
        <v>14.48</v>
      </c>
      <c r="E5579">
        <v>2.7879999999999998</v>
      </c>
      <c r="F5579">
        <v>131.5279032</v>
      </c>
      <c r="G5579">
        <v>5.8920000000000003</v>
      </c>
      <c r="N5579" s="8"/>
    </row>
    <row r="5580" spans="1:14" x14ac:dyDescent="0.25">
      <c r="A5580" s="8">
        <v>40221</v>
      </c>
      <c r="B5580">
        <v>955338.29</v>
      </c>
      <c r="C5580">
        <v>1</v>
      </c>
      <c r="D5580">
        <v>20.84</v>
      </c>
      <c r="E5580">
        <v>2.7709999999999999</v>
      </c>
      <c r="F5580">
        <v>131.58661290000001</v>
      </c>
      <c r="G5580">
        <v>5.8920000000000003</v>
      </c>
      <c r="N5580" s="8"/>
    </row>
    <row r="5581" spans="1:14" x14ac:dyDescent="0.25">
      <c r="A5581" s="8">
        <v>40228</v>
      </c>
      <c r="B5581">
        <v>916289.2</v>
      </c>
      <c r="C5581">
        <v>0</v>
      </c>
      <c r="D5581">
        <v>27.84</v>
      </c>
      <c r="E5581">
        <v>2.7469999999999999</v>
      </c>
      <c r="F5581">
        <v>131.637</v>
      </c>
      <c r="G5581">
        <v>5.8920000000000003</v>
      </c>
      <c r="N5581" s="8"/>
    </row>
    <row r="5582" spans="1:14" x14ac:dyDescent="0.25">
      <c r="A5582" s="8">
        <v>40235</v>
      </c>
      <c r="B5582">
        <v>863917.41</v>
      </c>
      <c r="C5582">
        <v>0</v>
      </c>
      <c r="D5582">
        <v>33.32</v>
      </c>
      <c r="E5582">
        <v>2.7530000000000001</v>
      </c>
      <c r="F5582">
        <v>131.68600000000001</v>
      </c>
      <c r="G5582">
        <v>5.8920000000000003</v>
      </c>
      <c r="N5582" s="8"/>
    </row>
    <row r="5583" spans="1:14" x14ac:dyDescent="0.25">
      <c r="A5583" s="8">
        <v>40242</v>
      </c>
      <c r="B5583">
        <v>990152.28</v>
      </c>
      <c r="C5583">
        <v>0</v>
      </c>
      <c r="D5583">
        <v>34.78</v>
      </c>
      <c r="E5583">
        <v>2.766</v>
      </c>
      <c r="F5583">
        <v>131.73500000000001</v>
      </c>
      <c r="G5583">
        <v>5.8920000000000003</v>
      </c>
      <c r="N5583" s="8"/>
    </row>
    <row r="5584" spans="1:14" x14ac:dyDescent="0.25">
      <c r="A5584" s="8">
        <v>40249</v>
      </c>
      <c r="B5584">
        <v>899352.4</v>
      </c>
      <c r="C5584">
        <v>0</v>
      </c>
      <c r="D5584">
        <v>35.1</v>
      </c>
      <c r="E5584">
        <v>2.8050000000000002</v>
      </c>
      <c r="F5584">
        <v>131.78399999999999</v>
      </c>
      <c r="G5584">
        <v>5.8920000000000003</v>
      </c>
      <c r="N5584" s="8"/>
    </row>
    <row r="5585" spans="1:14" x14ac:dyDescent="0.25">
      <c r="A5585" s="8">
        <v>40256</v>
      </c>
      <c r="B5585">
        <v>894865.3</v>
      </c>
      <c r="C5585">
        <v>0</v>
      </c>
      <c r="D5585">
        <v>40.54</v>
      </c>
      <c r="E5585">
        <v>2.8340000000000001</v>
      </c>
      <c r="F5585">
        <v>131.8242903</v>
      </c>
      <c r="G5585">
        <v>5.8920000000000003</v>
      </c>
      <c r="N5585" s="8"/>
    </row>
    <row r="5586" spans="1:14" x14ac:dyDescent="0.25">
      <c r="A5586" s="8">
        <v>40263</v>
      </c>
      <c r="B5586">
        <v>873354.58</v>
      </c>
      <c r="C5586">
        <v>0</v>
      </c>
      <c r="D5586">
        <v>39.51</v>
      </c>
      <c r="E5586">
        <v>2.831</v>
      </c>
      <c r="F5586">
        <v>131.86312899999999</v>
      </c>
      <c r="G5586">
        <v>5.8920000000000003</v>
      </c>
      <c r="N5586" s="8"/>
    </row>
    <row r="5587" spans="1:14" x14ac:dyDescent="0.25">
      <c r="A5587" s="8">
        <v>40270</v>
      </c>
      <c r="B5587">
        <v>1041202.13</v>
      </c>
      <c r="C5587">
        <v>0</v>
      </c>
      <c r="D5587">
        <v>41.39</v>
      </c>
      <c r="E5587">
        <v>2.8260000000000001</v>
      </c>
      <c r="F5587">
        <v>131.9019677</v>
      </c>
      <c r="G5587">
        <v>5.4349999999999996</v>
      </c>
      <c r="N5587" s="8"/>
    </row>
    <row r="5588" spans="1:14" x14ac:dyDescent="0.25">
      <c r="A5588" s="8">
        <v>40277</v>
      </c>
      <c r="B5588">
        <v>919839.19</v>
      </c>
      <c r="C5588">
        <v>0</v>
      </c>
      <c r="D5588">
        <v>54.31</v>
      </c>
      <c r="E5588">
        <v>2.8490000000000002</v>
      </c>
      <c r="F5588">
        <v>131.94080650000001</v>
      </c>
      <c r="G5588">
        <v>5.4349999999999996</v>
      </c>
      <c r="N5588" s="8"/>
    </row>
    <row r="5589" spans="1:14" x14ac:dyDescent="0.25">
      <c r="A5589" s="8">
        <v>40284</v>
      </c>
      <c r="B5589">
        <v>882636.96</v>
      </c>
      <c r="C5589">
        <v>0</v>
      </c>
      <c r="D5589">
        <v>43.3</v>
      </c>
      <c r="E5589">
        <v>2.8849999999999998</v>
      </c>
      <c r="F5589">
        <v>131.98089999999999</v>
      </c>
      <c r="G5589">
        <v>5.4349999999999996</v>
      </c>
      <c r="N5589" s="8"/>
    </row>
    <row r="5590" spans="1:14" x14ac:dyDescent="0.25">
      <c r="A5590" s="8">
        <v>40291</v>
      </c>
      <c r="B5590">
        <v>844958.49</v>
      </c>
      <c r="C5590">
        <v>0</v>
      </c>
      <c r="D5590">
        <v>45.85</v>
      </c>
      <c r="E5590">
        <v>2.895</v>
      </c>
      <c r="F5590">
        <v>132.0226667</v>
      </c>
      <c r="G5590">
        <v>5.4349999999999996</v>
      </c>
      <c r="N5590" s="8"/>
    </row>
    <row r="5591" spans="1:14" x14ac:dyDescent="0.25">
      <c r="A5591" s="8">
        <v>40298</v>
      </c>
      <c r="B5591">
        <v>816838.31</v>
      </c>
      <c r="C5591">
        <v>0</v>
      </c>
      <c r="D5591">
        <v>46.5</v>
      </c>
      <c r="E5591">
        <v>2.9350000000000001</v>
      </c>
      <c r="F5591">
        <v>132.06443329999999</v>
      </c>
      <c r="G5591">
        <v>5.4349999999999996</v>
      </c>
      <c r="N5591" s="8"/>
    </row>
    <row r="5592" spans="1:14" x14ac:dyDescent="0.25">
      <c r="A5592" s="8">
        <v>40305</v>
      </c>
      <c r="B5592">
        <v>1009797.06</v>
      </c>
      <c r="C5592">
        <v>0</v>
      </c>
      <c r="D5592">
        <v>60.05</v>
      </c>
      <c r="E5592">
        <v>2.9809999999999999</v>
      </c>
      <c r="F5592">
        <v>132.1062</v>
      </c>
      <c r="G5592">
        <v>5.4349999999999996</v>
      </c>
      <c r="N5592" s="8"/>
    </row>
    <row r="5593" spans="1:14" x14ac:dyDescent="0.25">
      <c r="A5593" s="8">
        <v>40312</v>
      </c>
      <c r="B5593">
        <v>907262.47</v>
      </c>
      <c r="C5593">
        <v>0</v>
      </c>
      <c r="D5593">
        <v>45.5</v>
      </c>
      <c r="E5593">
        <v>2.9830000000000001</v>
      </c>
      <c r="F5593">
        <v>132.152129</v>
      </c>
      <c r="G5593">
        <v>5.4349999999999996</v>
      </c>
      <c r="N5593" s="8"/>
    </row>
    <row r="5594" spans="1:14" x14ac:dyDescent="0.25">
      <c r="A5594" s="8">
        <v>40319</v>
      </c>
      <c r="B5594">
        <v>885613.91</v>
      </c>
      <c r="C5594">
        <v>0</v>
      </c>
      <c r="D5594">
        <v>56.75</v>
      </c>
      <c r="E5594">
        <v>2.9609999999999999</v>
      </c>
      <c r="F5594">
        <v>132.2230323</v>
      </c>
      <c r="G5594">
        <v>5.4349999999999996</v>
      </c>
      <c r="N5594" s="8"/>
    </row>
    <row r="5595" spans="1:14" x14ac:dyDescent="0.25">
      <c r="A5595" s="8">
        <v>40326</v>
      </c>
      <c r="B5595">
        <v>1008483.07</v>
      </c>
      <c r="C5595">
        <v>0</v>
      </c>
      <c r="D5595">
        <v>67.88</v>
      </c>
      <c r="E5595">
        <v>2.9060000000000001</v>
      </c>
      <c r="F5595">
        <v>132.2939355</v>
      </c>
      <c r="G5595">
        <v>5.4349999999999996</v>
      </c>
      <c r="N5595" s="8"/>
    </row>
    <row r="5596" spans="1:14" x14ac:dyDescent="0.25">
      <c r="A5596" s="8">
        <v>40333</v>
      </c>
      <c r="B5596">
        <v>1052429.03</v>
      </c>
      <c r="C5596">
        <v>0</v>
      </c>
      <c r="D5596">
        <v>65.7</v>
      </c>
      <c r="E5596">
        <v>2.8570000000000002</v>
      </c>
      <c r="F5596">
        <v>132.36483870000001</v>
      </c>
      <c r="G5596">
        <v>5.4349999999999996</v>
      </c>
      <c r="N5596" s="8"/>
    </row>
    <row r="5597" spans="1:14" x14ac:dyDescent="0.25">
      <c r="A5597" s="8">
        <v>40340</v>
      </c>
      <c r="B5597">
        <v>1007574.67</v>
      </c>
      <c r="C5597">
        <v>0</v>
      </c>
      <c r="D5597">
        <v>59.42</v>
      </c>
      <c r="E5597">
        <v>2.83</v>
      </c>
      <c r="F5597">
        <v>132.43574190000001</v>
      </c>
      <c r="G5597">
        <v>5.4349999999999996</v>
      </c>
      <c r="N5597" s="8"/>
    </row>
    <row r="5598" spans="1:14" x14ac:dyDescent="0.25">
      <c r="A5598" s="8">
        <v>40347</v>
      </c>
      <c r="B5598">
        <v>973105.3</v>
      </c>
      <c r="C5598">
        <v>0</v>
      </c>
      <c r="D5598">
        <v>60.97</v>
      </c>
      <c r="E5598">
        <v>2.8050000000000002</v>
      </c>
      <c r="F5598">
        <v>132.47333330000001</v>
      </c>
      <c r="G5598">
        <v>5.4349999999999996</v>
      </c>
      <c r="N5598" s="8"/>
    </row>
    <row r="5599" spans="1:14" x14ac:dyDescent="0.25">
      <c r="A5599" s="8">
        <v>40354</v>
      </c>
      <c r="B5599">
        <v>940405.03</v>
      </c>
      <c r="C5599">
        <v>0</v>
      </c>
      <c r="D5599">
        <v>69.72</v>
      </c>
      <c r="E5599">
        <v>2.81</v>
      </c>
      <c r="F5599">
        <v>132.49760000000001</v>
      </c>
      <c r="G5599">
        <v>5.4349999999999996</v>
      </c>
      <c r="N5599" s="8"/>
    </row>
    <row r="5600" spans="1:14" x14ac:dyDescent="0.25">
      <c r="A5600" s="8">
        <v>40361</v>
      </c>
      <c r="B5600">
        <v>1087578.78</v>
      </c>
      <c r="C5600">
        <v>0</v>
      </c>
      <c r="D5600">
        <v>65.47</v>
      </c>
      <c r="E5600">
        <v>2.8149999999999999</v>
      </c>
      <c r="F5600">
        <v>132.5218667</v>
      </c>
      <c r="G5600">
        <v>5.3259999999999996</v>
      </c>
      <c r="N5600" s="8"/>
    </row>
    <row r="5601" spans="1:14" x14ac:dyDescent="0.25">
      <c r="A5601" s="8">
        <v>40368</v>
      </c>
      <c r="B5601">
        <v>1058250.9099999999</v>
      </c>
      <c r="C5601">
        <v>0</v>
      </c>
      <c r="D5601">
        <v>76.67</v>
      </c>
      <c r="E5601">
        <v>2.806</v>
      </c>
      <c r="F5601">
        <v>132.54613330000001</v>
      </c>
      <c r="G5601">
        <v>5.3259999999999996</v>
      </c>
      <c r="N5601" s="8"/>
    </row>
    <row r="5602" spans="1:14" x14ac:dyDescent="0.25">
      <c r="A5602" s="8">
        <v>40375</v>
      </c>
      <c r="B5602">
        <v>959229.09</v>
      </c>
      <c r="C5602">
        <v>0</v>
      </c>
      <c r="D5602">
        <v>74.25</v>
      </c>
      <c r="E5602">
        <v>2.7959999999999998</v>
      </c>
      <c r="F5602">
        <v>132.5667742</v>
      </c>
      <c r="G5602">
        <v>5.3259999999999996</v>
      </c>
      <c r="N5602" s="8"/>
    </row>
    <row r="5603" spans="1:14" x14ac:dyDescent="0.25">
      <c r="A5603" s="8">
        <v>40382</v>
      </c>
      <c r="B5603">
        <v>922341.82</v>
      </c>
      <c r="C5603">
        <v>0</v>
      </c>
      <c r="D5603">
        <v>71.790000000000006</v>
      </c>
      <c r="E5603">
        <v>2.7839999999999998</v>
      </c>
      <c r="F5603">
        <v>132.5825806</v>
      </c>
      <c r="G5603">
        <v>5.3259999999999996</v>
      </c>
      <c r="N5603" s="8"/>
    </row>
    <row r="5604" spans="1:14" x14ac:dyDescent="0.25">
      <c r="A5604" s="8">
        <v>40389</v>
      </c>
      <c r="B5604">
        <v>953393.02</v>
      </c>
      <c r="C5604">
        <v>0</v>
      </c>
      <c r="D5604">
        <v>71.349999999999994</v>
      </c>
      <c r="E5604">
        <v>2.7919999999999998</v>
      </c>
      <c r="F5604">
        <v>132.5983871</v>
      </c>
      <c r="G5604">
        <v>5.3259999999999996</v>
      </c>
      <c r="N5604" s="8"/>
    </row>
    <row r="5605" spans="1:14" x14ac:dyDescent="0.25">
      <c r="A5605" s="8">
        <v>40396</v>
      </c>
      <c r="B5605">
        <v>1057295.8700000001</v>
      </c>
      <c r="C5605">
        <v>0</v>
      </c>
      <c r="D5605">
        <v>69.16</v>
      </c>
      <c r="E5605">
        <v>2.7919999999999998</v>
      </c>
      <c r="F5605">
        <v>132.6141935</v>
      </c>
      <c r="G5605">
        <v>5.3259999999999996</v>
      </c>
      <c r="N5605" s="8"/>
    </row>
    <row r="5606" spans="1:14" x14ac:dyDescent="0.25">
      <c r="A5606" s="8">
        <v>40403</v>
      </c>
      <c r="B5606">
        <v>924011.76</v>
      </c>
      <c r="C5606">
        <v>0</v>
      </c>
      <c r="D5606">
        <v>67.47</v>
      </c>
      <c r="E5606">
        <v>2.81</v>
      </c>
      <c r="F5606">
        <v>132.63</v>
      </c>
      <c r="G5606">
        <v>5.3259999999999996</v>
      </c>
      <c r="N5606" s="8"/>
    </row>
    <row r="5607" spans="1:14" x14ac:dyDescent="0.25">
      <c r="A5607" s="8">
        <v>40410</v>
      </c>
      <c r="B5607">
        <v>932397</v>
      </c>
      <c r="C5607">
        <v>0</v>
      </c>
      <c r="D5607">
        <v>67.05</v>
      </c>
      <c r="E5607">
        <v>2.7959999999999998</v>
      </c>
      <c r="F5607">
        <v>132.66161289999999</v>
      </c>
      <c r="G5607">
        <v>5.3259999999999996</v>
      </c>
      <c r="N5607" s="8"/>
    </row>
    <row r="5608" spans="1:14" x14ac:dyDescent="0.25">
      <c r="A5608" s="8">
        <v>40417</v>
      </c>
      <c r="B5608">
        <v>922328.02</v>
      </c>
      <c r="C5608">
        <v>0</v>
      </c>
      <c r="D5608">
        <v>62.57</v>
      </c>
      <c r="E5608">
        <v>2.77</v>
      </c>
      <c r="F5608">
        <v>132.69322579999999</v>
      </c>
      <c r="G5608">
        <v>5.3259999999999996</v>
      </c>
      <c r="N5608" s="8"/>
    </row>
    <row r="5609" spans="1:14" x14ac:dyDescent="0.25">
      <c r="A5609" s="8">
        <v>40424</v>
      </c>
      <c r="B5609">
        <v>976453.34</v>
      </c>
      <c r="C5609">
        <v>0</v>
      </c>
      <c r="D5609">
        <v>70.66</v>
      </c>
      <c r="E5609">
        <v>2.7349999999999999</v>
      </c>
      <c r="F5609">
        <v>132.72483869999999</v>
      </c>
      <c r="G5609">
        <v>5.3259999999999996</v>
      </c>
      <c r="N5609" s="8"/>
    </row>
    <row r="5610" spans="1:14" x14ac:dyDescent="0.25">
      <c r="A5610" s="8">
        <v>40431</v>
      </c>
      <c r="B5610">
        <v>967310.82</v>
      </c>
      <c r="C5610">
        <v>1</v>
      </c>
      <c r="D5610">
        <v>62.75</v>
      </c>
      <c r="E5610">
        <v>2.7170000000000001</v>
      </c>
      <c r="F5610">
        <v>132.75645159999999</v>
      </c>
      <c r="G5610">
        <v>5.3259999999999996</v>
      </c>
      <c r="N5610" s="8"/>
    </row>
    <row r="5611" spans="1:14" x14ac:dyDescent="0.25">
      <c r="A5611" s="8">
        <v>40438</v>
      </c>
      <c r="B5611">
        <v>855046.95</v>
      </c>
      <c r="C5611">
        <v>0</v>
      </c>
      <c r="D5611">
        <v>55.34</v>
      </c>
      <c r="E5611">
        <v>2.7160000000000002</v>
      </c>
      <c r="F5611">
        <v>132.76706669999999</v>
      </c>
      <c r="G5611">
        <v>5.3259999999999996</v>
      </c>
      <c r="N5611" s="8"/>
    </row>
    <row r="5612" spans="1:14" x14ac:dyDescent="0.25">
      <c r="A5612" s="8">
        <v>40445</v>
      </c>
      <c r="B5612">
        <v>844373.31</v>
      </c>
      <c r="C5612">
        <v>0</v>
      </c>
      <c r="D5612">
        <v>55.63</v>
      </c>
      <c r="E5612">
        <v>2.718</v>
      </c>
      <c r="F5612">
        <v>132.76193330000001</v>
      </c>
      <c r="G5612">
        <v>5.3259999999999996</v>
      </c>
      <c r="N5612" s="8"/>
    </row>
    <row r="5613" spans="1:14" x14ac:dyDescent="0.25">
      <c r="A5613" s="8">
        <v>40452</v>
      </c>
      <c r="B5613">
        <v>891152.33</v>
      </c>
      <c r="C5613">
        <v>0</v>
      </c>
      <c r="D5613">
        <v>62.01</v>
      </c>
      <c r="E5613">
        <v>2.7170000000000001</v>
      </c>
      <c r="F5613">
        <v>132.7568</v>
      </c>
      <c r="G5613">
        <v>5.2869999999999999</v>
      </c>
      <c r="N5613" s="8"/>
    </row>
    <row r="5614" spans="1:14" x14ac:dyDescent="0.25">
      <c r="A5614" s="8">
        <v>40459</v>
      </c>
      <c r="B5614">
        <v>972405.38</v>
      </c>
      <c r="C5614">
        <v>0</v>
      </c>
      <c r="D5614">
        <v>52.02</v>
      </c>
      <c r="E5614">
        <v>2.7759999999999998</v>
      </c>
      <c r="F5614">
        <v>132.75166669999999</v>
      </c>
      <c r="G5614">
        <v>5.2869999999999999</v>
      </c>
      <c r="N5614" s="8"/>
    </row>
    <row r="5615" spans="1:14" x14ac:dyDescent="0.25">
      <c r="A5615" s="8">
        <v>40466</v>
      </c>
      <c r="B5615">
        <v>917883.17</v>
      </c>
      <c r="C5615">
        <v>0</v>
      </c>
      <c r="D5615">
        <v>44.56</v>
      </c>
      <c r="E5615">
        <v>2.8780000000000001</v>
      </c>
      <c r="F5615">
        <v>132.7633548</v>
      </c>
      <c r="G5615">
        <v>5.2869999999999999</v>
      </c>
      <c r="N5615" s="8"/>
    </row>
    <row r="5616" spans="1:14" x14ac:dyDescent="0.25">
      <c r="A5616" s="8">
        <v>40473</v>
      </c>
      <c r="B5616">
        <v>882180.91</v>
      </c>
      <c r="C5616">
        <v>0</v>
      </c>
      <c r="D5616">
        <v>41.25</v>
      </c>
      <c r="E5616">
        <v>2.919</v>
      </c>
      <c r="F5616">
        <v>132.8170968</v>
      </c>
      <c r="G5616">
        <v>5.2869999999999999</v>
      </c>
      <c r="N5616" s="8"/>
    </row>
    <row r="5617" spans="1:14" x14ac:dyDescent="0.25">
      <c r="A5617" s="8">
        <v>40480</v>
      </c>
      <c r="B5617">
        <v>875038.84</v>
      </c>
      <c r="C5617">
        <v>0</v>
      </c>
      <c r="D5617">
        <v>47.1</v>
      </c>
      <c r="E5617">
        <v>2.9380000000000002</v>
      </c>
      <c r="F5617">
        <v>132.87083870000001</v>
      </c>
      <c r="G5617">
        <v>5.2869999999999999</v>
      </c>
      <c r="N5617" s="8"/>
    </row>
    <row r="5618" spans="1:14" x14ac:dyDescent="0.25">
      <c r="A5618" s="8">
        <v>40487</v>
      </c>
      <c r="B5618">
        <v>968270.66</v>
      </c>
      <c r="C5618">
        <v>0</v>
      </c>
      <c r="D5618">
        <v>36.450000000000003</v>
      </c>
      <c r="E5618">
        <v>2.9380000000000002</v>
      </c>
      <c r="F5618">
        <v>132.92458060000001</v>
      </c>
      <c r="G5618">
        <v>5.2869999999999999</v>
      </c>
      <c r="N5618" s="8"/>
    </row>
    <row r="5619" spans="1:14" x14ac:dyDescent="0.25">
      <c r="A5619" s="8">
        <v>40494</v>
      </c>
      <c r="B5619">
        <v>935481.32</v>
      </c>
      <c r="C5619">
        <v>0</v>
      </c>
      <c r="D5619">
        <v>38.5</v>
      </c>
      <c r="E5619">
        <v>2.9609999999999999</v>
      </c>
      <c r="F5619">
        <v>132.97832260000001</v>
      </c>
      <c r="G5619">
        <v>5.2869999999999999</v>
      </c>
      <c r="N5619" s="8"/>
    </row>
    <row r="5620" spans="1:14" x14ac:dyDescent="0.25">
      <c r="A5620" s="8">
        <v>40501</v>
      </c>
      <c r="B5620">
        <v>852452.93</v>
      </c>
      <c r="C5620">
        <v>0</v>
      </c>
      <c r="D5620">
        <v>40.520000000000003</v>
      </c>
      <c r="E5620">
        <v>3.03</v>
      </c>
      <c r="F5620">
        <v>132.91720000000001</v>
      </c>
      <c r="G5620">
        <v>5.2869999999999999</v>
      </c>
      <c r="N5620" s="8"/>
    </row>
    <row r="5621" spans="1:14" x14ac:dyDescent="0.25">
      <c r="A5621" s="8">
        <v>40508</v>
      </c>
      <c r="B5621">
        <v>1166142.8500000001</v>
      </c>
      <c r="C5621">
        <v>1</v>
      </c>
      <c r="D5621">
        <v>32.94</v>
      </c>
      <c r="E5621">
        <v>3.07</v>
      </c>
      <c r="F5621">
        <v>132.8369333</v>
      </c>
      <c r="G5621">
        <v>5.2869999999999999</v>
      </c>
      <c r="N5621" s="8"/>
    </row>
    <row r="5622" spans="1:14" x14ac:dyDescent="0.25">
      <c r="A5622" s="8">
        <v>40515</v>
      </c>
      <c r="B5622">
        <v>1000582.06</v>
      </c>
      <c r="C5622">
        <v>0</v>
      </c>
      <c r="D5622">
        <v>33.6</v>
      </c>
      <c r="E5622">
        <v>3.0649999999999999</v>
      </c>
      <c r="F5622">
        <v>132.75666670000001</v>
      </c>
      <c r="G5622">
        <v>5.2869999999999999</v>
      </c>
      <c r="N5622" s="8"/>
    </row>
    <row r="5623" spans="1:14" x14ac:dyDescent="0.25">
      <c r="A5623" s="8">
        <v>40522</v>
      </c>
      <c r="B5623">
        <v>1111215.72</v>
      </c>
      <c r="C5623">
        <v>0</v>
      </c>
      <c r="D5623">
        <v>21.64</v>
      </c>
      <c r="E5623">
        <v>3.1320000000000001</v>
      </c>
      <c r="F5623">
        <v>132.6764</v>
      </c>
      <c r="G5623">
        <v>5.2869999999999999</v>
      </c>
      <c r="N5623" s="8"/>
    </row>
    <row r="5624" spans="1:14" x14ac:dyDescent="0.25">
      <c r="A5624" s="8">
        <v>40529</v>
      </c>
      <c r="B5624">
        <v>1179036.3</v>
      </c>
      <c r="C5624">
        <v>0</v>
      </c>
      <c r="D5624">
        <v>23.01</v>
      </c>
      <c r="E5624">
        <v>3.1389999999999998</v>
      </c>
      <c r="F5624">
        <v>132.6804516</v>
      </c>
      <c r="G5624">
        <v>5.2869999999999999</v>
      </c>
      <c r="N5624" s="8"/>
    </row>
    <row r="5625" spans="1:14" x14ac:dyDescent="0.25">
      <c r="A5625" s="8">
        <v>40536</v>
      </c>
      <c r="B5625">
        <v>1648829.18</v>
      </c>
      <c r="C5625">
        <v>0</v>
      </c>
      <c r="D5625">
        <v>24.18</v>
      </c>
      <c r="E5625">
        <v>3.15</v>
      </c>
      <c r="F5625">
        <v>132.74774189999999</v>
      </c>
      <c r="G5625">
        <v>5.2869999999999999</v>
      </c>
      <c r="N5625" s="8"/>
    </row>
    <row r="5626" spans="1:14" x14ac:dyDescent="0.25">
      <c r="A5626" s="8">
        <v>40543</v>
      </c>
      <c r="B5626">
        <v>811318.3</v>
      </c>
      <c r="C5626">
        <v>1</v>
      </c>
      <c r="D5626">
        <v>19.29</v>
      </c>
      <c r="E5626">
        <v>3.177</v>
      </c>
      <c r="F5626">
        <v>132.81503230000001</v>
      </c>
      <c r="G5626">
        <v>5.2869999999999999</v>
      </c>
      <c r="N5626" s="8"/>
    </row>
    <row r="5627" spans="1:14" x14ac:dyDescent="0.25">
      <c r="A5627" s="8">
        <v>40550</v>
      </c>
      <c r="B5627">
        <v>894280.19</v>
      </c>
      <c r="C5627">
        <v>0</v>
      </c>
      <c r="D5627">
        <v>24.05</v>
      </c>
      <c r="E5627">
        <v>3.1930000000000001</v>
      </c>
      <c r="F5627">
        <v>132.88232260000001</v>
      </c>
      <c r="G5627">
        <v>5.1139999999999999</v>
      </c>
      <c r="N5627" s="8"/>
    </row>
    <row r="5628" spans="1:14" x14ac:dyDescent="0.25">
      <c r="A5628" s="8">
        <v>40557</v>
      </c>
      <c r="B5628">
        <v>771315.62</v>
      </c>
      <c r="C5628">
        <v>0</v>
      </c>
      <c r="D5628">
        <v>18.55</v>
      </c>
      <c r="E5628">
        <v>3.2149999999999999</v>
      </c>
      <c r="F5628">
        <v>132.9510645</v>
      </c>
      <c r="G5628">
        <v>5.1139999999999999</v>
      </c>
      <c r="N5628" s="8"/>
    </row>
    <row r="5629" spans="1:14" x14ac:dyDescent="0.25">
      <c r="A5629" s="8">
        <v>40564</v>
      </c>
      <c r="B5629">
        <v>764014.75</v>
      </c>
      <c r="C5629">
        <v>0</v>
      </c>
      <c r="D5629">
        <v>14.64</v>
      </c>
      <c r="E5629">
        <v>3.2320000000000002</v>
      </c>
      <c r="F5629">
        <v>133.02851609999999</v>
      </c>
      <c r="G5629">
        <v>5.1139999999999999</v>
      </c>
      <c r="N5629" s="8"/>
    </row>
    <row r="5630" spans="1:14" x14ac:dyDescent="0.25">
      <c r="A5630" s="8">
        <v>40571</v>
      </c>
      <c r="B5630">
        <v>775910.43</v>
      </c>
      <c r="C5630">
        <v>0</v>
      </c>
      <c r="D5630">
        <v>9.51</v>
      </c>
      <c r="E5630">
        <v>3.2429999999999999</v>
      </c>
      <c r="F5630">
        <v>133.10596770000001</v>
      </c>
      <c r="G5630">
        <v>5.1139999999999999</v>
      </c>
      <c r="N5630" s="8"/>
    </row>
    <row r="5631" spans="1:14" x14ac:dyDescent="0.25">
      <c r="A5631" s="8">
        <v>40578</v>
      </c>
      <c r="B5631">
        <v>904261.65</v>
      </c>
      <c r="C5631">
        <v>0</v>
      </c>
      <c r="D5631">
        <v>13.29</v>
      </c>
      <c r="E5631">
        <v>3.24</v>
      </c>
      <c r="F5631">
        <v>133.18341939999999</v>
      </c>
      <c r="G5631">
        <v>5.1139999999999999</v>
      </c>
      <c r="N5631" s="8"/>
    </row>
    <row r="5632" spans="1:14" x14ac:dyDescent="0.25">
      <c r="A5632" s="8">
        <v>40585</v>
      </c>
      <c r="B5632">
        <v>931939.52</v>
      </c>
      <c r="C5632">
        <v>1</v>
      </c>
      <c r="D5632">
        <v>16.87</v>
      </c>
      <c r="E5632">
        <v>3.2549999999999999</v>
      </c>
      <c r="F5632">
        <v>133.26087100000001</v>
      </c>
      <c r="G5632">
        <v>5.1139999999999999</v>
      </c>
      <c r="N5632" s="8"/>
    </row>
    <row r="5633" spans="1:14" x14ac:dyDescent="0.25">
      <c r="A5633" s="8">
        <v>40592</v>
      </c>
      <c r="B5633">
        <v>968694.45</v>
      </c>
      <c r="C5633">
        <v>0</v>
      </c>
      <c r="D5633">
        <v>21.82</v>
      </c>
      <c r="E5633">
        <v>3.2629999999999999</v>
      </c>
      <c r="F5633">
        <v>133.37014289999999</v>
      </c>
      <c r="G5633">
        <v>5.1139999999999999</v>
      </c>
      <c r="N5633" s="8"/>
    </row>
    <row r="5634" spans="1:14" x14ac:dyDescent="0.25">
      <c r="A5634" s="8">
        <v>40599</v>
      </c>
      <c r="B5634">
        <v>888869.27</v>
      </c>
      <c r="C5634">
        <v>0</v>
      </c>
      <c r="D5634">
        <v>16.5</v>
      </c>
      <c r="E5634">
        <v>3.2810000000000001</v>
      </c>
      <c r="F5634">
        <v>133.4921429</v>
      </c>
      <c r="G5634">
        <v>5.1139999999999999</v>
      </c>
      <c r="N5634" s="8"/>
    </row>
    <row r="5635" spans="1:14" x14ac:dyDescent="0.25">
      <c r="A5635" s="8">
        <v>40606</v>
      </c>
      <c r="B5635">
        <v>977070.62</v>
      </c>
      <c r="C5635">
        <v>0</v>
      </c>
      <c r="D5635">
        <v>18.489999999999998</v>
      </c>
      <c r="E5635">
        <v>3.4369999999999998</v>
      </c>
      <c r="F5635">
        <v>133.61414289999999</v>
      </c>
      <c r="G5635">
        <v>5.1139999999999999</v>
      </c>
      <c r="N5635" s="8"/>
    </row>
    <row r="5636" spans="1:14" x14ac:dyDescent="0.25">
      <c r="A5636" s="8">
        <v>40613</v>
      </c>
      <c r="B5636">
        <v>860255.58</v>
      </c>
      <c r="C5636">
        <v>0</v>
      </c>
      <c r="D5636">
        <v>30.53</v>
      </c>
      <c r="E5636">
        <v>3.6</v>
      </c>
      <c r="F5636">
        <v>133.7361429</v>
      </c>
      <c r="G5636">
        <v>5.1139999999999999</v>
      </c>
      <c r="N5636" s="8"/>
    </row>
    <row r="5637" spans="1:14" x14ac:dyDescent="0.25">
      <c r="A5637" s="8">
        <v>40620</v>
      </c>
      <c r="B5637">
        <v>871024.26</v>
      </c>
      <c r="C5637">
        <v>0</v>
      </c>
      <c r="D5637">
        <v>35.76</v>
      </c>
      <c r="E5637">
        <v>3.6339999999999999</v>
      </c>
      <c r="F5637">
        <v>133.8492258</v>
      </c>
      <c r="G5637">
        <v>5.1139999999999999</v>
      </c>
      <c r="N5637" s="8"/>
    </row>
    <row r="5638" spans="1:14" x14ac:dyDescent="0.25">
      <c r="A5638" s="8">
        <v>40627</v>
      </c>
      <c r="B5638">
        <v>834621.39</v>
      </c>
      <c r="C5638">
        <v>0</v>
      </c>
      <c r="D5638">
        <v>28.89</v>
      </c>
      <c r="E5638">
        <v>3.6240000000000001</v>
      </c>
      <c r="F5638">
        <v>133.95874190000001</v>
      </c>
      <c r="G5638">
        <v>5.1139999999999999</v>
      </c>
      <c r="N5638" s="8"/>
    </row>
    <row r="5639" spans="1:14" x14ac:dyDescent="0.25">
      <c r="A5639" s="8">
        <v>40634</v>
      </c>
      <c r="B5639">
        <v>841889.08</v>
      </c>
      <c r="C5639">
        <v>0</v>
      </c>
      <c r="D5639">
        <v>28.6</v>
      </c>
      <c r="E5639">
        <v>3.6379999999999999</v>
      </c>
      <c r="F5639">
        <v>134.06825810000001</v>
      </c>
      <c r="G5639">
        <v>4.7809999999999997</v>
      </c>
      <c r="N5639" s="8"/>
    </row>
    <row r="5640" spans="1:14" x14ac:dyDescent="0.25">
      <c r="A5640" s="8">
        <v>40641</v>
      </c>
      <c r="B5640">
        <v>947753.32</v>
      </c>
      <c r="C5640">
        <v>0</v>
      </c>
      <c r="D5640">
        <v>34.770000000000003</v>
      </c>
      <c r="E5640">
        <v>3.72</v>
      </c>
      <c r="F5640">
        <v>134.17777419999999</v>
      </c>
      <c r="G5640">
        <v>4.7809999999999997</v>
      </c>
      <c r="N5640" s="8"/>
    </row>
    <row r="5641" spans="1:14" x14ac:dyDescent="0.25">
      <c r="A5641" s="8">
        <v>40648</v>
      </c>
      <c r="B5641">
        <v>874446.32</v>
      </c>
      <c r="C5641">
        <v>0</v>
      </c>
      <c r="D5641">
        <v>43.69</v>
      </c>
      <c r="E5641">
        <v>3.823</v>
      </c>
      <c r="F5641">
        <v>134.2784667</v>
      </c>
      <c r="G5641">
        <v>4.7809999999999997</v>
      </c>
      <c r="N5641" s="8"/>
    </row>
    <row r="5642" spans="1:14" x14ac:dyDescent="0.25">
      <c r="A5642" s="8">
        <v>40655</v>
      </c>
      <c r="B5642">
        <v>965056.4</v>
      </c>
      <c r="C5642">
        <v>0</v>
      </c>
      <c r="D5642">
        <v>39.32</v>
      </c>
      <c r="E5642">
        <v>3.919</v>
      </c>
      <c r="F5642">
        <v>134.3571</v>
      </c>
      <c r="G5642">
        <v>4.7809999999999997</v>
      </c>
      <c r="N5642" s="8"/>
    </row>
    <row r="5643" spans="1:14" x14ac:dyDescent="0.25">
      <c r="A5643" s="8">
        <v>40662</v>
      </c>
      <c r="B5643">
        <v>847246.5</v>
      </c>
      <c r="C5643">
        <v>0</v>
      </c>
      <c r="D5643">
        <v>52.68</v>
      </c>
      <c r="E5643">
        <v>3.988</v>
      </c>
      <c r="F5643">
        <v>134.43573330000001</v>
      </c>
      <c r="G5643">
        <v>4.7809999999999997</v>
      </c>
      <c r="N5643" s="8"/>
    </row>
    <row r="5644" spans="1:14" x14ac:dyDescent="0.25">
      <c r="A5644" s="8">
        <v>40669</v>
      </c>
      <c r="B5644">
        <v>1016752.55</v>
      </c>
      <c r="C5644">
        <v>0</v>
      </c>
      <c r="D5644">
        <v>50.81</v>
      </c>
      <c r="E5644">
        <v>4.0780000000000003</v>
      </c>
      <c r="F5644">
        <v>134.51436670000001</v>
      </c>
      <c r="G5644">
        <v>4.7809999999999997</v>
      </c>
      <c r="N5644" s="8"/>
    </row>
    <row r="5645" spans="1:14" x14ac:dyDescent="0.25">
      <c r="A5645" s="8">
        <v>40676</v>
      </c>
      <c r="B5645">
        <v>903864.02</v>
      </c>
      <c r="C5645">
        <v>0</v>
      </c>
      <c r="D5645">
        <v>54.09</v>
      </c>
      <c r="E5645">
        <v>4.0949999999999998</v>
      </c>
      <c r="F5645">
        <v>134.59299999999999</v>
      </c>
      <c r="G5645">
        <v>4.7809999999999997</v>
      </c>
      <c r="N5645" s="8"/>
    </row>
    <row r="5646" spans="1:14" x14ac:dyDescent="0.25">
      <c r="A5646" s="8">
        <v>40683</v>
      </c>
      <c r="B5646">
        <v>907110.83</v>
      </c>
      <c r="C5646">
        <v>0</v>
      </c>
      <c r="D5646">
        <v>56.38</v>
      </c>
      <c r="E5646">
        <v>4.101</v>
      </c>
      <c r="F5646">
        <v>134.68038709999999</v>
      </c>
      <c r="G5646">
        <v>4.7809999999999997</v>
      </c>
      <c r="N5646" s="8"/>
    </row>
    <row r="5647" spans="1:14" x14ac:dyDescent="0.25">
      <c r="A5647" s="8">
        <v>40690</v>
      </c>
      <c r="B5647">
        <v>972373.81</v>
      </c>
      <c r="C5647">
        <v>0</v>
      </c>
      <c r="D5647">
        <v>63.11</v>
      </c>
      <c r="E5647">
        <v>4.0339999999999998</v>
      </c>
      <c r="F5647">
        <v>134.76777419999999</v>
      </c>
      <c r="G5647">
        <v>4.7809999999999997</v>
      </c>
      <c r="N5647" s="8"/>
    </row>
    <row r="5648" spans="1:14" x14ac:dyDescent="0.25">
      <c r="A5648" s="8">
        <v>40697</v>
      </c>
      <c r="B5648">
        <v>1075687.74</v>
      </c>
      <c r="C5648">
        <v>0</v>
      </c>
      <c r="D5648">
        <v>66.16</v>
      </c>
      <c r="E5648">
        <v>3.9729999999999999</v>
      </c>
      <c r="F5648">
        <v>134.85516129999999</v>
      </c>
      <c r="G5648">
        <v>4.7809999999999997</v>
      </c>
      <c r="N5648" s="8"/>
    </row>
    <row r="5649" spans="1:14" x14ac:dyDescent="0.25">
      <c r="A5649" s="8">
        <v>40704</v>
      </c>
      <c r="B5649">
        <v>984336.04</v>
      </c>
      <c r="C5649">
        <v>0</v>
      </c>
      <c r="D5649">
        <v>64.19</v>
      </c>
      <c r="E5649">
        <v>3.9239999999999999</v>
      </c>
      <c r="F5649">
        <v>134.94254839999999</v>
      </c>
      <c r="G5649">
        <v>4.7809999999999997</v>
      </c>
      <c r="N5649" s="8"/>
    </row>
    <row r="5650" spans="1:14" x14ac:dyDescent="0.25">
      <c r="A5650" s="8">
        <v>40711</v>
      </c>
      <c r="B5650">
        <v>971422.67</v>
      </c>
      <c r="C5650">
        <v>0</v>
      </c>
      <c r="D5650">
        <v>59.16</v>
      </c>
      <c r="E5650">
        <v>3.8730000000000002</v>
      </c>
      <c r="F5650">
        <v>135.08373330000001</v>
      </c>
      <c r="G5650">
        <v>4.7809999999999997</v>
      </c>
      <c r="N5650" s="8"/>
    </row>
    <row r="5651" spans="1:14" x14ac:dyDescent="0.25">
      <c r="A5651" s="8">
        <v>40718</v>
      </c>
      <c r="B5651">
        <v>977103.64</v>
      </c>
      <c r="C5651">
        <v>0</v>
      </c>
      <c r="D5651">
        <v>62.59</v>
      </c>
      <c r="E5651">
        <v>3.851</v>
      </c>
      <c r="F5651">
        <v>135.26526670000001</v>
      </c>
      <c r="G5651">
        <v>4.7809999999999997</v>
      </c>
      <c r="N5651" s="8"/>
    </row>
    <row r="5652" spans="1:14" x14ac:dyDescent="0.25">
      <c r="A5652" s="8">
        <v>40725</v>
      </c>
      <c r="B5652">
        <v>1048866.3</v>
      </c>
      <c r="C5652">
        <v>0</v>
      </c>
      <c r="D5652">
        <v>65.25</v>
      </c>
      <c r="E5652">
        <v>3.8149999999999999</v>
      </c>
      <c r="F5652">
        <v>135.4468</v>
      </c>
      <c r="G5652">
        <v>4.5839999999999996</v>
      </c>
      <c r="N5652" s="8"/>
    </row>
    <row r="5653" spans="1:14" x14ac:dyDescent="0.25">
      <c r="A5653" s="8">
        <v>40732</v>
      </c>
      <c r="B5653">
        <v>1107366.06</v>
      </c>
      <c r="C5653">
        <v>0</v>
      </c>
      <c r="D5653">
        <v>67.86</v>
      </c>
      <c r="E5653">
        <v>3.7839999999999998</v>
      </c>
      <c r="F5653">
        <v>135.62833330000001</v>
      </c>
      <c r="G5653">
        <v>4.5839999999999996</v>
      </c>
      <c r="N5653" s="8"/>
    </row>
    <row r="5654" spans="1:14" x14ac:dyDescent="0.25">
      <c r="A5654" s="8">
        <v>40739</v>
      </c>
      <c r="B5654">
        <v>953252.14</v>
      </c>
      <c r="C5654">
        <v>0</v>
      </c>
      <c r="D5654">
        <v>68.900000000000006</v>
      </c>
      <c r="E5654">
        <v>3.827</v>
      </c>
      <c r="F5654">
        <v>135.7837419</v>
      </c>
      <c r="G5654">
        <v>4.5839999999999996</v>
      </c>
      <c r="N5654" s="8"/>
    </row>
    <row r="5655" spans="1:14" x14ac:dyDescent="0.25">
      <c r="A5655" s="8">
        <v>40746</v>
      </c>
      <c r="B5655">
        <v>980642.1</v>
      </c>
      <c r="C5655">
        <v>0</v>
      </c>
      <c r="D5655">
        <v>73.34</v>
      </c>
      <c r="E5655">
        <v>3.8820000000000001</v>
      </c>
      <c r="F5655">
        <v>135.87383869999999</v>
      </c>
      <c r="G5655">
        <v>4.5839999999999996</v>
      </c>
      <c r="N5655" s="8"/>
    </row>
    <row r="5656" spans="1:14" x14ac:dyDescent="0.25">
      <c r="A5656" s="8">
        <v>40753</v>
      </c>
      <c r="B5656">
        <v>929096.9</v>
      </c>
      <c r="C5656">
        <v>0</v>
      </c>
      <c r="D5656">
        <v>67.45</v>
      </c>
      <c r="E5656">
        <v>3.8980000000000001</v>
      </c>
      <c r="F5656">
        <v>135.96393549999999</v>
      </c>
      <c r="G5656">
        <v>4.5839999999999996</v>
      </c>
      <c r="N5656" s="8"/>
    </row>
    <row r="5657" spans="1:14" x14ac:dyDescent="0.25">
      <c r="A5657" s="8">
        <v>40760</v>
      </c>
      <c r="B5657">
        <v>1063818.2</v>
      </c>
      <c r="C5657">
        <v>0</v>
      </c>
      <c r="D5657">
        <v>68.099999999999994</v>
      </c>
      <c r="E5657">
        <v>3.903</v>
      </c>
      <c r="F5657">
        <v>136.05403229999999</v>
      </c>
      <c r="G5657">
        <v>4.5839999999999996</v>
      </c>
      <c r="N5657" s="8"/>
    </row>
    <row r="5658" spans="1:14" x14ac:dyDescent="0.25">
      <c r="A5658" s="8">
        <v>40767</v>
      </c>
      <c r="B5658">
        <v>955506.95</v>
      </c>
      <c r="C5658">
        <v>0</v>
      </c>
      <c r="D5658">
        <v>68.3</v>
      </c>
      <c r="E5658">
        <v>3.88</v>
      </c>
      <c r="F5658">
        <v>136.14412899999999</v>
      </c>
      <c r="G5658">
        <v>4.5839999999999996</v>
      </c>
      <c r="N5658" s="8"/>
    </row>
    <row r="5659" spans="1:14" x14ac:dyDescent="0.25">
      <c r="A5659" s="8">
        <v>40774</v>
      </c>
      <c r="B5659">
        <v>943237.12</v>
      </c>
      <c r="C5659">
        <v>0</v>
      </c>
      <c r="D5659">
        <v>64.05</v>
      </c>
      <c r="E5659">
        <v>3.82</v>
      </c>
      <c r="F5659">
        <v>136.18312900000001</v>
      </c>
      <c r="G5659">
        <v>4.5839999999999996</v>
      </c>
      <c r="N5659" s="8"/>
    </row>
    <row r="5660" spans="1:14" x14ac:dyDescent="0.25">
      <c r="A5660" s="8">
        <v>40781</v>
      </c>
      <c r="B5660">
        <v>969611.3</v>
      </c>
      <c r="C5660">
        <v>0</v>
      </c>
      <c r="D5660">
        <v>65.010000000000005</v>
      </c>
      <c r="E5660">
        <v>3.7959999999999998</v>
      </c>
      <c r="F5660">
        <v>136.21361289999999</v>
      </c>
      <c r="G5660">
        <v>4.5839999999999996</v>
      </c>
      <c r="N5660" s="8"/>
    </row>
    <row r="5661" spans="1:14" x14ac:dyDescent="0.25">
      <c r="A5661" s="8">
        <v>40788</v>
      </c>
      <c r="B5661">
        <v>957298.26</v>
      </c>
      <c r="C5661">
        <v>0</v>
      </c>
      <c r="D5661">
        <v>63.79</v>
      </c>
      <c r="E5661">
        <v>3.7839999999999998</v>
      </c>
      <c r="F5661">
        <v>136.24409679999999</v>
      </c>
      <c r="G5661">
        <v>4.5839999999999996</v>
      </c>
      <c r="N5661" s="8"/>
    </row>
    <row r="5662" spans="1:14" x14ac:dyDescent="0.25">
      <c r="A5662" s="8">
        <v>40795</v>
      </c>
      <c r="B5662">
        <v>1021391.99</v>
      </c>
      <c r="C5662">
        <v>1</v>
      </c>
      <c r="D5662">
        <v>64.83</v>
      </c>
      <c r="E5662">
        <v>3.8090000000000002</v>
      </c>
      <c r="F5662">
        <v>136.27458060000001</v>
      </c>
      <c r="G5662">
        <v>4.5839999999999996</v>
      </c>
      <c r="N5662" s="8"/>
    </row>
    <row r="5663" spans="1:14" x14ac:dyDescent="0.25">
      <c r="A5663" s="8">
        <v>40802</v>
      </c>
      <c r="B5663">
        <v>890661.79</v>
      </c>
      <c r="C5663">
        <v>0</v>
      </c>
      <c r="D5663">
        <v>58.28</v>
      </c>
      <c r="E5663">
        <v>3.8090000000000002</v>
      </c>
      <c r="F5663">
        <v>136.31450000000001</v>
      </c>
      <c r="G5663">
        <v>4.5839999999999996</v>
      </c>
      <c r="N5663" s="8"/>
    </row>
    <row r="5664" spans="1:14" x14ac:dyDescent="0.25">
      <c r="A5664" s="8">
        <v>40809</v>
      </c>
      <c r="B5664">
        <v>876583.98</v>
      </c>
      <c r="C5664">
        <v>0</v>
      </c>
      <c r="D5664">
        <v>54.09</v>
      </c>
      <c r="E5664">
        <v>3.758</v>
      </c>
      <c r="F5664">
        <v>136.36699999999999</v>
      </c>
      <c r="G5664">
        <v>4.5839999999999996</v>
      </c>
      <c r="N5664" s="8"/>
    </row>
    <row r="5665" spans="1:14" x14ac:dyDescent="0.25">
      <c r="A5665" s="8">
        <v>40816</v>
      </c>
      <c r="B5665">
        <v>912857.1</v>
      </c>
      <c r="C5665">
        <v>0</v>
      </c>
      <c r="D5665">
        <v>63.45</v>
      </c>
      <c r="E5665">
        <v>3.6840000000000002</v>
      </c>
      <c r="F5665">
        <v>136.4195</v>
      </c>
      <c r="G5665">
        <v>4.5839999999999996</v>
      </c>
      <c r="N5665" s="8"/>
    </row>
    <row r="5666" spans="1:14" x14ac:dyDescent="0.25">
      <c r="A5666" s="8">
        <v>40823</v>
      </c>
      <c r="B5666">
        <v>1070389.98</v>
      </c>
      <c r="C5666">
        <v>0</v>
      </c>
      <c r="D5666">
        <v>50.21</v>
      </c>
      <c r="E5666">
        <v>3.633</v>
      </c>
      <c r="F5666">
        <v>136.47200000000001</v>
      </c>
      <c r="G5666">
        <v>4.42</v>
      </c>
      <c r="N5666" s="8"/>
    </row>
    <row r="5667" spans="1:14" x14ac:dyDescent="0.25">
      <c r="A5667" s="8">
        <v>40830</v>
      </c>
      <c r="B5667">
        <v>936751.68</v>
      </c>
      <c r="C5667">
        <v>0</v>
      </c>
      <c r="D5667">
        <v>53.9</v>
      </c>
      <c r="E5667">
        <v>3.5830000000000002</v>
      </c>
      <c r="F5667">
        <v>136.51509680000001</v>
      </c>
      <c r="G5667">
        <v>4.42</v>
      </c>
      <c r="N5667" s="8"/>
    </row>
    <row r="5668" spans="1:14" x14ac:dyDescent="0.25">
      <c r="A5668" s="8">
        <v>40837</v>
      </c>
      <c r="B5668">
        <v>942319.65</v>
      </c>
      <c r="C5668">
        <v>0</v>
      </c>
      <c r="D5668">
        <v>51.61</v>
      </c>
      <c r="E5668">
        <v>3.6179999999999999</v>
      </c>
      <c r="F5668">
        <v>136.5017742</v>
      </c>
      <c r="G5668">
        <v>4.42</v>
      </c>
      <c r="N5668" s="8"/>
    </row>
    <row r="5669" spans="1:14" x14ac:dyDescent="0.25">
      <c r="A5669" s="8">
        <v>40844</v>
      </c>
      <c r="B5669">
        <v>941675.95</v>
      </c>
      <c r="C5669">
        <v>0</v>
      </c>
      <c r="D5669">
        <v>42.09</v>
      </c>
      <c r="E5669">
        <v>3.6040000000000001</v>
      </c>
      <c r="F5669">
        <v>136.48845159999999</v>
      </c>
      <c r="G5669">
        <v>4.42</v>
      </c>
      <c r="N5669" s="8"/>
    </row>
    <row r="5670" spans="1:14" x14ac:dyDescent="0.25">
      <c r="A5670" s="8">
        <v>40851</v>
      </c>
      <c r="B5670">
        <v>1011321.18</v>
      </c>
      <c r="C5670">
        <v>0</v>
      </c>
      <c r="D5670">
        <v>35.4</v>
      </c>
      <c r="E5670">
        <v>3.5859999999999999</v>
      </c>
      <c r="F5670">
        <v>136.47512900000001</v>
      </c>
      <c r="G5670">
        <v>4.42</v>
      </c>
      <c r="N5670" s="8"/>
    </row>
    <row r="5671" spans="1:14" x14ac:dyDescent="0.25">
      <c r="A5671" s="8">
        <v>40858</v>
      </c>
      <c r="B5671">
        <v>1037687.07</v>
      </c>
      <c r="C5671">
        <v>0</v>
      </c>
      <c r="D5671">
        <v>40.75</v>
      </c>
      <c r="E5671">
        <v>3.57</v>
      </c>
      <c r="F5671">
        <v>136.46180649999999</v>
      </c>
      <c r="G5671">
        <v>4.42</v>
      </c>
      <c r="N5671" s="8"/>
    </row>
    <row r="5672" spans="1:14" x14ac:dyDescent="0.25">
      <c r="A5672" s="8">
        <v>40865</v>
      </c>
      <c r="B5672">
        <v>905399.99</v>
      </c>
      <c r="C5672">
        <v>0</v>
      </c>
      <c r="D5672">
        <v>41.85</v>
      </c>
      <c r="E5672">
        <v>3.5710000000000002</v>
      </c>
      <c r="F5672">
        <v>136.46666669999999</v>
      </c>
      <c r="G5672">
        <v>4.42</v>
      </c>
      <c r="N5672" s="8"/>
    </row>
    <row r="5673" spans="1:14" x14ac:dyDescent="0.25">
      <c r="A5673" s="8">
        <v>40872</v>
      </c>
      <c r="B5673">
        <v>1230011.95</v>
      </c>
      <c r="C5673">
        <v>1</v>
      </c>
      <c r="D5673">
        <v>32.76</v>
      </c>
      <c r="E5673">
        <v>3.536</v>
      </c>
      <c r="F5673">
        <v>136.47880000000001</v>
      </c>
      <c r="G5673">
        <v>4.42</v>
      </c>
      <c r="N5673" s="8"/>
    </row>
    <row r="5674" spans="1:14" x14ac:dyDescent="0.25">
      <c r="A5674" s="8">
        <v>40879</v>
      </c>
      <c r="B5674">
        <v>1059676.6200000001</v>
      </c>
      <c r="C5674">
        <v>0</v>
      </c>
      <c r="D5674">
        <v>38.51</v>
      </c>
      <c r="E5674">
        <v>3.5009999999999999</v>
      </c>
      <c r="F5674">
        <v>136.49093329999999</v>
      </c>
      <c r="G5674">
        <v>4.42</v>
      </c>
      <c r="N5674" s="8"/>
    </row>
    <row r="5675" spans="1:14" x14ac:dyDescent="0.25">
      <c r="A5675" s="8">
        <v>40886</v>
      </c>
      <c r="B5675">
        <v>1158708.98</v>
      </c>
      <c r="C5675">
        <v>0</v>
      </c>
      <c r="D5675">
        <v>34.479999999999997</v>
      </c>
      <c r="E5675">
        <v>3.47</v>
      </c>
      <c r="F5675">
        <v>136.50306670000001</v>
      </c>
      <c r="G5675">
        <v>4.42</v>
      </c>
      <c r="N5675" s="8"/>
    </row>
    <row r="5676" spans="1:14" x14ac:dyDescent="0.25">
      <c r="A5676" s="8">
        <v>40893</v>
      </c>
      <c r="B5676">
        <v>1198670.19</v>
      </c>
      <c r="C5676">
        <v>0</v>
      </c>
      <c r="D5676">
        <v>29.53</v>
      </c>
      <c r="E5676">
        <v>3.4449999999999998</v>
      </c>
      <c r="F5676">
        <v>136.53351610000001</v>
      </c>
      <c r="G5676">
        <v>4.42</v>
      </c>
      <c r="N5676" s="8"/>
    </row>
    <row r="5677" spans="1:14" x14ac:dyDescent="0.25">
      <c r="A5677" s="8">
        <v>40900</v>
      </c>
      <c r="B5677">
        <v>1601585.7</v>
      </c>
      <c r="C5677">
        <v>0</v>
      </c>
      <c r="D5677">
        <v>24.46</v>
      </c>
      <c r="E5677">
        <v>3.4129999999999998</v>
      </c>
      <c r="F5677">
        <v>136.58838710000001</v>
      </c>
      <c r="G5677">
        <v>4.42</v>
      </c>
      <c r="N5677" s="8"/>
    </row>
    <row r="5678" spans="1:14" x14ac:dyDescent="0.25">
      <c r="A5678" s="8">
        <v>40907</v>
      </c>
      <c r="B5678">
        <v>908853.15</v>
      </c>
      <c r="C5678">
        <v>1</v>
      </c>
      <c r="D5678">
        <v>18.75</v>
      </c>
      <c r="E5678">
        <v>3.4020000000000001</v>
      </c>
      <c r="F5678">
        <v>136.6432581</v>
      </c>
      <c r="G5678">
        <v>4.42</v>
      </c>
      <c r="N5678" s="8"/>
    </row>
    <row r="5679" spans="1:14" x14ac:dyDescent="0.25">
      <c r="A5679" s="8">
        <v>40914</v>
      </c>
      <c r="B5679">
        <v>954576.86</v>
      </c>
      <c r="C5679">
        <v>0</v>
      </c>
      <c r="D5679">
        <v>23.29</v>
      </c>
      <c r="E5679">
        <v>3.4390000000000001</v>
      </c>
      <c r="F5679">
        <v>136.69812899999999</v>
      </c>
      <c r="G5679">
        <v>4.2610000000000001</v>
      </c>
      <c r="N5679" s="8"/>
    </row>
    <row r="5680" spans="1:14" x14ac:dyDescent="0.25">
      <c r="A5680" s="8">
        <v>40921</v>
      </c>
      <c r="B5680">
        <v>780607.52</v>
      </c>
      <c r="C5680">
        <v>0</v>
      </c>
      <c r="D5680">
        <v>25.9</v>
      </c>
      <c r="E5680">
        <v>3.5230000000000001</v>
      </c>
      <c r="F5680">
        <v>136.75299999999999</v>
      </c>
      <c r="G5680">
        <v>4.2610000000000001</v>
      </c>
      <c r="N5680" s="8"/>
    </row>
    <row r="5681" spans="1:14" x14ac:dyDescent="0.25">
      <c r="A5681" s="8">
        <v>40928</v>
      </c>
      <c r="B5681">
        <v>811365.42</v>
      </c>
      <c r="C5681">
        <v>0</v>
      </c>
      <c r="D5681">
        <v>14.02</v>
      </c>
      <c r="E5681">
        <v>3.5419999999999998</v>
      </c>
      <c r="F5681">
        <v>136.85641939999999</v>
      </c>
      <c r="G5681">
        <v>4.2610000000000001</v>
      </c>
      <c r="N5681" s="8"/>
    </row>
    <row r="5682" spans="1:14" x14ac:dyDescent="0.25">
      <c r="A5682" s="8">
        <v>40935</v>
      </c>
      <c r="B5682">
        <v>770157.29</v>
      </c>
      <c r="C5682">
        <v>0</v>
      </c>
      <c r="D5682">
        <v>22.91</v>
      </c>
      <c r="E5682">
        <v>3.5680000000000001</v>
      </c>
      <c r="F5682">
        <v>136.95983870000001</v>
      </c>
      <c r="G5682">
        <v>4.2610000000000001</v>
      </c>
      <c r="N5682" s="8"/>
    </row>
    <row r="5683" spans="1:14" x14ac:dyDescent="0.25">
      <c r="A5683" s="8">
        <v>40942</v>
      </c>
      <c r="B5683">
        <v>979552.34</v>
      </c>
      <c r="C5683">
        <v>0</v>
      </c>
      <c r="D5683">
        <v>27.86</v>
      </c>
      <c r="E5683">
        <v>3.633</v>
      </c>
      <c r="F5683">
        <v>137.06325810000001</v>
      </c>
      <c r="G5683">
        <v>4.2610000000000001</v>
      </c>
      <c r="N5683" s="8"/>
    </row>
    <row r="5684" spans="1:14" x14ac:dyDescent="0.25">
      <c r="A5684" s="8">
        <v>40949</v>
      </c>
      <c r="B5684">
        <v>999785.48</v>
      </c>
      <c r="C5684">
        <v>1</v>
      </c>
      <c r="D5684">
        <v>23.92</v>
      </c>
      <c r="E5684">
        <v>3.6549999999999998</v>
      </c>
      <c r="F5684">
        <v>137.1666774</v>
      </c>
      <c r="G5684">
        <v>4.2610000000000001</v>
      </c>
      <c r="N5684" s="8"/>
    </row>
    <row r="5685" spans="1:14" x14ac:dyDescent="0.25">
      <c r="A5685" s="8">
        <v>40956</v>
      </c>
      <c r="B5685">
        <v>975500.87</v>
      </c>
      <c r="C5685">
        <v>0</v>
      </c>
      <c r="D5685">
        <v>25.56</v>
      </c>
      <c r="E5685">
        <v>3.7029999999999998</v>
      </c>
      <c r="F5685">
        <v>137.25831030000001</v>
      </c>
      <c r="G5685">
        <v>4.2610000000000001</v>
      </c>
      <c r="N5685" s="8"/>
    </row>
    <row r="5686" spans="1:14" x14ac:dyDescent="0.25">
      <c r="A5686" s="8">
        <v>40963</v>
      </c>
      <c r="B5686">
        <v>919301.81</v>
      </c>
      <c r="C5686">
        <v>0</v>
      </c>
      <c r="D5686">
        <v>29.88</v>
      </c>
      <c r="E5686">
        <v>3.7509999999999999</v>
      </c>
      <c r="F5686">
        <v>137.34110340000001</v>
      </c>
      <c r="G5686">
        <v>4.2610000000000001</v>
      </c>
      <c r="N5686" s="8"/>
    </row>
    <row r="5687" spans="1:14" x14ac:dyDescent="0.25">
      <c r="A5687" s="8">
        <v>40970</v>
      </c>
      <c r="B5687">
        <v>927732.02</v>
      </c>
      <c r="C5687">
        <v>0</v>
      </c>
      <c r="D5687">
        <v>23.79</v>
      </c>
      <c r="E5687">
        <v>3.827</v>
      </c>
      <c r="F5687">
        <v>137.42389660000001</v>
      </c>
      <c r="G5687">
        <v>4.2610000000000001</v>
      </c>
      <c r="N5687" s="8"/>
    </row>
    <row r="5688" spans="1:14" x14ac:dyDescent="0.25">
      <c r="A5688" s="8">
        <v>40977</v>
      </c>
      <c r="B5688">
        <v>954233.87</v>
      </c>
      <c r="C5688">
        <v>0</v>
      </c>
      <c r="D5688">
        <v>30.58</v>
      </c>
      <c r="E5688">
        <v>3.8759999999999999</v>
      </c>
      <c r="F5688">
        <v>137.50668970000001</v>
      </c>
      <c r="G5688">
        <v>4.2610000000000001</v>
      </c>
      <c r="N5688" s="8"/>
    </row>
    <row r="5689" spans="1:14" x14ac:dyDescent="0.25">
      <c r="A5689" s="8">
        <v>40984</v>
      </c>
      <c r="B5689">
        <v>891154.18</v>
      </c>
      <c r="C5689">
        <v>0</v>
      </c>
      <c r="D5689">
        <v>37.130000000000003</v>
      </c>
      <c r="E5689">
        <v>3.867</v>
      </c>
      <c r="F5689">
        <v>137.58438709999999</v>
      </c>
      <c r="G5689">
        <v>4.2610000000000001</v>
      </c>
      <c r="N5689" s="8"/>
    </row>
    <row r="5690" spans="1:14" x14ac:dyDescent="0.25">
      <c r="A5690" s="8">
        <v>40991</v>
      </c>
      <c r="B5690">
        <v>844490.86</v>
      </c>
      <c r="C5690">
        <v>0</v>
      </c>
      <c r="D5690">
        <v>52.27</v>
      </c>
      <c r="E5690">
        <v>3.8889999999999998</v>
      </c>
      <c r="F5690">
        <v>137.65529029999999</v>
      </c>
      <c r="G5690">
        <v>4.2610000000000001</v>
      </c>
      <c r="N5690" s="8"/>
    </row>
    <row r="5691" spans="1:14" x14ac:dyDescent="0.25">
      <c r="A5691" s="8">
        <v>40998</v>
      </c>
      <c r="B5691">
        <v>871945.64</v>
      </c>
      <c r="C5691">
        <v>0</v>
      </c>
      <c r="D5691">
        <v>36.25</v>
      </c>
      <c r="E5691">
        <v>3.9209999999999998</v>
      </c>
      <c r="F5691">
        <v>137.72619349999999</v>
      </c>
      <c r="G5691">
        <v>4.2610000000000001</v>
      </c>
      <c r="N5691" s="8"/>
    </row>
    <row r="5692" spans="1:14" x14ac:dyDescent="0.25">
      <c r="A5692" s="8">
        <v>41005</v>
      </c>
      <c r="B5692">
        <v>1132064.23</v>
      </c>
      <c r="C5692">
        <v>0</v>
      </c>
      <c r="D5692">
        <v>36.54</v>
      </c>
      <c r="E5692">
        <v>3.9569999999999999</v>
      </c>
      <c r="F5692">
        <v>137.79709679999999</v>
      </c>
      <c r="G5692">
        <v>4.125</v>
      </c>
      <c r="N5692" s="8"/>
    </row>
    <row r="5693" spans="1:14" x14ac:dyDescent="0.25">
      <c r="A5693" s="8">
        <v>41012</v>
      </c>
      <c r="B5693">
        <v>857811.17</v>
      </c>
      <c r="C5693">
        <v>0</v>
      </c>
      <c r="D5693">
        <v>40.65</v>
      </c>
      <c r="E5693">
        <v>4.0250000000000004</v>
      </c>
      <c r="F5693">
        <v>137.86799999999999</v>
      </c>
      <c r="G5693">
        <v>4.125</v>
      </c>
      <c r="N5693" s="8"/>
    </row>
    <row r="5694" spans="1:14" x14ac:dyDescent="0.25">
      <c r="A5694" s="8">
        <v>41019</v>
      </c>
      <c r="B5694">
        <v>896979.93</v>
      </c>
      <c r="C5694">
        <v>0</v>
      </c>
      <c r="D5694">
        <v>55.3</v>
      </c>
      <c r="E5694">
        <v>4.0460000000000003</v>
      </c>
      <c r="F5694">
        <v>137.92306669999999</v>
      </c>
      <c r="G5694">
        <v>4.125</v>
      </c>
      <c r="N5694" s="8"/>
    </row>
    <row r="5695" spans="1:14" x14ac:dyDescent="0.25">
      <c r="A5695" s="8">
        <v>41026</v>
      </c>
      <c r="B5695">
        <v>875372.91</v>
      </c>
      <c r="C5695">
        <v>0</v>
      </c>
      <c r="D5695">
        <v>47.51</v>
      </c>
      <c r="E5695">
        <v>4.0229999999999997</v>
      </c>
      <c r="F5695">
        <v>137.9781333</v>
      </c>
      <c r="G5695">
        <v>4.125</v>
      </c>
      <c r="N5695" s="8"/>
    </row>
    <row r="5696" spans="1:14" x14ac:dyDescent="0.25">
      <c r="A5696" s="8">
        <v>41033</v>
      </c>
      <c r="B5696">
        <v>993311.59</v>
      </c>
      <c r="C5696">
        <v>0</v>
      </c>
      <c r="D5696">
        <v>44.47</v>
      </c>
      <c r="E5696">
        <v>3.9910000000000001</v>
      </c>
      <c r="F5696">
        <v>138.03319999999999</v>
      </c>
      <c r="G5696">
        <v>4.125</v>
      </c>
      <c r="N5696" s="8"/>
    </row>
    <row r="5697" spans="1:14" x14ac:dyDescent="0.25">
      <c r="A5697" s="8">
        <v>41040</v>
      </c>
      <c r="B5697">
        <v>967729.35</v>
      </c>
      <c r="C5697">
        <v>0</v>
      </c>
      <c r="D5697">
        <v>52.06</v>
      </c>
      <c r="E5697">
        <v>3.9470000000000001</v>
      </c>
      <c r="F5697">
        <v>138.08826669999999</v>
      </c>
      <c r="G5697">
        <v>4.125</v>
      </c>
      <c r="N5697" s="8"/>
    </row>
    <row r="5698" spans="1:14" x14ac:dyDescent="0.25">
      <c r="A5698" s="8">
        <v>41047</v>
      </c>
      <c r="B5698">
        <v>896295.41</v>
      </c>
      <c r="C5698">
        <v>0</v>
      </c>
      <c r="D5698">
        <v>57.59</v>
      </c>
      <c r="E5698">
        <v>3.899</v>
      </c>
      <c r="F5698">
        <v>138.1065806</v>
      </c>
      <c r="G5698">
        <v>4.125</v>
      </c>
      <c r="N5698" s="8"/>
    </row>
    <row r="5699" spans="1:14" x14ac:dyDescent="0.25">
      <c r="A5699" s="8">
        <v>41054</v>
      </c>
      <c r="B5699">
        <v>991054.49</v>
      </c>
      <c r="C5699">
        <v>0</v>
      </c>
      <c r="D5699">
        <v>65.25</v>
      </c>
      <c r="E5699">
        <v>3.85</v>
      </c>
      <c r="F5699">
        <v>138.11019350000001</v>
      </c>
      <c r="G5699">
        <v>4.125</v>
      </c>
      <c r="N5699" s="8"/>
    </row>
    <row r="5700" spans="1:14" x14ac:dyDescent="0.25">
      <c r="A5700" s="8">
        <v>41061</v>
      </c>
      <c r="B5700">
        <v>1037464.27</v>
      </c>
      <c r="C5700">
        <v>0</v>
      </c>
      <c r="D5700">
        <v>64.75</v>
      </c>
      <c r="E5700">
        <v>3.798</v>
      </c>
      <c r="F5700">
        <v>138.11380650000001</v>
      </c>
      <c r="G5700">
        <v>4.125</v>
      </c>
      <c r="N5700" s="8"/>
    </row>
    <row r="5701" spans="1:14" x14ac:dyDescent="0.25">
      <c r="A5701" s="8">
        <v>41068</v>
      </c>
      <c r="B5701">
        <v>1079386.8799999999</v>
      </c>
      <c r="C5701">
        <v>0</v>
      </c>
      <c r="D5701">
        <v>55.78</v>
      </c>
      <c r="E5701">
        <v>3.746</v>
      </c>
      <c r="F5701">
        <v>138.11741939999999</v>
      </c>
      <c r="G5701">
        <v>4.125</v>
      </c>
      <c r="N5701" s="8"/>
    </row>
    <row r="5702" spans="1:14" x14ac:dyDescent="0.25">
      <c r="A5702" s="8">
        <v>41075</v>
      </c>
      <c r="B5702">
        <v>977950.28</v>
      </c>
      <c r="C5702">
        <v>0</v>
      </c>
      <c r="D5702">
        <v>63.39</v>
      </c>
      <c r="E5702">
        <v>3.6829999999999998</v>
      </c>
      <c r="F5702">
        <v>138.12953329999999</v>
      </c>
      <c r="G5702">
        <v>4.125</v>
      </c>
      <c r="N5702" s="8"/>
    </row>
    <row r="5703" spans="1:14" x14ac:dyDescent="0.25">
      <c r="A5703" s="8">
        <v>41082</v>
      </c>
      <c r="B5703">
        <v>1033552.18</v>
      </c>
      <c r="C5703">
        <v>0</v>
      </c>
      <c r="D5703">
        <v>69.319999999999993</v>
      </c>
      <c r="E5703">
        <v>3.629</v>
      </c>
      <c r="F5703">
        <v>138.16290000000001</v>
      </c>
      <c r="G5703">
        <v>4.125</v>
      </c>
      <c r="N5703" s="8"/>
    </row>
    <row r="5704" spans="1:14" x14ac:dyDescent="0.25">
      <c r="A5704" s="8">
        <v>41089</v>
      </c>
      <c r="B5704">
        <v>988764.84</v>
      </c>
      <c r="C5704">
        <v>0</v>
      </c>
      <c r="D5704">
        <v>64.42</v>
      </c>
      <c r="E5704">
        <v>3.577</v>
      </c>
      <c r="F5704">
        <v>138.1962667</v>
      </c>
      <c r="G5704">
        <v>4.125</v>
      </c>
      <c r="N5704" s="8"/>
    </row>
    <row r="5705" spans="1:14" x14ac:dyDescent="0.25">
      <c r="A5705" s="8">
        <v>41096</v>
      </c>
      <c r="B5705">
        <v>1182901.56</v>
      </c>
      <c r="C5705">
        <v>0</v>
      </c>
      <c r="D5705">
        <v>69.08</v>
      </c>
      <c r="E5705">
        <v>3.5379999999999998</v>
      </c>
      <c r="F5705">
        <v>138.22963329999999</v>
      </c>
      <c r="G5705">
        <v>4.1559999999999997</v>
      </c>
      <c r="N5705" s="8"/>
    </row>
    <row r="5706" spans="1:14" x14ac:dyDescent="0.25">
      <c r="A5706" s="8">
        <v>41103</v>
      </c>
      <c r="B5706">
        <v>979848.71</v>
      </c>
      <c r="C5706">
        <v>0</v>
      </c>
      <c r="D5706">
        <v>67.48</v>
      </c>
      <c r="E5706">
        <v>3.5609999999999999</v>
      </c>
      <c r="F5706">
        <v>138.26300000000001</v>
      </c>
      <c r="G5706">
        <v>4.1559999999999997</v>
      </c>
      <c r="N5706" s="8"/>
    </row>
    <row r="5707" spans="1:14" x14ac:dyDescent="0.25">
      <c r="A5707" s="8">
        <v>41110</v>
      </c>
      <c r="B5707">
        <v>968502.38</v>
      </c>
      <c r="C5707">
        <v>0</v>
      </c>
      <c r="D5707">
        <v>70.45</v>
      </c>
      <c r="E5707">
        <v>3.61</v>
      </c>
      <c r="F5707">
        <v>138.2331935</v>
      </c>
      <c r="G5707">
        <v>4.1559999999999997</v>
      </c>
      <c r="N5707" s="8"/>
    </row>
    <row r="5708" spans="1:14" x14ac:dyDescent="0.25">
      <c r="A5708" s="8">
        <v>41117</v>
      </c>
      <c r="B5708">
        <v>954396.85</v>
      </c>
      <c r="C5708">
        <v>0</v>
      </c>
      <c r="D5708">
        <v>67.88</v>
      </c>
      <c r="E5708">
        <v>3.7010000000000001</v>
      </c>
      <c r="F5708">
        <v>138.20338709999999</v>
      </c>
      <c r="G5708">
        <v>4.1559999999999997</v>
      </c>
      <c r="N5708" s="8"/>
    </row>
    <row r="5709" spans="1:14" x14ac:dyDescent="0.25">
      <c r="A5709" s="8">
        <v>41124</v>
      </c>
      <c r="B5709">
        <v>1068346.76</v>
      </c>
      <c r="C5709">
        <v>0</v>
      </c>
      <c r="D5709">
        <v>70.150000000000006</v>
      </c>
      <c r="E5709">
        <v>3.698</v>
      </c>
      <c r="F5709">
        <v>138.17358060000001</v>
      </c>
      <c r="G5709">
        <v>4.1559999999999997</v>
      </c>
      <c r="N5709" s="8"/>
    </row>
    <row r="5710" spans="1:14" x14ac:dyDescent="0.25">
      <c r="A5710" s="8">
        <v>41131</v>
      </c>
      <c r="B5710">
        <v>1007906.43</v>
      </c>
      <c r="C5710">
        <v>0</v>
      </c>
      <c r="D5710">
        <v>70.09</v>
      </c>
      <c r="E5710">
        <v>3.7719999999999998</v>
      </c>
      <c r="F5710">
        <v>138.1437742</v>
      </c>
      <c r="G5710">
        <v>4.1559999999999997</v>
      </c>
      <c r="N5710" s="8"/>
    </row>
    <row r="5711" spans="1:14" x14ac:dyDescent="0.25">
      <c r="A5711" s="8">
        <v>41138</v>
      </c>
      <c r="B5711">
        <v>969387.48</v>
      </c>
      <c r="C5711">
        <v>0</v>
      </c>
      <c r="D5711">
        <v>69.41</v>
      </c>
      <c r="E5711">
        <v>3.84</v>
      </c>
      <c r="F5711">
        <v>138.18570969999999</v>
      </c>
      <c r="G5711">
        <v>4.1559999999999997</v>
      </c>
      <c r="N5711" s="8"/>
    </row>
    <row r="5712" spans="1:14" x14ac:dyDescent="0.25">
      <c r="A5712" s="8">
        <v>41145</v>
      </c>
      <c r="B5712">
        <v>945318.47</v>
      </c>
      <c r="C5712">
        <v>0</v>
      </c>
      <c r="D5712">
        <v>63.91</v>
      </c>
      <c r="E5712">
        <v>3.8740000000000001</v>
      </c>
      <c r="F5712">
        <v>138.2814516</v>
      </c>
      <c r="G5712">
        <v>4.1559999999999997</v>
      </c>
      <c r="N5712" s="8"/>
    </row>
    <row r="5713" spans="1:14" x14ac:dyDescent="0.25">
      <c r="A5713" s="8">
        <v>41152</v>
      </c>
      <c r="B5713">
        <v>987264.67</v>
      </c>
      <c r="C5713">
        <v>0</v>
      </c>
      <c r="D5713">
        <v>66.11</v>
      </c>
      <c r="E5713">
        <v>3.8839999999999999</v>
      </c>
      <c r="F5713">
        <v>138.3771935</v>
      </c>
      <c r="G5713">
        <v>4.1559999999999997</v>
      </c>
      <c r="N5713" s="8"/>
    </row>
    <row r="5714" spans="1:14" x14ac:dyDescent="0.25">
      <c r="A5714" s="8">
        <v>41159</v>
      </c>
      <c r="B5714">
        <v>1088248.3999999999</v>
      </c>
      <c r="C5714">
        <v>1</v>
      </c>
      <c r="D5714">
        <v>65.06</v>
      </c>
      <c r="E5714">
        <v>3.9209999999999998</v>
      </c>
      <c r="F5714">
        <v>138.47293550000001</v>
      </c>
      <c r="G5714">
        <v>4.1559999999999997</v>
      </c>
      <c r="N5714" s="8"/>
    </row>
    <row r="5715" spans="1:14" x14ac:dyDescent="0.25">
      <c r="A5715" s="8">
        <v>41166</v>
      </c>
      <c r="B5715">
        <v>901709.82</v>
      </c>
      <c r="C5715">
        <v>0</v>
      </c>
      <c r="D5715">
        <v>59.38</v>
      </c>
      <c r="E5715">
        <v>3.988</v>
      </c>
      <c r="F5715">
        <v>138.56729999999999</v>
      </c>
      <c r="G5715">
        <v>4.1559999999999997</v>
      </c>
      <c r="N5715" s="8"/>
    </row>
    <row r="5716" spans="1:14" x14ac:dyDescent="0.25">
      <c r="A5716" s="8">
        <v>41173</v>
      </c>
      <c r="B5716">
        <v>899768.4</v>
      </c>
      <c r="C5716">
        <v>0</v>
      </c>
      <c r="D5716">
        <v>54.12</v>
      </c>
      <c r="E5716">
        <v>4.056</v>
      </c>
      <c r="F5716">
        <v>138.6534</v>
      </c>
      <c r="G5716">
        <v>4.1559999999999997</v>
      </c>
      <c r="N5716" s="8"/>
    </row>
    <row r="5717" spans="1:14" x14ac:dyDescent="0.25">
      <c r="A5717" s="8">
        <v>41180</v>
      </c>
      <c r="B5717">
        <v>919595.44</v>
      </c>
      <c r="C5717">
        <v>0</v>
      </c>
      <c r="D5717">
        <v>50.98</v>
      </c>
      <c r="E5717">
        <v>4.0179999999999998</v>
      </c>
      <c r="F5717">
        <v>138.73949999999999</v>
      </c>
      <c r="G5717">
        <v>4.1559999999999997</v>
      </c>
      <c r="N5717" s="8"/>
    </row>
    <row r="5718" spans="1:14" x14ac:dyDescent="0.25">
      <c r="A5718" s="8">
        <v>41187</v>
      </c>
      <c r="B5718">
        <v>1069112</v>
      </c>
      <c r="C5718">
        <v>0</v>
      </c>
      <c r="D5718">
        <v>57.21</v>
      </c>
      <c r="E5718">
        <v>4.0270000000000001</v>
      </c>
      <c r="F5718">
        <v>138.82560000000001</v>
      </c>
      <c r="G5718">
        <v>4.1449999999999996</v>
      </c>
      <c r="N5718" s="8"/>
    </row>
    <row r="5719" spans="1:14" x14ac:dyDescent="0.25">
      <c r="A5719" s="8">
        <v>41194</v>
      </c>
      <c r="B5719">
        <v>982523.26</v>
      </c>
      <c r="C5719">
        <v>0</v>
      </c>
      <c r="D5719">
        <v>47.35</v>
      </c>
      <c r="E5719">
        <v>4.0289999999999999</v>
      </c>
      <c r="F5719">
        <v>138.9117</v>
      </c>
      <c r="G5719">
        <v>4.1449999999999996</v>
      </c>
      <c r="N5719" s="8"/>
    </row>
    <row r="5720" spans="1:14" x14ac:dyDescent="0.25">
      <c r="A5720" s="8">
        <v>41201</v>
      </c>
      <c r="B5720">
        <v>918170.5</v>
      </c>
      <c r="C5720">
        <v>0</v>
      </c>
      <c r="D5720">
        <v>46.33</v>
      </c>
      <c r="E5720">
        <v>4</v>
      </c>
      <c r="F5720">
        <v>138.83361289999999</v>
      </c>
      <c r="G5720">
        <v>4.1449999999999996</v>
      </c>
      <c r="N5720" s="8"/>
    </row>
    <row r="5721" spans="1:14" x14ac:dyDescent="0.25">
      <c r="A5721" s="8">
        <v>41208</v>
      </c>
      <c r="B5721">
        <v>921264.52</v>
      </c>
      <c r="C5721">
        <v>0</v>
      </c>
      <c r="D5721">
        <v>49.65</v>
      </c>
      <c r="E5721">
        <v>3.9169999999999998</v>
      </c>
      <c r="F5721">
        <v>138.72816130000001</v>
      </c>
      <c r="G5721">
        <v>4.1449999999999996</v>
      </c>
      <c r="N5721" s="8"/>
    </row>
    <row r="5722" spans="1:14" x14ac:dyDescent="0.25">
      <c r="A5722" s="8">
        <v>40214</v>
      </c>
      <c r="B5722">
        <v>1086533.18</v>
      </c>
      <c r="C5722">
        <v>0</v>
      </c>
      <c r="D5722">
        <v>30.27</v>
      </c>
      <c r="E5722">
        <v>2.58</v>
      </c>
      <c r="F5722">
        <v>189.38169740000001</v>
      </c>
      <c r="G5722">
        <v>7.5410000000000004</v>
      </c>
      <c r="N5722" s="8"/>
    </row>
    <row r="5723" spans="1:14" x14ac:dyDescent="0.25">
      <c r="A5723" s="8">
        <v>40221</v>
      </c>
      <c r="B5723">
        <v>1075656.3400000001</v>
      </c>
      <c r="C5723">
        <v>1</v>
      </c>
      <c r="D5723">
        <v>23.04</v>
      </c>
      <c r="E5723">
        <v>2.5720000000000001</v>
      </c>
      <c r="F5723">
        <v>189.46427249999999</v>
      </c>
      <c r="G5723">
        <v>7.5410000000000004</v>
      </c>
      <c r="N5723" s="8"/>
    </row>
    <row r="5724" spans="1:14" x14ac:dyDescent="0.25">
      <c r="A5724" s="8">
        <v>40228</v>
      </c>
      <c r="B5724">
        <v>1052034.74</v>
      </c>
      <c r="C5724">
        <v>0</v>
      </c>
      <c r="D5724">
        <v>24.13</v>
      </c>
      <c r="E5724">
        <v>2.5499999999999998</v>
      </c>
      <c r="F5724">
        <v>189.53409980000001</v>
      </c>
      <c r="G5724">
        <v>7.5410000000000004</v>
      </c>
      <c r="N5724" s="8"/>
    </row>
    <row r="5725" spans="1:14" x14ac:dyDescent="0.25">
      <c r="A5725" s="8">
        <v>40235</v>
      </c>
      <c r="B5725">
        <v>991941.73</v>
      </c>
      <c r="C5725">
        <v>0</v>
      </c>
      <c r="D5725">
        <v>21.84</v>
      </c>
      <c r="E5725">
        <v>2.5859999999999999</v>
      </c>
      <c r="F5725">
        <v>189.6018023</v>
      </c>
      <c r="G5725">
        <v>7.5410000000000004</v>
      </c>
      <c r="N5725" s="8"/>
    </row>
    <row r="5726" spans="1:14" x14ac:dyDescent="0.25">
      <c r="A5726" s="8">
        <v>40242</v>
      </c>
      <c r="B5726">
        <v>1063557.49</v>
      </c>
      <c r="C5726">
        <v>0</v>
      </c>
      <c r="D5726">
        <v>32.49</v>
      </c>
      <c r="E5726">
        <v>2.62</v>
      </c>
      <c r="F5726">
        <v>189.66950489999999</v>
      </c>
      <c r="G5726">
        <v>7.5410000000000004</v>
      </c>
      <c r="N5726" s="8"/>
    </row>
    <row r="5727" spans="1:14" x14ac:dyDescent="0.25">
      <c r="A5727" s="8">
        <v>40249</v>
      </c>
      <c r="B5727">
        <v>1023997.71</v>
      </c>
      <c r="C5727">
        <v>0</v>
      </c>
      <c r="D5727">
        <v>33.4</v>
      </c>
      <c r="E5727">
        <v>2.6840000000000002</v>
      </c>
      <c r="F5727">
        <v>189.73720750000001</v>
      </c>
      <c r="G5727">
        <v>7.5410000000000004</v>
      </c>
      <c r="N5727" s="8"/>
    </row>
    <row r="5728" spans="1:14" x14ac:dyDescent="0.25">
      <c r="A5728" s="8">
        <v>40256</v>
      </c>
      <c r="B5728">
        <v>1006597.69</v>
      </c>
      <c r="C5728">
        <v>0</v>
      </c>
      <c r="D5728">
        <v>36.700000000000003</v>
      </c>
      <c r="E5728">
        <v>2.6920000000000002</v>
      </c>
      <c r="F5728">
        <v>189.734262</v>
      </c>
      <c r="G5728">
        <v>7.5410000000000004</v>
      </c>
      <c r="N5728" s="8"/>
    </row>
    <row r="5729" spans="1:14" x14ac:dyDescent="0.25">
      <c r="A5729" s="8">
        <v>40263</v>
      </c>
      <c r="B5729">
        <v>1015196.46</v>
      </c>
      <c r="C5729">
        <v>0</v>
      </c>
      <c r="D5729">
        <v>32.299999999999997</v>
      </c>
      <c r="E5729">
        <v>2.7170000000000001</v>
      </c>
      <c r="F5729">
        <v>189.71954170000001</v>
      </c>
      <c r="G5729">
        <v>7.5410000000000004</v>
      </c>
      <c r="N5729" s="8"/>
    </row>
    <row r="5730" spans="1:14" x14ac:dyDescent="0.25">
      <c r="A5730" s="8">
        <v>40270</v>
      </c>
      <c r="B5730">
        <v>1168826.3899999999</v>
      </c>
      <c r="C5730">
        <v>0</v>
      </c>
      <c r="D5730">
        <v>41.31</v>
      </c>
      <c r="E5730">
        <v>2.7250000000000001</v>
      </c>
      <c r="F5730">
        <v>189.70482150000001</v>
      </c>
      <c r="G5730">
        <v>7.3630000000000004</v>
      </c>
      <c r="N5730" s="8"/>
    </row>
    <row r="5731" spans="1:14" x14ac:dyDescent="0.25">
      <c r="A5731" s="8">
        <v>40277</v>
      </c>
      <c r="B5731">
        <v>1082158.21</v>
      </c>
      <c r="C5731">
        <v>0</v>
      </c>
      <c r="D5731">
        <v>37.299999999999997</v>
      </c>
      <c r="E5731">
        <v>2.75</v>
      </c>
      <c r="F5731">
        <v>189.69010119999999</v>
      </c>
      <c r="G5731">
        <v>7.3630000000000004</v>
      </c>
      <c r="N5731" s="8"/>
    </row>
    <row r="5732" spans="1:14" x14ac:dyDescent="0.25">
      <c r="A5732" s="8">
        <v>40284</v>
      </c>
      <c r="B5732">
        <v>1043388.79</v>
      </c>
      <c r="C5732">
        <v>0</v>
      </c>
      <c r="D5732">
        <v>46.79</v>
      </c>
      <c r="E5732">
        <v>2.7650000000000001</v>
      </c>
      <c r="F5732">
        <v>189.66288449999999</v>
      </c>
      <c r="G5732">
        <v>7.3630000000000004</v>
      </c>
      <c r="N5732" s="8"/>
    </row>
    <row r="5733" spans="1:14" x14ac:dyDescent="0.25">
      <c r="A5733" s="8">
        <v>40291</v>
      </c>
      <c r="B5733">
        <v>1067340.74</v>
      </c>
      <c r="C5733">
        <v>0</v>
      </c>
      <c r="D5733">
        <v>45.29</v>
      </c>
      <c r="E5733">
        <v>2.7759999999999998</v>
      </c>
      <c r="F5733">
        <v>189.6190057</v>
      </c>
      <c r="G5733">
        <v>7.3630000000000004</v>
      </c>
      <c r="N5733" s="8"/>
    </row>
    <row r="5734" spans="1:14" x14ac:dyDescent="0.25">
      <c r="A5734" s="8">
        <v>40298</v>
      </c>
      <c r="B5734">
        <v>1063960.1100000001</v>
      </c>
      <c r="C5734">
        <v>0</v>
      </c>
      <c r="D5734">
        <v>40.200000000000003</v>
      </c>
      <c r="E5734">
        <v>2.766</v>
      </c>
      <c r="F5734">
        <v>189.57512700000001</v>
      </c>
      <c r="G5734">
        <v>7.3630000000000004</v>
      </c>
      <c r="N5734" s="8"/>
    </row>
    <row r="5735" spans="1:14" x14ac:dyDescent="0.25">
      <c r="A5735" s="8">
        <v>40305</v>
      </c>
      <c r="B5735">
        <v>1175738.22</v>
      </c>
      <c r="C5735">
        <v>0</v>
      </c>
      <c r="D5735">
        <v>41.5</v>
      </c>
      <c r="E5735">
        <v>2.7709999999999999</v>
      </c>
      <c r="F5735">
        <v>189.53124829999999</v>
      </c>
      <c r="G5735">
        <v>7.3630000000000004</v>
      </c>
      <c r="N5735" s="8"/>
    </row>
    <row r="5736" spans="1:14" x14ac:dyDescent="0.25">
      <c r="A5736" s="8">
        <v>40312</v>
      </c>
      <c r="B5736">
        <v>1116439.02</v>
      </c>
      <c r="C5736">
        <v>0</v>
      </c>
      <c r="D5736">
        <v>40.229999999999997</v>
      </c>
      <c r="E5736">
        <v>2.7879999999999998</v>
      </c>
      <c r="F5736">
        <v>189.49041159999999</v>
      </c>
      <c r="G5736">
        <v>7.3630000000000004</v>
      </c>
      <c r="N5736" s="8"/>
    </row>
    <row r="5737" spans="1:14" x14ac:dyDescent="0.25">
      <c r="A5737" s="8">
        <v>40319</v>
      </c>
      <c r="B5737">
        <v>1163234.33</v>
      </c>
      <c r="C5737">
        <v>0</v>
      </c>
      <c r="D5737">
        <v>50.59</v>
      </c>
      <c r="E5737">
        <v>2.7759999999999998</v>
      </c>
      <c r="F5737">
        <v>189.467827</v>
      </c>
      <c r="G5737">
        <v>7.3630000000000004</v>
      </c>
      <c r="N5737" s="8"/>
    </row>
    <row r="5738" spans="1:14" x14ac:dyDescent="0.25">
      <c r="A5738" s="8">
        <v>40326</v>
      </c>
      <c r="B5738">
        <v>1246654.24</v>
      </c>
      <c r="C5738">
        <v>0</v>
      </c>
      <c r="D5738">
        <v>56.97</v>
      </c>
      <c r="E5738">
        <v>2.7370000000000001</v>
      </c>
      <c r="F5738">
        <v>189.44524250000001</v>
      </c>
      <c r="G5738">
        <v>7.3630000000000004</v>
      </c>
      <c r="N5738" s="8"/>
    </row>
    <row r="5739" spans="1:14" x14ac:dyDescent="0.25">
      <c r="A5739" s="8">
        <v>40333</v>
      </c>
      <c r="B5739">
        <v>1305068.1000000001</v>
      </c>
      <c r="C5739">
        <v>0</v>
      </c>
      <c r="D5739">
        <v>60.13</v>
      </c>
      <c r="E5739">
        <v>2.7</v>
      </c>
      <c r="F5739">
        <v>189.42265800000001</v>
      </c>
      <c r="G5739">
        <v>7.3630000000000004</v>
      </c>
      <c r="N5739" s="8"/>
    </row>
    <row r="5740" spans="1:14" x14ac:dyDescent="0.25">
      <c r="A5740" s="8">
        <v>40340</v>
      </c>
      <c r="B5740">
        <v>1217199.3899999999</v>
      </c>
      <c r="C5740">
        <v>0</v>
      </c>
      <c r="D5740">
        <v>63.36</v>
      </c>
      <c r="E5740">
        <v>2.6840000000000002</v>
      </c>
      <c r="F5740">
        <v>189.4000734</v>
      </c>
      <c r="G5740">
        <v>7.3630000000000004</v>
      </c>
      <c r="N5740" s="8"/>
    </row>
    <row r="5741" spans="1:14" x14ac:dyDescent="0.25">
      <c r="A5741" s="8">
        <v>40347</v>
      </c>
      <c r="B5741">
        <v>1202963.06</v>
      </c>
      <c r="C5741">
        <v>0</v>
      </c>
      <c r="D5741">
        <v>54.9</v>
      </c>
      <c r="E5741">
        <v>2.6739999999999999</v>
      </c>
      <c r="F5741">
        <v>189.41852589999999</v>
      </c>
      <c r="G5741">
        <v>7.3630000000000004</v>
      </c>
      <c r="N5741" s="8"/>
    </row>
    <row r="5742" spans="1:14" x14ac:dyDescent="0.25">
      <c r="A5742" s="8">
        <v>40354</v>
      </c>
      <c r="B5742">
        <v>1174209.52</v>
      </c>
      <c r="C5742">
        <v>0</v>
      </c>
      <c r="D5742">
        <v>66</v>
      </c>
      <c r="E5742">
        <v>2.7149999999999999</v>
      </c>
      <c r="F5742">
        <v>189.4533931</v>
      </c>
      <c r="G5742">
        <v>7.3630000000000004</v>
      </c>
      <c r="N5742" s="8"/>
    </row>
    <row r="5743" spans="1:14" x14ac:dyDescent="0.25">
      <c r="A5743" s="8">
        <v>40361</v>
      </c>
      <c r="B5743">
        <v>1273279.79</v>
      </c>
      <c r="C5743">
        <v>0</v>
      </c>
      <c r="D5743">
        <v>69.39</v>
      </c>
      <c r="E5743">
        <v>2.7280000000000002</v>
      </c>
      <c r="F5743">
        <v>189.48826030000001</v>
      </c>
      <c r="G5743">
        <v>7.335</v>
      </c>
      <c r="N5743" s="8"/>
    </row>
    <row r="5744" spans="1:14" x14ac:dyDescent="0.25">
      <c r="A5744" s="8">
        <v>40368</v>
      </c>
      <c r="B5744">
        <v>1176079.5900000001</v>
      </c>
      <c r="C5744">
        <v>0</v>
      </c>
      <c r="D5744">
        <v>60.93</v>
      </c>
      <c r="E5744">
        <v>2.7109999999999999</v>
      </c>
      <c r="F5744">
        <v>189.52312760000001</v>
      </c>
      <c r="G5744">
        <v>7.335</v>
      </c>
      <c r="N5744" s="8"/>
    </row>
    <row r="5745" spans="1:14" x14ac:dyDescent="0.25">
      <c r="A5745" s="8">
        <v>40375</v>
      </c>
      <c r="B5745">
        <v>1179788.3799999999</v>
      </c>
      <c r="C5745">
        <v>0</v>
      </c>
      <c r="D5745">
        <v>69.06</v>
      </c>
      <c r="E5745">
        <v>2.6989999999999998</v>
      </c>
      <c r="F5745">
        <v>189.6125456</v>
      </c>
      <c r="G5745">
        <v>7.335</v>
      </c>
      <c r="N5745" s="8"/>
    </row>
    <row r="5746" spans="1:14" x14ac:dyDescent="0.25">
      <c r="A5746" s="8">
        <v>40382</v>
      </c>
      <c r="B5746">
        <v>1192213.8700000001</v>
      </c>
      <c r="C5746">
        <v>0</v>
      </c>
      <c r="D5746">
        <v>70.77</v>
      </c>
      <c r="E5746">
        <v>2.6909999999999998</v>
      </c>
      <c r="F5746">
        <v>189.774698</v>
      </c>
      <c r="G5746">
        <v>7.335</v>
      </c>
      <c r="N5746" s="8"/>
    </row>
    <row r="5747" spans="1:14" x14ac:dyDescent="0.25">
      <c r="A5747" s="8">
        <v>40389</v>
      </c>
      <c r="B5747">
        <v>1211136.6299999999</v>
      </c>
      <c r="C5747">
        <v>0</v>
      </c>
      <c r="D5747">
        <v>70.069999999999993</v>
      </c>
      <c r="E5747">
        <v>2.69</v>
      </c>
      <c r="F5747">
        <v>189.9368504</v>
      </c>
      <c r="G5747">
        <v>7.335</v>
      </c>
      <c r="N5747" s="8"/>
    </row>
    <row r="5748" spans="1:14" x14ac:dyDescent="0.25">
      <c r="A5748" s="8">
        <v>40396</v>
      </c>
      <c r="B5748">
        <v>1338132.72</v>
      </c>
      <c r="C5748">
        <v>0</v>
      </c>
      <c r="D5748">
        <v>69.209999999999994</v>
      </c>
      <c r="E5748">
        <v>2.69</v>
      </c>
      <c r="F5748">
        <v>190.09900279999999</v>
      </c>
      <c r="G5748">
        <v>7.335</v>
      </c>
      <c r="N5748" s="8"/>
    </row>
    <row r="5749" spans="1:14" x14ac:dyDescent="0.25">
      <c r="A5749" s="8">
        <v>40403</v>
      </c>
      <c r="B5749">
        <v>1285976.53</v>
      </c>
      <c r="C5749">
        <v>0</v>
      </c>
      <c r="D5749">
        <v>70.239999999999995</v>
      </c>
      <c r="E5749">
        <v>2.7229999999999999</v>
      </c>
      <c r="F5749">
        <v>190.26115519999999</v>
      </c>
      <c r="G5749">
        <v>7.335</v>
      </c>
      <c r="N5749" s="8"/>
    </row>
    <row r="5750" spans="1:14" x14ac:dyDescent="0.25">
      <c r="A5750" s="8">
        <v>40410</v>
      </c>
      <c r="B5750">
        <v>1353838.39</v>
      </c>
      <c r="C5750">
        <v>0</v>
      </c>
      <c r="D5750">
        <v>66.19</v>
      </c>
      <c r="E5750">
        <v>2.7320000000000002</v>
      </c>
      <c r="F5750">
        <v>190.29482369999999</v>
      </c>
      <c r="G5750">
        <v>7.335</v>
      </c>
      <c r="N5750" s="8"/>
    </row>
    <row r="5751" spans="1:14" x14ac:dyDescent="0.25">
      <c r="A5751" s="8">
        <v>40417</v>
      </c>
      <c r="B5751">
        <v>1173131.6299999999</v>
      </c>
      <c r="C5751">
        <v>0</v>
      </c>
      <c r="D5751">
        <v>70.59</v>
      </c>
      <c r="E5751">
        <v>2.7309999999999999</v>
      </c>
      <c r="F5751">
        <v>190.3284922</v>
      </c>
      <c r="G5751">
        <v>7.335</v>
      </c>
      <c r="N5751" s="8"/>
    </row>
    <row r="5752" spans="1:14" x14ac:dyDescent="0.25">
      <c r="A5752" s="8">
        <v>40424</v>
      </c>
      <c r="B5752">
        <v>1223355.5</v>
      </c>
      <c r="C5752">
        <v>0</v>
      </c>
      <c r="D5752">
        <v>64.13</v>
      </c>
      <c r="E5752">
        <v>2.7730000000000001</v>
      </c>
      <c r="F5752">
        <v>190.3621607</v>
      </c>
      <c r="G5752">
        <v>7.335</v>
      </c>
      <c r="N5752" s="8"/>
    </row>
    <row r="5753" spans="1:14" x14ac:dyDescent="0.25">
      <c r="A5753" s="8">
        <v>40431</v>
      </c>
      <c r="B5753">
        <v>1172672.27</v>
      </c>
      <c r="C5753">
        <v>1</v>
      </c>
      <c r="D5753">
        <v>63.3</v>
      </c>
      <c r="E5753">
        <v>2.78</v>
      </c>
      <c r="F5753">
        <v>190.3958293</v>
      </c>
      <c r="G5753">
        <v>7.335</v>
      </c>
      <c r="N5753" s="8"/>
    </row>
    <row r="5754" spans="1:14" x14ac:dyDescent="0.25">
      <c r="A5754" s="8">
        <v>40438</v>
      </c>
      <c r="B5754">
        <v>1111170.9099999999</v>
      </c>
      <c r="C5754">
        <v>0</v>
      </c>
      <c r="D5754">
        <v>62.4</v>
      </c>
      <c r="E5754">
        <v>2.8</v>
      </c>
      <c r="F5754">
        <v>190.46882869999999</v>
      </c>
      <c r="G5754">
        <v>7.335</v>
      </c>
      <c r="N5754" s="8"/>
    </row>
    <row r="5755" spans="1:14" x14ac:dyDescent="0.25">
      <c r="A5755" s="8">
        <v>40445</v>
      </c>
      <c r="B5755">
        <v>1110941.78</v>
      </c>
      <c r="C5755">
        <v>0</v>
      </c>
      <c r="D5755">
        <v>60.11</v>
      </c>
      <c r="E5755">
        <v>2.7930000000000001</v>
      </c>
      <c r="F5755">
        <v>190.5713264</v>
      </c>
      <c r="G5755">
        <v>7.335</v>
      </c>
      <c r="N5755" s="8"/>
    </row>
    <row r="5756" spans="1:14" x14ac:dyDescent="0.25">
      <c r="A5756" s="8">
        <v>40452</v>
      </c>
      <c r="B5756">
        <v>1109216.3500000001</v>
      </c>
      <c r="C5756">
        <v>0</v>
      </c>
      <c r="D5756">
        <v>62.67</v>
      </c>
      <c r="E5756">
        <v>2.7589999999999999</v>
      </c>
      <c r="F5756">
        <v>190.67382409999999</v>
      </c>
      <c r="G5756">
        <v>7.508</v>
      </c>
      <c r="N5756" s="8"/>
    </row>
    <row r="5757" spans="1:14" x14ac:dyDescent="0.25">
      <c r="A5757" s="8">
        <v>40459</v>
      </c>
      <c r="B5757">
        <v>1162042.24</v>
      </c>
      <c r="C5757">
        <v>0</v>
      </c>
      <c r="D5757">
        <v>57.1</v>
      </c>
      <c r="E5757">
        <v>2.7450000000000001</v>
      </c>
      <c r="F5757">
        <v>190.77632180000001</v>
      </c>
      <c r="G5757">
        <v>7.508</v>
      </c>
      <c r="N5757" s="8"/>
    </row>
    <row r="5758" spans="1:14" x14ac:dyDescent="0.25">
      <c r="A5758" s="8">
        <v>40466</v>
      </c>
      <c r="B5758">
        <v>1133913.33</v>
      </c>
      <c r="C5758">
        <v>0</v>
      </c>
      <c r="D5758">
        <v>49.91</v>
      </c>
      <c r="E5758">
        <v>2.762</v>
      </c>
      <c r="F5758">
        <v>190.8623087</v>
      </c>
      <c r="G5758">
        <v>7.508</v>
      </c>
      <c r="N5758" s="8"/>
    </row>
    <row r="5759" spans="1:14" x14ac:dyDescent="0.25">
      <c r="A5759" s="8">
        <v>40473</v>
      </c>
      <c r="B5759">
        <v>1156003.7</v>
      </c>
      <c r="C5759">
        <v>0</v>
      </c>
      <c r="D5759">
        <v>48.09</v>
      </c>
      <c r="E5759">
        <v>2.762</v>
      </c>
      <c r="F5759">
        <v>190.9070184</v>
      </c>
      <c r="G5759">
        <v>7.508</v>
      </c>
      <c r="N5759" s="8"/>
    </row>
    <row r="5760" spans="1:14" x14ac:dyDescent="0.25">
      <c r="A5760" s="8">
        <v>40480</v>
      </c>
      <c r="B5760">
        <v>1144854.56</v>
      </c>
      <c r="C5760">
        <v>0</v>
      </c>
      <c r="D5760">
        <v>42.16</v>
      </c>
      <c r="E5760">
        <v>2.7480000000000002</v>
      </c>
      <c r="F5760">
        <v>190.951728</v>
      </c>
      <c r="G5760">
        <v>7.508</v>
      </c>
      <c r="N5760" s="8"/>
    </row>
    <row r="5761" spans="1:14" x14ac:dyDescent="0.25">
      <c r="A5761" s="8">
        <v>40487</v>
      </c>
      <c r="B5761">
        <v>1163878.49</v>
      </c>
      <c r="C5761">
        <v>0</v>
      </c>
      <c r="D5761">
        <v>46.74</v>
      </c>
      <c r="E5761">
        <v>2.7290000000000001</v>
      </c>
      <c r="F5761">
        <v>190.9964377</v>
      </c>
      <c r="G5761">
        <v>7.508</v>
      </c>
      <c r="N5761" s="8"/>
    </row>
    <row r="5762" spans="1:14" x14ac:dyDescent="0.25">
      <c r="A5762" s="8">
        <v>40494</v>
      </c>
      <c r="B5762">
        <v>1175326.23</v>
      </c>
      <c r="C5762">
        <v>0</v>
      </c>
      <c r="D5762">
        <v>38.99</v>
      </c>
      <c r="E5762">
        <v>2.7370000000000001</v>
      </c>
      <c r="F5762">
        <v>191.0411474</v>
      </c>
      <c r="G5762">
        <v>7.508</v>
      </c>
      <c r="N5762" s="8"/>
    </row>
    <row r="5763" spans="1:14" x14ac:dyDescent="0.25">
      <c r="A5763" s="8">
        <v>40501</v>
      </c>
      <c r="B5763">
        <v>1172155.28</v>
      </c>
      <c r="C5763">
        <v>0</v>
      </c>
      <c r="D5763">
        <v>31.34</v>
      </c>
      <c r="E5763">
        <v>2.758</v>
      </c>
      <c r="F5763">
        <v>191.03121719999999</v>
      </c>
      <c r="G5763">
        <v>7.508</v>
      </c>
      <c r="N5763" s="8"/>
    </row>
    <row r="5764" spans="1:14" x14ac:dyDescent="0.25">
      <c r="A5764" s="8">
        <v>40508</v>
      </c>
      <c r="B5764">
        <v>1866681.57</v>
      </c>
      <c r="C5764">
        <v>1</v>
      </c>
      <c r="D5764">
        <v>25.3</v>
      </c>
      <c r="E5764">
        <v>2.742</v>
      </c>
      <c r="F5764">
        <v>191.0121805</v>
      </c>
      <c r="G5764">
        <v>7.508</v>
      </c>
      <c r="N5764" s="8"/>
    </row>
    <row r="5765" spans="1:14" x14ac:dyDescent="0.25">
      <c r="A5765" s="8">
        <v>40515</v>
      </c>
      <c r="B5765">
        <v>1220115.75</v>
      </c>
      <c r="C5765">
        <v>0</v>
      </c>
      <c r="D5765">
        <v>33</v>
      </c>
      <c r="E5765">
        <v>2.7120000000000002</v>
      </c>
      <c r="F5765">
        <v>190.99314369999999</v>
      </c>
      <c r="G5765">
        <v>7.508</v>
      </c>
      <c r="N5765" s="8"/>
    </row>
    <row r="5766" spans="1:14" x14ac:dyDescent="0.25">
      <c r="A5766" s="8">
        <v>40522</v>
      </c>
      <c r="B5766">
        <v>1434908.13</v>
      </c>
      <c r="C5766">
        <v>0</v>
      </c>
      <c r="D5766">
        <v>33.9</v>
      </c>
      <c r="E5766">
        <v>2.7280000000000002</v>
      </c>
      <c r="F5766">
        <v>190.97410690000001</v>
      </c>
      <c r="G5766">
        <v>7.508</v>
      </c>
      <c r="N5766" s="8"/>
    </row>
    <row r="5767" spans="1:14" x14ac:dyDescent="0.25">
      <c r="A5767" s="8">
        <v>40529</v>
      </c>
      <c r="B5767">
        <v>1627904.68</v>
      </c>
      <c r="C5767">
        <v>0</v>
      </c>
      <c r="D5767">
        <v>31.51</v>
      </c>
      <c r="E5767">
        <v>2.778</v>
      </c>
      <c r="F5767">
        <v>191.0303376</v>
      </c>
      <c r="G5767">
        <v>7.508</v>
      </c>
      <c r="N5767" s="8"/>
    </row>
    <row r="5768" spans="1:14" x14ac:dyDescent="0.25">
      <c r="A5768" s="8">
        <v>40536</v>
      </c>
      <c r="B5768">
        <v>2225016.73</v>
      </c>
      <c r="C5768">
        <v>0</v>
      </c>
      <c r="D5768">
        <v>29.81</v>
      </c>
      <c r="E5768">
        <v>2.7810000000000001</v>
      </c>
      <c r="F5768">
        <v>191.14301889999999</v>
      </c>
      <c r="G5768">
        <v>7.508</v>
      </c>
      <c r="N5768" s="8"/>
    </row>
    <row r="5769" spans="1:14" x14ac:dyDescent="0.25">
      <c r="A5769" s="8">
        <v>40543</v>
      </c>
      <c r="B5769">
        <v>1001790.16</v>
      </c>
      <c r="C5769">
        <v>1</v>
      </c>
      <c r="D5769">
        <v>25.19</v>
      </c>
      <c r="E5769">
        <v>2.8290000000000002</v>
      </c>
      <c r="F5769">
        <v>191.25570020000001</v>
      </c>
      <c r="G5769">
        <v>7.508</v>
      </c>
      <c r="N5769" s="8"/>
    </row>
    <row r="5770" spans="1:14" x14ac:dyDescent="0.25">
      <c r="A5770" s="8">
        <v>40550</v>
      </c>
      <c r="B5770">
        <v>1153596.53</v>
      </c>
      <c r="C5770">
        <v>0</v>
      </c>
      <c r="D5770">
        <v>23.76</v>
      </c>
      <c r="E5770">
        <v>2.8820000000000001</v>
      </c>
      <c r="F5770">
        <v>191.3683815</v>
      </c>
      <c r="G5770">
        <v>7.2409999999999997</v>
      </c>
      <c r="N5770" s="8"/>
    </row>
    <row r="5771" spans="1:14" x14ac:dyDescent="0.25">
      <c r="A5771" s="8">
        <v>40557</v>
      </c>
      <c r="B5771">
        <v>1052609.1599999999</v>
      </c>
      <c r="C5771">
        <v>0</v>
      </c>
      <c r="D5771">
        <v>22.44</v>
      </c>
      <c r="E5771">
        <v>2.911</v>
      </c>
      <c r="F5771">
        <v>191.47849389999999</v>
      </c>
      <c r="G5771">
        <v>7.2409999999999997</v>
      </c>
      <c r="N5771" s="8"/>
    </row>
    <row r="5772" spans="1:14" x14ac:dyDescent="0.25">
      <c r="A5772" s="8">
        <v>40564</v>
      </c>
      <c r="B5772">
        <v>1088025.8</v>
      </c>
      <c r="C5772">
        <v>0</v>
      </c>
      <c r="D5772">
        <v>32.700000000000003</v>
      </c>
      <c r="E5772">
        <v>2.9729999999999999</v>
      </c>
      <c r="F5772">
        <v>191.57319240000001</v>
      </c>
      <c r="G5772">
        <v>7.2409999999999997</v>
      </c>
      <c r="N5772" s="8"/>
    </row>
    <row r="5773" spans="1:14" x14ac:dyDescent="0.25">
      <c r="A5773" s="8">
        <v>40571</v>
      </c>
      <c r="B5773">
        <v>1026439.93</v>
      </c>
      <c r="C5773">
        <v>0</v>
      </c>
      <c r="D5773">
        <v>32.229999999999997</v>
      </c>
      <c r="E5773">
        <v>3.008</v>
      </c>
      <c r="F5773">
        <v>191.667891</v>
      </c>
      <c r="G5773">
        <v>7.2409999999999997</v>
      </c>
      <c r="N5773" s="8"/>
    </row>
    <row r="5774" spans="1:14" x14ac:dyDescent="0.25">
      <c r="A5774" s="8">
        <v>40578</v>
      </c>
      <c r="B5774">
        <v>1179420.5</v>
      </c>
      <c r="C5774">
        <v>0</v>
      </c>
      <c r="D5774">
        <v>14.56</v>
      </c>
      <c r="E5774">
        <v>3.0110000000000001</v>
      </c>
      <c r="F5774">
        <v>191.76258949999999</v>
      </c>
      <c r="G5774">
        <v>7.2409999999999997</v>
      </c>
      <c r="N5774" s="8"/>
    </row>
    <row r="5775" spans="1:14" x14ac:dyDescent="0.25">
      <c r="A5775" s="8">
        <v>40585</v>
      </c>
      <c r="B5775">
        <v>1150003.3600000001</v>
      </c>
      <c r="C5775">
        <v>1</v>
      </c>
      <c r="D5775">
        <v>16.809999999999999</v>
      </c>
      <c r="E5775">
        <v>3.0369999999999999</v>
      </c>
      <c r="F5775">
        <v>191.85728810000001</v>
      </c>
      <c r="G5775">
        <v>7.2409999999999997</v>
      </c>
      <c r="N5775" s="8"/>
    </row>
    <row r="5776" spans="1:14" x14ac:dyDescent="0.25">
      <c r="A5776" s="8">
        <v>40592</v>
      </c>
      <c r="B5776">
        <v>1203399.6399999999</v>
      </c>
      <c r="C5776">
        <v>0</v>
      </c>
      <c r="D5776">
        <v>39.39</v>
      </c>
      <c r="E5776">
        <v>3.0510000000000002</v>
      </c>
      <c r="F5776">
        <v>191.9178331</v>
      </c>
      <c r="G5776">
        <v>7.2409999999999997</v>
      </c>
      <c r="N5776" s="8"/>
    </row>
    <row r="5777" spans="1:14" x14ac:dyDescent="0.25">
      <c r="A5777" s="8">
        <v>40599</v>
      </c>
      <c r="B5777">
        <v>1099714.93</v>
      </c>
      <c r="C5777">
        <v>0</v>
      </c>
      <c r="D5777">
        <v>26.1</v>
      </c>
      <c r="E5777">
        <v>3.101</v>
      </c>
      <c r="F5777">
        <v>191.9647167</v>
      </c>
      <c r="G5777">
        <v>7.2409999999999997</v>
      </c>
      <c r="N5777" s="8"/>
    </row>
    <row r="5778" spans="1:14" x14ac:dyDescent="0.25">
      <c r="A5778" s="8">
        <v>40606</v>
      </c>
      <c r="B5778">
        <v>1229257.7</v>
      </c>
      <c r="C5778">
        <v>0</v>
      </c>
      <c r="D5778">
        <v>34.99</v>
      </c>
      <c r="E5778">
        <v>3.2320000000000002</v>
      </c>
      <c r="F5778">
        <v>192.01160039999999</v>
      </c>
      <c r="G5778">
        <v>7.2409999999999997</v>
      </c>
      <c r="N5778" s="8"/>
    </row>
    <row r="5779" spans="1:14" x14ac:dyDescent="0.25">
      <c r="A5779" s="8">
        <v>40613</v>
      </c>
      <c r="B5779">
        <v>1159089.6000000001</v>
      </c>
      <c r="C5779">
        <v>0</v>
      </c>
      <c r="D5779">
        <v>31.6</v>
      </c>
      <c r="E5779">
        <v>3.3719999999999999</v>
      </c>
      <c r="F5779">
        <v>192.05848399999999</v>
      </c>
      <c r="G5779">
        <v>7.2409999999999997</v>
      </c>
      <c r="N5779" s="8"/>
    </row>
    <row r="5780" spans="1:14" x14ac:dyDescent="0.25">
      <c r="A5780" s="8">
        <v>40620</v>
      </c>
      <c r="B5780">
        <v>1115504.26</v>
      </c>
      <c r="C5780">
        <v>0</v>
      </c>
      <c r="D5780">
        <v>40.19</v>
      </c>
      <c r="E5780">
        <v>3.4060000000000001</v>
      </c>
      <c r="F5780">
        <v>192.12379809999999</v>
      </c>
      <c r="G5780">
        <v>7.2409999999999997</v>
      </c>
      <c r="N5780" s="8"/>
    </row>
    <row r="5781" spans="1:14" x14ac:dyDescent="0.25">
      <c r="A5781" s="8">
        <v>40627</v>
      </c>
      <c r="B5781">
        <v>1140578.1599999999</v>
      </c>
      <c r="C5781">
        <v>0</v>
      </c>
      <c r="D5781">
        <v>41.11</v>
      </c>
      <c r="E5781">
        <v>3.4140000000000001</v>
      </c>
      <c r="F5781">
        <v>192.1964844</v>
      </c>
      <c r="G5781">
        <v>7.2409999999999997</v>
      </c>
      <c r="N5781" s="8"/>
    </row>
    <row r="5782" spans="1:14" x14ac:dyDescent="0.25">
      <c r="A5782" s="8">
        <v>40634</v>
      </c>
      <c r="B5782">
        <v>1179125.48</v>
      </c>
      <c r="C5782">
        <v>0</v>
      </c>
      <c r="D5782">
        <v>38.159999999999997</v>
      </c>
      <c r="E5782">
        <v>3.4609999999999999</v>
      </c>
      <c r="F5782">
        <v>192.26917069999999</v>
      </c>
      <c r="G5782">
        <v>6.9340000000000002</v>
      </c>
      <c r="N5782" s="8"/>
    </row>
    <row r="5783" spans="1:14" x14ac:dyDescent="0.25">
      <c r="A5783" s="8">
        <v>40641</v>
      </c>
      <c r="B5783">
        <v>1206252.1200000001</v>
      </c>
      <c r="C5783">
        <v>0</v>
      </c>
      <c r="D5783">
        <v>42.87</v>
      </c>
      <c r="E5783">
        <v>3.532</v>
      </c>
      <c r="F5783">
        <v>192.3418571</v>
      </c>
      <c r="G5783">
        <v>6.9340000000000002</v>
      </c>
      <c r="N5783" s="8"/>
    </row>
    <row r="5784" spans="1:14" x14ac:dyDescent="0.25">
      <c r="A5784" s="8">
        <v>40648</v>
      </c>
      <c r="B5784">
        <v>1192982.07</v>
      </c>
      <c r="C5784">
        <v>0</v>
      </c>
      <c r="D5784">
        <v>39.94</v>
      </c>
      <c r="E5784">
        <v>3.6110000000000002</v>
      </c>
      <c r="F5784">
        <v>192.42259540000001</v>
      </c>
      <c r="G5784">
        <v>6.9340000000000002</v>
      </c>
      <c r="N5784" s="8"/>
    </row>
    <row r="5785" spans="1:14" x14ac:dyDescent="0.25">
      <c r="A5785" s="8">
        <v>40655</v>
      </c>
      <c r="B5785">
        <v>1304481.75</v>
      </c>
      <c r="C5785">
        <v>0</v>
      </c>
      <c r="D5785">
        <v>42.86</v>
      </c>
      <c r="E5785">
        <v>3.6360000000000001</v>
      </c>
      <c r="F5785">
        <v>192.5234638</v>
      </c>
      <c r="G5785">
        <v>6.9340000000000002</v>
      </c>
      <c r="N5785" s="8"/>
    </row>
    <row r="5786" spans="1:14" x14ac:dyDescent="0.25">
      <c r="A5786" s="8">
        <v>40662</v>
      </c>
      <c r="B5786">
        <v>1178841.05</v>
      </c>
      <c r="C5786">
        <v>0</v>
      </c>
      <c r="D5786">
        <v>39.81</v>
      </c>
      <c r="E5786">
        <v>3.6629999999999998</v>
      </c>
      <c r="F5786">
        <v>192.6243322</v>
      </c>
      <c r="G5786">
        <v>6.9340000000000002</v>
      </c>
      <c r="N5786" s="8"/>
    </row>
    <row r="5787" spans="1:14" x14ac:dyDescent="0.25">
      <c r="A5787" s="8">
        <v>40669</v>
      </c>
      <c r="B5787">
        <v>1244956.9099999999</v>
      </c>
      <c r="C5787">
        <v>0</v>
      </c>
      <c r="D5787">
        <v>41.2</v>
      </c>
      <c r="E5787">
        <v>3.7349999999999999</v>
      </c>
      <c r="F5787">
        <v>192.72520059999999</v>
      </c>
      <c r="G5787">
        <v>6.9340000000000002</v>
      </c>
      <c r="N5787" s="8"/>
    </row>
    <row r="5788" spans="1:14" x14ac:dyDescent="0.25">
      <c r="A5788" s="8">
        <v>40676</v>
      </c>
      <c r="B5788">
        <v>1270025.74</v>
      </c>
      <c r="C5788">
        <v>0</v>
      </c>
      <c r="D5788">
        <v>50.29</v>
      </c>
      <c r="E5788">
        <v>3.7669999999999999</v>
      </c>
      <c r="F5788">
        <v>192.82606899999999</v>
      </c>
      <c r="G5788">
        <v>6.9340000000000002</v>
      </c>
      <c r="N5788" s="8"/>
    </row>
    <row r="5789" spans="1:14" x14ac:dyDescent="0.25">
      <c r="A5789" s="8">
        <v>40683</v>
      </c>
      <c r="B5789">
        <v>1244542.33</v>
      </c>
      <c r="C5789">
        <v>0</v>
      </c>
      <c r="D5789">
        <v>41.11</v>
      </c>
      <c r="E5789">
        <v>3.8279999999999998</v>
      </c>
      <c r="F5789">
        <v>192.83131700000001</v>
      </c>
      <c r="G5789">
        <v>6.9340000000000002</v>
      </c>
      <c r="N5789" s="8"/>
    </row>
    <row r="5790" spans="1:14" x14ac:dyDescent="0.25">
      <c r="A5790" s="8">
        <v>40690</v>
      </c>
      <c r="B5790">
        <v>1278304.33</v>
      </c>
      <c r="C5790">
        <v>0</v>
      </c>
      <c r="D5790">
        <v>50.56</v>
      </c>
      <c r="E5790">
        <v>3.7949999999999999</v>
      </c>
      <c r="F5790">
        <v>192.8365651</v>
      </c>
      <c r="G5790">
        <v>6.9340000000000002</v>
      </c>
      <c r="N5790" s="8"/>
    </row>
    <row r="5791" spans="1:14" x14ac:dyDescent="0.25">
      <c r="A5791" s="8">
        <v>40697</v>
      </c>
      <c r="B5791">
        <v>1297584.95</v>
      </c>
      <c r="C5791">
        <v>0</v>
      </c>
      <c r="D5791">
        <v>54.81</v>
      </c>
      <c r="E5791">
        <v>3.7629999999999999</v>
      </c>
      <c r="F5791">
        <v>192.8418131</v>
      </c>
      <c r="G5791">
        <v>6.9340000000000002</v>
      </c>
      <c r="N5791" s="8"/>
    </row>
    <row r="5792" spans="1:14" x14ac:dyDescent="0.25">
      <c r="A5792" s="8">
        <v>40704</v>
      </c>
      <c r="B5792">
        <v>1311690.1100000001</v>
      </c>
      <c r="C5792">
        <v>0</v>
      </c>
      <c r="D5792">
        <v>61.1</v>
      </c>
      <c r="E5792">
        <v>3.7349999999999999</v>
      </c>
      <c r="F5792">
        <v>192.84706120000001</v>
      </c>
      <c r="G5792">
        <v>6.9340000000000002</v>
      </c>
      <c r="N5792" s="8"/>
    </row>
    <row r="5793" spans="1:14" x14ac:dyDescent="0.25">
      <c r="A5793" s="8">
        <v>40711</v>
      </c>
      <c r="B5793">
        <v>1289151.8400000001</v>
      </c>
      <c r="C5793">
        <v>0</v>
      </c>
      <c r="D5793">
        <v>62.3</v>
      </c>
      <c r="E5793">
        <v>3.6970000000000001</v>
      </c>
      <c r="F5793">
        <v>192.90347589999999</v>
      </c>
      <c r="G5793">
        <v>6.9340000000000002</v>
      </c>
      <c r="N5793" s="8"/>
    </row>
    <row r="5794" spans="1:14" x14ac:dyDescent="0.25">
      <c r="A5794" s="8">
        <v>40718</v>
      </c>
      <c r="B5794">
        <v>1244381.98</v>
      </c>
      <c r="C5794">
        <v>0</v>
      </c>
      <c r="D5794">
        <v>59.54</v>
      </c>
      <c r="E5794">
        <v>3.661</v>
      </c>
      <c r="F5794">
        <v>192.9982655</v>
      </c>
      <c r="G5794">
        <v>6.9340000000000002</v>
      </c>
      <c r="N5794" s="8"/>
    </row>
    <row r="5795" spans="1:14" x14ac:dyDescent="0.25">
      <c r="A5795" s="8">
        <v>40725</v>
      </c>
      <c r="B5795">
        <v>1333347.78</v>
      </c>
      <c r="C5795">
        <v>0</v>
      </c>
      <c r="D5795">
        <v>67.010000000000005</v>
      </c>
      <c r="E5795">
        <v>3.597</v>
      </c>
      <c r="F5795">
        <v>193.09305520000001</v>
      </c>
      <c r="G5795">
        <v>6.9009999999999998</v>
      </c>
      <c r="N5795" s="8"/>
    </row>
    <row r="5796" spans="1:14" x14ac:dyDescent="0.25">
      <c r="A5796" s="8">
        <v>40732</v>
      </c>
      <c r="B5796">
        <v>1338862.58</v>
      </c>
      <c r="C5796">
        <v>0</v>
      </c>
      <c r="D5796">
        <v>68.489999999999995</v>
      </c>
      <c r="E5796">
        <v>3.54</v>
      </c>
      <c r="F5796">
        <v>193.18784479999999</v>
      </c>
      <c r="G5796">
        <v>6.9009999999999998</v>
      </c>
      <c r="N5796" s="8"/>
    </row>
    <row r="5797" spans="1:14" x14ac:dyDescent="0.25">
      <c r="A5797" s="8">
        <v>40739</v>
      </c>
      <c r="B5797">
        <v>1245772.7</v>
      </c>
      <c r="C5797">
        <v>0</v>
      </c>
      <c r="D5797">
        <v>68.180000000000007</v>
      </c>
      <c r="E5797">
        <v>3.532</v>
      </c>
      <c r="F5797">
        <v>193.3125484</v>
      </c>
      <c r="G5797">
        <v>6.9009999999999998</v>
      </c>
      <c r="N5797" s="8"/>
    </row>
    <row r="5798" spans="1:14" x14ac:dyDescent="0.25">
      <c r="A5798" s="8">
        <v>40746</v>
      </c>
      <c r="B5798">
        <v>1292830.93</v>
      </c>
      <c r="C5798">
        <v>0</v>
      </c>
      <c r="D5798">
        <v>74.11</v>
      </c>
      <c r="E5798">
        <v>3.5449999999999999</v>
      </c>
      <c r="F5798">
        <v>193.51203670000001</v>
      </c>
      <c r="G5798">
        <v>6.9009999999999998</v>
      </c>
      <c r="N5798" s="8"/>
    </row>
    <row r="5799" spans="1:14" x14ac:dyDescent="0.25">
      <c r="A5799" s="8">
        <v>40753</v>
      </c>
      <c r="B5799">
        <v>1248330.1000000001</v>
      </c>
      <c r="C5799">
        <v>0</v>
      </c>
      <c r="D5799">
        <v>71.3</v>
      </c>
      <c r="E5799">
        <v>3.5470000000000002</v>
      </c>
      <c r="F5799">
        <v>193.71152499999999</v>
      </c>
      <c r="G5799">
        <v>6.9009999999999998</v>
      </c>
      <c r="N5799" s="8"/>
    </row>
    <row r="5800" spans="1:14" x14ac:dyDescent="0.25">
      <c r="A5800" s="8">
        <v>40760</v>
      </c>
      <c r="B5800">
        <v>1402233.69</v>
      </c>
      <c r="C5800">
        <v>0</v>
      </c>
      <c r="D5800">
        <v>72.19</v>
      </c>
      <c r="E5800">
        <v>3.5539999999999998</v>
      </c>
      <c r="F5800">
        <v>193.91101330000001</v>
      </c>
      <c r="G5800">
        <v>6.9009999999999998</v>
      </c>
      <c r="N5800" s="8"/>
    </row>
    <row r="5801" spans="1:14" x14ac:dyDescent="0.25">
      <c r="A5801" s="8">
        <v>40767</v>
      </c>
      <c r="B5801">
        <v>1356689.88</v>
      </c>
      <c r="C5801">
        <v>0</v>
      </c>
      <c r="D5801">
        <v>67.650000000000006</v>
      </c>
      <c r="E5801">
        <v>3.5419999999999998</v>
      </c>
      <c r="F5801">
        <v>194.11050169999999</v>
      </c>
      <c r="G5801">
        <v>6.9009999999999998</v>
      </c>
      <c r="N5801" s="8"/>
    </row>
    <row r="5802" spans="1:14" x14ac:dyDescent="0.25">
      <c r="A5802" s="8">
        <v>40774</v>
      </c>
      <c r="B5802">
        <v>1412959.97</v>
      </c>
      <c r="C5802">
        <v>0</v>
      </c>
      <c r="D5802">
        <v>70.55</v>
      </c>
      <c r="E5802">
        <v>3.4990000000000001</v>
      </c>
      <c r="F5802">
        <v>194.25006339999999</v>
      </c>
      <c r="G5802">
        <v>6.9009999999999998</v>
      </c>
      <c r="N5802" s="8"/>
    </row>
    <row r="5803" spans="1:14" x14ac:dyDescent="0.25">
      <c r="A5803" s="8">
        <v>40781</v>
      </c>
      <c r="B5803">
        <v>1328740.71</v>
      </c>
      <c r="C5803">
        <v>0</v>
      </c>
      <c r="D5803">
        <v>71.61</v>
      </c>
      <c r="E5803">
        <v>3.4849999999999999</v>
      </c>
      <c r="F5803">
        <v>194.37963740000001</v>
      </c>
      <c r="G5803">
        <v>6.9009999999999998</v>
      </c>
      <c r="N5803" s="8"/>
    </row>
    <row r="5804" spans="1:14" x14ac:dyDescent="0.25">
      <c r="A5804" s="8">
        <v>40788</v>
      </c>
      <c r="B5804">
        <v>1283849.3799999999</v>
      </c>
      <c r="C5804">
        <v>0</v>
      </c>
      <c r="D5804">
        <v>70.37</v>
      </c>
      <c r="E5804">
        <v>3.5110000000000001</v>
      </c>
      <c r="F5804">
        <v>194.5092113</v>
      </c>
      <c r="G5804">
        <v>6.9009999999999998</v>
      </c>
      <c r="N5804" s="8"/>
    </row>
    <row r="5805" spans="1:14" x14ac:dyDescent="0.25">
      <c r="A5805" s="8">
        <v>40795</v>
      </c>
      <c r="B5805">
        <v>1280958.97</v>
      </c>
      <c r="C5805">
        <v>1</v>
      </c>
      <c r="D5805">
        <v>58.31</v>
      </c>
      <c r="E5805">
        <v>3.5659999999999998</v>
      </c>
      <c r="F5805">
        <v>194.6387853</v>
      </c>
      <c r="G5805">
        <v>6.9009999999999998</v>
      </c>
      <c r="N5805" s="8"/>
    </row>
    <row r="5806" spans="1:14" x14ac:dyDescent="0.25">
      <c r="A5806" s="8">
        <v>40802</v>
      </c>
      <c r="B5806">
        <v>1197019.3899999999</v>
      </c>
      <c r="C5806">
        <v>0</v>
      </c>
      <c r="D5806">
        <v>54.82</v>
      </c>
      <c r="E5806">
        <v>3.5960000000000001</v>
      </c>
      <c r="F5806">
        <v>194.7419707</v>
      </c>
      <c r="G5806">
        <v>6.9009999999999998</v>
      </c>
      <c r="N5806" s="8"/>
    </row>
    <row r="5807" spans="1:14" x14ac:dyDescent="0.25">
      <c r="A5807" s="8">
        <v>40809</v>
      </c>
      <c r="B5807">
        <v>1173059.79</v>
      </c>
      <c r="C5807">
        <v>0</v>
      </c>
      <c r="D5807">
        <v>55.06</v>
      </c>
      <c r="E5807">
        <v>3.581</v>
      </c>
      <c r="F5807">
        <v>194.8099713</v>
      </c>
      <c r="G5807">
        <v>6.9009999999999998</v>
      </c>
      <c r="N5807" s="8"/>
    </row>
    <row r="5808" spans="1:14" x14ac:dyDescent="0.25">
      <c r="A5808" s="8">
        <v>40816</v>
      </c>
      <c r="B5808">
        <v>1160619.6100000001</v>
      </c>
      <c r="C5808">
        <v>0</v>
      </c>
      <c r="D5808">
        <v>61.77</v>
      </c>
      <c r="E5808">
        <v>3.5379999999999998</v>
      </c>
      <c r="F5808">
        <v>194.87797180000001</v>
      </c>
      <c r="G5808">
        <v>6.9009999999999998</v>
      </c>
      <c r="N5808" s="8"/>
    </row>
    <row r="5809" spans="1:14" x14ac:dyDescent="0.25">
      <c r="A5809" s="8">
        <v>40823</v>
      </c>
      <c r="B5809">
        <v>1277882.77</v>
      </c>
      <c r="C5809">
        <v>0</v>
      </c>
      <c r="D5809">
        <v>58.74</v>
      </c>
      <c r="E5809">
        <v>3.4980000000000002</v>
      </c>
      <c r="F5809">
        <v>194.94597239999999</v>
      </c>
      <c r="G5809">
        <v>6.7590000000000003</v>
      </c>
      <c r="N5809" s="8"/>
    </row>
    <row r="5810" spans="1:14" x14ac:dyDescent="0.25">
      <c r="A5810" s="8">
        <v>40830</v>
      </c>
      <c r="B5810">
        <v>1247130.22</v>
      </c>
      <c r="C5810">
        <v>0</v>
      </c>
      <c r="D5810">
        <v>47.43</v>
      </c>
      <c r="E5810">
        <v>3.4910000000000001</v>
      </c>
      <c r="F5810">
        <v>195.0261012</v>
      </c>
      <c r="G5810">
        <v>6.7590000000000003</v>
      </c>
      <c r="N5810" s="8"/>
    </row>
    <row r="5811" spans="1:14" x14ac:dyDescent="0.25">
      <c r="A5811" s="8">
        <v>40837</v>
      </c>
      <c r="B5811">
        <v>1214944.29</v>
      </c>
      <c r="C5811">
        <v>0</v>
      </c>
      <c r="D5811">
        <v>45.62</v>
      </c>
      <c r="E5811">
        <v>3.548</v>
      </c>
      <c r="F5811">
        <v>195.17899940000001</v>
      </c>
      <c r="G5811">
        <v>6.7590000000000003</v>
      </c>
      <c r="N5811" s="8"/>
    </row>
    <row r="5812" spans="1:14" x14ac:dyDescent="0.25">
      <c r="A5812" s="8">
        <v>40844</v>
      </c>
      <c r="B5812">
        <v>1274463.02</v>
      </c>
      <c r="C5812">
        <v>0</v>
      </c>
      <c r="D5812">
        <v>37.020000000000003</v>
      </c>
      <c r="E5812">
        <v>3.55</v>
      </c>
      <c r="F5812">
        <v>195.33189770000001</v>
      </c>
      <c r="G5812">
        <v>6.7590000000000003</v>
      </c>
      <c r="N5812" s="8"/>
    </row>
    <row r="5813" spans="1:14" x14ac:dyDescent="0.25">
      <c r="A5813" s="8">
        <v>40851</v>
      </c>
      <c r="B5813">
        <v>1315684.8600000001</v>
      </c>
      <c r="C5813">
        <v>0</v>
      </c>
      <c r="D5813">
        <v>35.04</v>
      </c>
      <c r="E5813">
        <v>3.5270000000000001</v>
      </c>
      <c r="F5813">
        <v>195.48479589999999</v>
      </c>
      <c r="G5813">
        <v>6.7590000000000003</v>
      </c>
      <c r="N5813" s="8"/>
    </row>
    <row r="5814" spans="1:14" x14ac:dyDescent="0.25">
      <c r="A5814" s="8">
        <v>40858</v>
      </c>
      <c r="B5814">
        <v>1302499.23</v>
      </c>
      <c r="C5814">
        <v>0</v>
      </c>
      <c r="D5814">
        <v>32.869999999999997</v>
      </c>
      <c r="E5814">
        <v>3.5049999999999999</v>
      </c>
      <c r="F5814">
        <v>195.6376941</v>
      </c>
      <c r="G5814">
        <v>6.7590000000000003</v>
      </c>
      <c r="N5814" s="8"/>
    </row>
    <row r="5815" spans="1:14" x14ac:dyDescent="0.25">
      <c r="A5815" s="8">
        <v>40865</v>
      </c>
      <c r="B5815">
        <v>1230118.02</v>
      </c>
      <c r="C5815">
        <v>0</v>
      </c>
      <c r="D5815">
        <v>36.64</v>
      </c>
      <c r="E5815">
        <v>3.4790000000000001</v>
      </c>
      <c r="F5815">
        <v>195.7184713</v>
      </c>
      <c r="G5815">
        <v>6.7590000000000003</v>
      </c>
      <c r="N5815" s="8"/>
    </row>
    <row r="5816" spans="1:14" x14ac:dyDescent="0.25">
      <c r="A5816" s="8">
        <v>40872</v>
      </c>
      <c r="B5816">
        <v>1906713.35</v>
      </c>
      <c r="C5816">
        <v>1</v>
      </c>
      <c r="D5816">
        <v>36.369999999999997</v>
      </c>
      <c r="E5816">
        <v>3.4239999999999999</v>
      </c>
      <c r="F5816">
        <v>195.7704</v>
      </c>
      <c r="G5816">
        <v>6.7590000000000003</v>
      </c>
      <c r="N5816" s="8"/>
    </row>
    <row r="5817" spans="1:14" x14ac:dyDescent="0.25">
      <c r="A5817" s="8">
        <v>40879</v>
      </c>
      <c r="B5817">
        <v>1292436.23</v>
      </c>
      <c r="C5817">
        <v>0</v>
      </c>
      <c r="D5817">
        <v>34.53</v>
      </c>
      <c r="E5817">
        <v>3.3780000000000001</v>
      </c>
      <c r="F5817">
        <v>195.82232870000001</v>
      </c>
      <c r="G5817">
        <v>6.7590000000000003</v>
      </c>
      <c r="N5817" s="8"/>
    </row>
    <row r="5818" spans="1:14" x14ac:dyDescent="0.25">
      <c r="A5818" s="8">
        <v>40886</v>
      </c>
      <c r="B5818">
        <v>1548661.45</v>
      </c>
      <c r="C5818">
        <v>0</v>
      </c>
      <c r="D5818">
        <v>17.05</v>
      </c>
      <c r="E5818">
        <v>3.331</v>
      </c>
      <c r="F5818">
        <v>195.8742575</v>
      </c>
      <c r="G5818">
        <v>6.7590000000000003</v>
      </c>
      <c r="N5818" s="8"/>
    </row>
    <row r="5819" spans="1:14" x14ac:dyDescent="0.25">
      <c r="A5819" s="8">
        <v>40893</v>
      </c>
      <c r="B5819">
        <v>1682368.32</v>
      </c>
      <c r="C5819">
        <v>0</v>
      </c>
      <c r="D5819">
        <v>25.01</v>
      </c>
      <c r="E5819">
        <v>3.266</v>
      </c>
      <c r="F5819">
        <v>195.98416850000001</v>
      </c>
      <c r="G5819">
        <v>6.7590000000000003</v>
      </c>
      <c r="N5819" s="8"/>
    </row>
    <row r="5820" spans="1:14" x14ac:dyDescent="0.25">
      <c r="A5820" s="8">
        <v>40900</v>
      </c>
      <c r="B5820">
        <v>2263722.6800000002</v>
      </c>
      <c r="C5820">
        <v>0</v>
      </c>
      <c r="D5820">
        <v>25.59</v>
      </c>
      <c r="E5820">
        <v>3.173</v>
      </c>
      <c r="F5820">
        <v>196.17138929999999</v>
      </c>
      <c r="G5820">
        <v>6.7590000000000003</v>
      </c>
      <c r="N5820" s="8"/>
    </row>
    <row r="5821" spans="1:14" x14ac:dyDescent="0.25">
      <c r="A5821" s="8">
        <v>40907</v>
      </c>
      <c r="B5821">
        <v>1264014.1599999999</v>
      </c>
      <c r="C5821">
        <v>1</v>
      </c>
      <c r="D5821">
        <v>34.119999999999997</v>
      </c>
      <c r="E5821">
        <v>3.1190000000000002</v>
      </c>
      <c r="F5821">
        <v>196.35861009999999</v>
      </c>
      <c r="G5821">
        <v>6.7590000000000003</v>
      </c>
      <c r="N5821" s="8"/>
    </row>
    <row r="5822" spans="1:14" x14ac:dyDescent="0.25">
      <c r="A5822" s="8">
        <v>40914</v>
      </c>
      <c r="B5822">
        <v>1208191.6100000001</v>
      </c>
      <c r="C5822">
        <v>0</v>
      </c>
      <c r="D5822">
        <v>37.21</v>
      </c>
      <c r="E5822">
        <v>3.0950000000000002</v>
      </c>
      <c r="F5822">
        <v>196.5458309</v>
      </c>
      <c r="G5822">
        <v>6.5890000000000004</v>
      </c>
      <c r="N5822" s="8"/>
    </row>
    <row r="5823" spans="1:14" x14ac:dyDescent="0.25">
      <c r="A5823" s="8">
        <v>40921</v>
      </c>
      <c r="B5823">
        <v>1134767.28</v>
      </c>
      <c r="C5823">
        <v>0</v>
      </c>
      <c r="D5823">
        <v>27.49</v>
      </c>
      <c r="E5823">
        <v>3.077</v>
      </c>
      <c r="F5823">
        <v>196.7330517</v>
      </c>
      <c r="G5823">
        <v>6.5890000000000004</v>
      </c>
      <c r="N5823" s="8"/>
    </row>
    <row r="5824" spans="1:14" x14ac:dyDescent="0.25">
      <c r="A5824" s="8">
        <v>40928</v>
      </c>
      <c r="B5824">
        <v>1116295.24</v>
      </c>
      <c r="C5824">
        <v>0</v>
      </c>
      <c r="D5824">
        <v>31.56</v>
      </c>
      <c r="E5824">
        <v>3.0550000000000002</v>
      </c>
      <c r="F5824">
        <v>196.77966520000001</v>
      </c>
      <c r="G5824">
        <v>6.5890000000000004</v>
      </c>
      <c r="N5824" s="8"/>
    </row>
    <row r="5825" spans="1:14" x14ac:dyDescent="0.25">
      <c r="A5825" s="8">
        <v>40935</v>
      </c>
      <c r="B5825">
        <v>1079398.81</v>
      </c>
      <c r="C5825">
        <v>0</v>
      </c>
      <c r="D5825">
        <v>33.15</v>
      </c>
      <c r="E5825">
        <v>3.0379999999999998</v>
      </c>
      <c r="F5825">
        <v>196.82627859999999</v>
      </c>
      <c r="G5825">
        <v>6.5890000000000004</v>
      </c>
      <c r="N5825" s="8"/>
    </row>
    <row r="5826" spans="1:14" x14ac:dyDescent="0.25">
      <c r="A5826" s="8">
        <v>40942</v>
      </c>
      <c r="B5826">
        <v>1208825.6000000001</v>
      </c>
      <c r="C5826">
        <v>0</v>
      </c>
      <c r="D5826">
        <v>31.65</v>
      </c>
      <c r="E5826">
        <v>3.0310000000000001</v>
      </c>
      <c r="F5826">
        <v>196.8728921</v>
      </c>
      <c r="G5826">
        <v>6.5890000000000004</v>
      </c>
      <c r="N5826" s="8"/>
    </row>
    <row r="5827" spans="1:14" x14ac:dyDescent="0.25">
      <c r="A5827" s="8">
        <v>40949</v>
      </c>
      <c r="B5827">
        <v>1238844.56</v>
      </c>
      <c r="C5827">
        <v>1</v>
      </c>
      <c r="D5827">
        <v>22</v>
      </c>
      <c r="E5827">
        <v>3.1030000000000002</v>
      </c>
      <c r="F5827">
        <v>196.91950560000001</v>
      </c>
      <c r="G5827">
        <v>6.5890000000000004</v>
      </c>
      <c r="N5827" s="8"/>
    </row>
    <row r="5828" spans="1:14" x14ac:dyDescent="0.25">
      <c r="A5828" s="8">
        <v>40956</v>
      </c>
      <c r="B5828">
        <v>1330451.46</v>
      </c>
      <c r="C5828">
        <v>0</v>
      </c>
      <c r="D5828">
        <v>22.52</v>
      </c>
      <c r="E5828">
        <v>3.113</v>
      </c>
      <c r="F5828">
        <v>196.9432711</v>
      </c>
      <c r="G5828">
        <v>6.5890000000000004</v>
      </c>
      <c r="N5828" s="8"/>
    </row>
    <row r="5829" spans="1:14" x14ac:dyDescent="0.25">
      <c r="A5829" s="8">
        <v>40963</v>
      </c>
      <c r="B5829">
        <v>1224915.6599999999</v>
      </c>
      <c r="C5829">
        <v>0</v>
      </c>
      <c r="D5829">
        <v>27.89</v>
      </c>
      <c r="E5829">
        <v>3.129</v>
      </c>
      <c r="F5829">
        <v>196.9499007</v>
      </c>
      <c r="G5829">
        <v>6.5890000000000004</v>
      </c>
      <c r="N5829" s="8"/>
    </row>
    <row r="5830" spans="1:14" x14ac:dyDescent="0.25">
      <c r="A5830" s="8">
        <v>40970</v>
      </c>
      <c r="B5830">
        <v>1239813.26</v>
      </c>
      <c r="C5830">
        <v>0</v>
      </c>
      <c r="D5830">
        <v>27.39</v>
      </c>
      <c r="E5830">
        <v>3.1909999999999998</v>
      </c>
      <c r="F5830">
        <v>196.9565303</v>
      </c>
      <c r="G5830">
        <v>6.5890000000000004</v>
      </c>
      <c r="N5830" s="8"/>
    </row>
    <row r="5831" spans="1:14" x14ac:dyDescent="0.25">
      <c r="A5831" s="8">
        <v>40977</v>
      </c>
      <c r="B5831">
        <v>1243814.77</v>
      </c>
      <c r="C5831">
        <v>0</v>
      </c>
      <c r="D5831">
        <v>35.299999999999997</v>
      </c>
      <c r="E5831">
        <v>3.286</v>
      </c>
      <c r="F5831">
        <v>196.96315989999999</v>
      </c>
      <c r="G5831">
        <v>6.5890000000000004</v>
      </c>
      <c r="N5831" s="8"/>
    </row>
    <row r="5832" spans="1:14" x14ac:dyDescent="0.25">
      <c r="A5832" s="8">
        <v>40984</v>
      </c>
      <c r="B5832">
        <v>1201511.6200000001</v>
      </c>
      <c r="C5832">
        <v>0</v>
      </c>
      <c r="D5832">
        <v>47.76</v>
      </c>
      <c r="E5832">
        <v>3.4860000000000002</v>
      </c>
      <c r="F5832">
        <v>197.0457208</v>
      </c>
      <c r="G5832">
        <v>6.5890000000000004</v>
      </c>
      <c r="N5832" s="8"/>
    </row>
    <row r="5833" spans="1:14" x14ac:dyDescent="0.25">
      <c r="A5833" s="8">
        <v>40991</v>
      </c>
      <c r="B5833">
        <v>1215354.3799999999</v>
      </c>
      <c r="C5833">
        <v>0</v>
      </c>
      <c r="D5833">
        <v>44.04</v>
      </c>
      <c r="E5833">
        <v>3.6640000000000001</v>
      </c>
      <c r="F5833">
        <v>197.22952340000001</v>
      </c>
      <c r="G5833">
        <v>6.5890000000000004</v>
      </c>
      <c r="N5833" s="8"/>
    </row>
    <row r="5834" spans="1:14" x14ac:dyDescent="0.25">
      <c r="A5834" s="8">
        <v>40998</v>
      </c>
      <c r="B5834">
        <v>1239423.19</v>
      </c>
      <c r="C5834">
        <v>0</v>
      </c>
      <c r="D5834">
        <v>51.56</v>
      </c>
      <c r="E5834">
        <v>3.75</v>
      </c>
      <c r="F5834">
        <v>197.41332589999999</v>
      </c>
      <c r="G5834">
        <v>6.5890000000000004</v>
      </c>
      <c r="N5834" s="8"/>
    </row>
    <row r="5835" spans="1:14" x14ac:dyDescent="0.25">
      <c r="A5835" s="8">
        <v>41005</v>
      </c>
      <c r="B5835">
        <v>1460234.31</v>
      </c>
      <c r="C5835">
        <v>0</v>
      </c>
      <c r="D5835">
        <v>48.48</v>
      </c>
      <c r="E5835">
        <v>3.8540000000000001</v>
      </c>
      <c r="F5835">
        <v>197.5971285</v>
      </c>
      <c r="G5835">
        <v>6.5469999999999997</v>
      </c>
      <c r="N5835" s="8"/>
    </row>
    <row r="5836" spans="1:14" x14ac:dyDescent="0.25">
      <c r="A5836" s="8">
        <v>41012</v>
      </c>
      <c r="B5836">
        <v>1323004.73</v>
      </c>
      <c r="C5836">
        <v>0</v>
      </c>
      <c r="D5836">
        <v>46.84</v>
      </c>
      <c r="E5836">
        <v>3.9009999999999998</v>
      </c>
      <c r="F5836">
        <v>197.78093100000001</v>
      </c>
      <c r="G5836">
        <v>6.5469999999999997</v>
      </c>
      <c r="N5836" s="8"/>
    </row>
    <row r="5837" spans="1:14" x14ac:dyDescent="0.25">
      <c r="A5837" s="8">
        <v>41019</v>
      </c>
      <c r="B5837">
        <v>1220815.33</v>
      </c>
      <c r="C5837">
        <v>0</v>
      </c>
      <c r="D5837">
        <v>43.57</v>
      </c>
      <c r="E5837">
        <v>3.9359999999999999</v>
      </c>
      <c r="F5837">
        <v>197.72273849999999</v>
      </c>
      <c r="G5837">
        <v>6.5469999999999997</v>
      </c>
      <c r="N5837" s="8"/>
    </row>
    <row r="5838" spans="1:14" x14ac:dyDescent="0.25">
      <c r="A5838" s="8">
        <v>41026</v>
      </c>
      <c r="B5838">
        <v>1248950.6499999999</v>
      </c>
      <c r="C5838">
        <v>0</v>
      </c>
      <c r="D5838">
        <v>57.66</v>
      </c>
      <c r="E5838">
        <v>3.927</v>
      </c>
      <c r="F5838">
        <v>197.664546</v>
      </c>
      <c r="G5838">
        <v>6.5469999999999997</v>
      </c>
      <c r="N5838" s="8"/>
    </row>
    <row r="5839" spans="1:14" x14ac:dyDescent="0.25">
      <c r="A5839" s="8">
        <v>41033</v>
      </c>
      <c r="B5839">
        <v>1359770.73</v>
      </c>
      <c r="C5839">
        <v>0</v>
      </c>
      <c r="D5839">
        <v>52.86</v>
      </c>
      <c r="E5839">
        <v>3.903</v>
      </c>
      <c r="F5839">
        <v>197.60635339999999</v>
      </c>
      <c r="G5839">
        <v>6.5469999999999997</v>
      </c>
      <c r="N5839" s="8"/>
    </row>
    <row r="5840" spans="1:14" x14ac:dyDescent="0.25">
      <c r="A5840" s="8">
        <v>41040</v>
      </c>
      <c r="B5840">
        <v>1353285.1</v>
      </c>
      <c r="C5840">
        <v>0</v>
      </c>
      <c r="D5840">
        <v>50.22</v>
      </c>
      <c r="E5840">
        <v>3.87</v>
      </c>
      <c r="F5840">
        <v>197.5481609</v>
      </c>
      <c r="G5840">
        <v>6.5469999999999997</v>
      </c>
      <c r="N5840" s="8"/>
    </row>
    <row r="5841" spans="1:14" x14ac:dyDescent="0.25">
      <c r="A5841" s="8">
        <v>41047</v>
      </c>
      <c r="B5841">
        <v>1331514.44</v>
      </c>
      <c r="C5841">
        <v>0</v>
      </c>
      <c r="D5841">
        <v>55.24</v>
      </c>
      <c r="E5841">
        <v>3.8370000000000002</v>
      </c>
      <c r="F5841">
        <v>197.5553137</v>
      </c>
      <c r="G5841">
        <v>6.5469999999999997</v>
      </c>
      <c r="N5841" s="8"/>
    </row>
    <row r="5842" spans="1:14" x14ac:dyDescent="0.25">
      <c r="A5842" s="8">
        <v>41054</v>
      </c>
      <c r="B5842">
        <v>1424500.47</v>
      </c>
      <c r="C5842">
        <v>0</v>
      </c>
      <c r="D5842">
        <v>54.89</v>
      </c>
      <c r="E5842">
        <v>3.8039999999999998</v>
      </c>
      <c r="F5842">
        <v>197.5886046</v>
      </c>
      <c r="G5842">
        <v>6.5469999999999997</v>
      </c>
      <c r="N5842" s="8"/>
    </row>
    <row r="5843" spans="1:14" x14ac:dyDescent="0.25">
      <c r="A5843" s="8">
        <v>41061</v>
      </c>
      <c r="B5843">
        <v>1374891.36</v>
      </c>
      <c r="C5843">
        <v>0</v>
      </c>
      <c r="D5843">
        <v>57.29</v>
      </c>
      <c r="E5843">
        <v>3.7639999999999998</v>
      </c>
      <c r="F5843">
        <v>197.6218954</v>
      </c>
      <c r="G5843">
        <v>6.5469999999999997</v>
      </c>
      <c r="N5843" s="8"/>
    </row>
    <row r="5844" spans="1:14" x14ac:dyDescent="0.25">
      <c r="A5844" s="8">
        <v>41068</v>
      </c>
      <c r="B5844">
        <v>1436383.84</v>
      </c>
      <c r="C5844">
        <v>0</v>
      </c>
      <c r="D5844">
        <v>65.11</v>
      </c>
      <c r="E5844">
        <v>3.7410000000000001</v>
      </c>
      <c r="F5844">
        <v>197.6551863</v>
      </c>
      <c r="G5844">
        <v>6.5469999999999997</v>
      </c>
      <c r="N5844" s="8"/>
    </row>
    <row r="5845" spans="1:14" x14ac:dyDescent="0.25">
      <c r="A5845" s="8">
        <v>41075</v>
      </c>
      <c r="B5845">
        <v>1384584.59</v>
      </c>
      <c r="C5845">
        <v>0</v>
      </c>
      <c r="D5845">
        <v>64.92</v>
      </c>
      <c r="E5845">
        <v>3.7229999999999999</v>
      </c>
      <c r="F5845">
        <v>197.69229200000001</v>
      </c>
      <c r="G5845">
        <v>6.5469999999999997</v>
      </c>
      <c r="N5845" s="8"/>
    </row>
    <row r="5846" spans="1:14" x14ac:dyDescent="0.25">
      <c r="A5846" s="8">
        <v>41082</v>
      </c>
      <c r="B5846">
        <v>1386407.17</v>
      </c>
      <c r="C5846">
        <v>0</v>
      </c>
      <c r="D5846">
        <v>66.88</v>
      </c>
      <c r="E5846">
        <v>3.7349999999999999</v>
      </c>
      <c r="F5846">
        <v>197.7389345</v>
      </c>
      <c r="G5846">
        <v>6.5469999999999997</v>
      </c>
      <c r="N5846" s="8"/>
    </row>
    <row r="5847" spans="1:14" x14ac:dyDescent="0.25">
      <c r="A5847" s="8">
        <v>41089</v>
      </c>
      <c r="B5847">
        <v>1355600.01</v>
      </c>
      <c r="C5847">
        <v>0</v>
      </c>
      <c r="D5847">
        <v>76.540000000000006</v>
      </c>
      <c r="E5847">
        <v>3.6930000000000001</v>
      </c>
      <c r="F5847">
        <v>197.78557699999999</v>
      </c>
      <c r="G5847">
        <v>6.5469999999999997</v>
      </c>
      <c r="N5847" s="8"/>
    </row>
    <row r="5848" spans="1:14" x14ac:dyDescent="0.25">
      <c r="A5848" s="8">
        <v>41096</v>
      </c>
      <c r="B5848">
        <v>1456300.89</v>
      </c>
      <c r="C5848">
        <v>0</v>
      </c>
      <c r="D5848">
        <v>74.47</v>
      </c>
      <c r="E5848">
        <v>3.6459999999999999</v>
      </c>
      <c r="F5848">
        <v>197.83221950000001</v>
      </c>
      <c r="G5848">
        <v>6.4320000000000004</v>
      </c>
      <c r="N5848" s="8"/>
    </row>
    <row r="5849" spans="1:14" x14ac:dyDescent="0.25">
      <c r="A5849" s="8">
        <v>41103</v>
      </c>
      <c r="B5849">
        <v>1332594.07</v>
      </c>
      <c r="C5849">
        <v>0</v>
      </c>
      <c r="D5849">
        <v>67.239999999999995</v>
      </c>
      <c r="E5849">
        <v>3.613</v>
      </c>
      <c r="F5849">
        <v>197.87886209999999</v>
      </c>
      <c r="G5849">
        <v>6.4320000000000004</v>
      </c>
      <c r="N5849" s="8"/>
    </row>
    <row r="5850" spans="1:14" x14ac:dyDescent="0.25">
      <c r="A5850" s="8">
        <v>41110</v>
      </c>
      <c r="B5850">
        <v>1347175.93</v>
      </c>
      <c r="C5850">
        <v>0</v>
      </c>
      <c r="D5850">
        <v>74.06</v>
      </c>
      <c r="E5850">
        <v>3.585</v>
      </c>
      <c r="F5850">
        <v>197.9290378</v>
      </c>
      <c r="G5850">
        <v>6.4320000000000004</v>
      </c>
      <c r="N5850" s="8"/>
    </row>
    <row r="5851" spans="1:14" x14ac:dyDescent="0.25">
      <c r="A5851" s="8">
        <v>41117</v>
      </c>
      <c r="B5851">
        <v>1344723.97</v>
      </c>
      <c r="C5851">
        <v>0</v>
      </c>
      <c r="D5851">
        <v>73.31</v>
      </c>
      <c r="E5851">
        <v>3.57</v>
      </c>
      <c r="F5851">
        <v>197.97921360000001</v>
      </c>
      <c r="G5851">
        <v>6.4320000000000004</v>
      </c>
      <c r="N5851" s="8"/>
    </row>
    <row r="5852" spans="1:14" x14ac:dyDescent="0.25">
      <c r="A5852" s="8">
        <v>41124</v>
      </c>
      <c r="B5852">
        <v>1439607.35</v>
      </c>
      <c r="C5852">
        <v>0</v>
      </c>
      <c r="D5852">
        <v>73.16</v>
      </c>
      <c r="E5852">
        <v>3.528</v>
      </c>
      <c r="F5852">
        <v>198.02938929999999</v>
      </c>
      <c r="G5852">
        <v>6.4320000000000004</v>
      </c>
      <c r="N5852" s="8"/>
    </row>
    <row r="5853" spans="1:14" x14ac:dyDescent="0.25">
      <c r="A5853" s="8">
        <v>41131</v>
      </c>
      <c r="B5853">
        <v>1504545.94</v>
      </c>
      <c r="C5853">
        <v>0</v>
      </c>
      <c r="D5853">
        <v>71.73</v>
      </c>
      <c r="E5853">
        <v>3.5089999999999999</v>
      </c>
      <c r="F5853">
        <v>198.0795651</v>
      </c>
      <c r="G5853">
        <v>6.4320000000000004</v>
      </c>
      <c r="N5853" s="8"/>
    </row>
    <row r="5854" spans="1:14" x14ac:dyDescent="0.25">
      <c r="A5854" s="8">
        <v>41138</v>
      </c>
      <c r="B5854">
        <v>1560590.05</v>
      </c>
      <c r="C5854">
        <v>0</v>
      </c>
      <c r="D5854">
        <v>65.77</v>
      </c>
      <c r="E5854">
        <v>3.5449999999999999</v>
      </c>
      <c r="F5854">
        <v>198.1001057</v>
      </c>
      <c r="G5854">
        <v>6.4320000000000004</v>
      </c>
      <c r="N5854" s="8"/>
    </row>
    <row r="5855" spans="1:14" x14ac:dyDescent="0.25">
      <c r="A5855" s="8">
        <v>41145</v>
      </c>
      <c r="B5855">
        <v>1464462.85</v>
      </c>
      <c r="C5855">
        <v>0</v>
      </c>
      <c r="D5855">
        <v>69.069999999999993</v>
      </c>
      <c r="E5855">
        <v>3.5579999999999998</v>
      </c>
      <c r="F5855">
        <v>198.09841990000001</v>
      </c>
      <c r="G5855">
        <v>6.4320000000000004</v>
      </c>
      <c r="N5855" s="8"/>
    </row>
    <row r="5856" spans="1:14" x14ac:dyDescent="0.25">
      <c r="A5856" s="8">
        <v>41152</v>
      </c>
      <c r="B5856">
        <v>1360517.52</v>
      </c>
      <c r="C5856">
        <v>0</v>
      </c>
      <c r="D5856">
        <v>71.56</v>
      </c>
      <c r="E5856">
        <v>3.556</v>
      </c>
      <c r="F5856">
        <v>198.09673409999999</v>
      </c>
      <c r="G5856">
        <v>6.4320000000000004</v>
      </c>
      <c r="N5856" s="8"/>
    </row>
    <row r="5857" spans="1:14" x14ac:dyDescent="0.25">
      <c r="A5857" s="8">
        <v>41159</v>
      </c>
      <c r="B5857">
        <v>1392143.82</v>
      </c>
      <c r="C5857">
        <v>1</v>
      </c>
      <c r="D5857">
        <v>67.41</v>
      </c>
      <c r="E5857">
        <v>3.5960000000000001</v>
      </c>
      <c r="F5857">
        <v>198.0950484</v>
      </c>
      <c r="G5857">
        <v>6.4320000000000004</v>
      </c>
      <c r="N5857" s="8"/>
    </row>
    <row r="5858" spans="1:14" x14ac:dyDescent="0.25">
      <c r="A5858" s="8">
        <v>41166</v>
      </c>
      <c r="B5858">
        <v>1306644.25</v>
      </c>
      <c r="C5858">
        <v>0</v>
      </c>
      <c r="D5858">
        <v>59.39</v>
      </c>
      <c r="E5858">
        <v>3.6589999999999998</v>
      </c>
      <c r="F5858">
        <v>198.12671839999999</v>
      </c>
      <c r="G5858">
        <v>6.4320000000000004</v>
      </c>
      <c r="N5858" s="8"/>
    </row>
    <row r="5859" spans="1:14" x14ac:dyDescent="0.25">
      <c r="A5859" s="8">
        <v>41173</v>
      </c>
      <c r="B5859">
        <v>1276609.3600000001</v>
      </c>
      <c r="C5859">
        <v>0</v>
      </c>
      <c r="D5859">
        <v>59.81</v>
      </c>
      <c r="E5859">
        <v>3.7650000000000001</v>
      </c>
      <c r="F5859">
        <v>198.35852299999999</v>
      </c>
      <c r="G5859">
        <v>6.4320000000000004</v>
      </c>
      <c r="N5859" s="8"/>
    </row>
    <row r="5860" spans="1:14" x14ac:dyDescent="0.25">
      <c r="A5860" s="8">
        <v>41180</v>
      </c>
      <c r="B5860">
        <v>1307928.01</v>
      </c>
      <c r="C5860">
        <v>0</v>
      </c>
      <c r="D5860">
        <v>56.08</v>
      </c>
      <c r="E5860">
        <v>3.7890000000000001</v>
      </c>
      <c r="F5860">
        <v>198.59032759999999</v>
      </c>
      <c r="G5860">
        <v>6.4320000000000004</v>
      </c>
      <c r="N5860" s="8"/>
    </row>
    <row r="5861" spans="1:14" x14ac:dyDescent="0.25">
      <c r="A5861" s="8">
        <v>41187</v>
      </c>
      <c r="B5861">
        <v>1400160.95</v>
      </c>
      <c r="C5861">
        <v>0</v>
      </c>
      <c r="D5861">
        <v>50.14</v>
      </c>
      <c r="E5861">
        <v>3.7789999999999999</v>
      </c>
      <c r="F5861">
        <v>198.8221322</v>
      </c>
      <c r="G5861">
        <v>6.1950000000000003</v>
      </c>
      <c r="N5861" s="8"/>
    </row>
    <row r="5862" spans="1:14" x14ac:dyDescent="0.25">
      <c r="A5862" s="8">
        <v>41194</v>
      </c>
      <c r="B5862">
        <v>1409544.97</v>
      </c>
      <c r="C5862">
        <v>0</v>
      </c>
      <c r="D5862">
        <v>39.380000000000003</v>
      </c>
      <c r="E5862">
        <v>3.76</v>
      </c>
      <c r="F5862">
        <v>199.0539368</v>
      </c>
      <c r="G5862">
        <v>6.1950000000000003</v>
      </c>
      <c r="N5862" s="8"/>
    </row>
    <row r="5863" spans="1:14" x14ac:dyDescent="0.25">
      <c r="A5863" s="8">
        <v>41201</v>
      </c>
      <c r="B5863">
        <v>1326197.24</v>
      </c>
      <c r="C5863">
        <v>0</v>
      </c>
      <c r="D5863">
        <v>49.56</v>
      </c>
      <c r="E5863">
        <v>3.75</v>
      </c>
      <c r="F5863">
        <v>199.1481963</v>
      </c>
      <c r="G5863">
        <v>6.1950000000000003</v>
      </c>
      <c r="N5863" s="8"/>
    </row>
    <row r="5864" spans="1:14" x14ac:dyDescent="0.25">
      <c r="A5864" s="8">
        <v>41208</v>
      </c>
      <c r="B5864">
        <v>1316542.5900000001</v>
      </c>
      <c r="C5864">
        <v>0</v>
      </c>
      <c r="D5864">
        <v>41.8</v>
      </c>
      <c r="E5864">
        <v>3.6859999999999999</v>
      </c>
      <c r="F5864">
        <v>199.2195317</v>
      </c>
      <c r="G5864">
        <v>6.1950000000000003</v>
      </c>
      <c r="N5864" s="8"/>
    </row>
    <row r="5865" spans="1:14" x14ac:dyDescent="0.25">
      <c r="A5865" s="8">
        <v>40214</v>
      </c>
      <c r="B5865">
        <v>543384.01</v>
      </c>
      <c r="C5865">
        <v>0</v>
      </c>
      <c r="D5865">
        <v>54.34</v>
      </c>
      <c r="E5865">
        <v>2.9620000000000002</v>
      </c>
      <c r="F5865">
        <v>126.4420645</v>
      </c>
      <c r="G5865">
        <v>9.7650000000000006</v>
      </c>
      <c r="N5865" s="8"/>
    </row>
    <row r="5866" spans="1:14" x14ac:dyDescent="0.25">
      <c r="A5866" s="8">
        <v>40221</v>
      </c>
      <c r="B5866">
        <v>575709.96</v>
      </c>
      <c r="C5866">
        <v>1</v>
      </c>
      <c r="D5866">
        <v>49.96</v>
      </c>
      <c r="E5866">
        <v>2.8279999999999998</v>
      </c>
      <c r="F5866">
        <v>126.49625810000001</v>
      </c>
      <c r="G5866">
        <v>9.7650000000000006</v>
      </c>
      <c r="N5866" s="8"/>
    </row>
    <row r="5867" spans="1:14" x14ac:dyDescent="0.25">
      <c r="A5867" s="8">
        <v>40228</v>
      </c>
      <c r="B5867">
        <v>508794.87</v>
      </c>
      <c r="C5867">
        <v>0</v>
      </c>
      <c r="D5867">
        <v>58.22</v>
      </c>
      <c r="E5867">
        <v>2.915</v>
      </c>
      <c r="F5867">
        <v>126.5262857</v>
      </c>
      <c r="G5867">
        <v>9.7650000000000006</v>
      </c>
      <c r="N5867" s="8"/>
    </row>
    <row r="5868" spans="1:14" x14ac:dyDescent="0.25">
      <c r="A5868" s="8">
        <v>40235</v>
      </c>
      <c r="B5868">
        <v>491510.58</v>
      </c>
      <c r="C5868">
        <v>0</v>
      </c>
      <c r="D5868">
        <v>52.77</v>
      </c>
      <c r="E5868">
        <v>2.8250000000000002</v>
      </c>
      <c r="F5868">
        <v>126.5522857</v>
      </c>
      <c r="G5868">
        <v>9.7650000000000006</v>
      </c>
      <c r="N5868" s="8"/>
    </row>
    <row r="5869" spans="1:14" x14ac:dyDescent="0.25">
      <c r="A5869" s="8">
        <v>40242</v>
      </c>
      <c r="B5869">
        <v>554972.42000000004</v>
      </c>
      <c r="C5869">
        <v>0</v>
      </c>
      <c r="D5869">
        <v>55.92</v>
      </c>
      <c r="E5869">
        <v>2.8769999999999998</v>
      </c>
      <c r="F5869">
        <v>126.5782857</v>
      </c>
      <c r="G5869">
        <v>9.7650000000000006</v>
      </c>
      <c r="N5869" s="8"/>
    </row>
    <row r="5870" spans="1:14" x14ac:dyDescent="0.25">
      <c r="A5870" s="8">
        <v>40249</v>
      </c>
      <c r="B5870">
        <v>588363.62</v>
      </c>
      <c r="C5870">
        <v>0</v>
      </c>
      <c r="D5870">
        <v>52.33</v>
      </c>
      <c r="E5870">
        <v>3.0339999999999998</v>
      </c>
      <c r="F5870">
        <v>126.60428570000001</v>
      </c>
      <c r="G5870">
        <v>9.7650000000000006</v>
      </c>
      <c r="N5870" s="8"/>
    </row>
    <row r="5871" spans="1:14" x14ac:dyDescent="0.25">
      <c r="A5871" s="8">
        <v>40256</v>
      </c>
      <c r="B5871">
        <v>519914.1</v>
      </c>
      <c r="C5871">
        <v>0</v>
      </c>
      <c r="D5871">
        <v>61.46</v>
      </c>
      <c r="E5871">
        <v>3.0539999999999998</v>
      </c>
      <c r="F5871">
        <v>126.6066452</v>
      </c>
      <c r="G5871">
        <v>9.7650000000000006</v>
      </c>
      <c r="N5871" s="8"/>
    </row>
    <row r="5872" spans="1:14" x14ac:dyDescent="0.25">
      <c r="A5872" s="8">
        <v>40263</v>
      </c>
      <c r="B5872">
        <v>478021.68</v>
      </c>
      <c r="C5872">
        <v>0</v>
      </c>
      <c r="D5872">
        <v>60.05</v>
      </c>
      <c r="E5872">
        <v>2.98</v>
      </c>
      <c r="F5872">
        <v>126.6050645</v>
      </c>
      <c r="G5872">
        <v>9.7650000000000006</v>
      </c>
      <c r="N5872" s="8"/>
    </row>
    <row r="5873" spans="1:14" x14ac:dyDescent="0.25">
      <c r="A5873" s="8">
        <v>40270</v>
      </c>
      <c r="B5873">
        <v>505907.41</v>
      </c>
      <c r="C5873">
        <v>0</v>
      </c>
      <c r="D5873">
        <v>63.66</v>
      </c>
      <c r="E5873">
        <v>3.0859999999999999</v>
      </c>
      <c r="F5873">
        <v>126.6034839</v>
      </c>
      <c r="G5873">
        <v>9.5239999999999991</v>
      </c>
      <c r="N5873" s="8"/>
    </row>
    <row r="5874" spans="1:14" x14ac:dyDescent="0.25">
      <c r="A5874" s="8">
        <v>40277</v>
      </c>
      <c r="B5874">
        <v>582552.26</v>
      </c>
      <c r="C5874">
        <v>0</v>
      </c>
      <c r="D5874">
        <v>65.290000000000006</v>
      </c>
      <c r="E5874">
        <v>3.004</v>
      </c>
      <c r="F5874">
        <v>126.6019032</v>
      </c>
      <c r="G5874">
        <v>9.5239999999999991</v>
      </c>
      <c r="N5874" s="8"/>
    </row>
    <row r="5875" spans="1:14" x14ac:dyDescent="0.25">
      <c r="A5875" s="8">
        <v>40284</v>
      </c>
      <c r="B5875">
        <v>549528.16</v>
      </c>
      <c r="C5875">
        <v>0</v>
      </c>
      <c r="D5875">
        <v>69.739999999999995</v>
      </c>
      <c r="E5875">
        <v>3.109</v>
      </c>
      <c r="F5875">
        <v>126.5621</v>
      </c>
      <c r="G5875">
        <v>9.5239999999999991</v>
      </c>
      <c r="N5875" s="8"/>
    </row>
    <row r="5876" spans="1:14" x14ac:dyDescent="0.25">
      <c r="A5876" s="8">
        <v>40291</v>
      </c>
      <c r="B5876">
        <v>492364.77</v>
      </c>
      <c r="C5876">
        <v>0</v>
      </c>
      <c r="D5876">
        <v>66.42</v>
      </c>
      <c r="E5876">
        <v>3.05</v>
      </c>
      <c r="F5876">
        <v>126.4713333</v>
      </c>
      <c r="G5876">
        <v>9.5239999999999991</v>
      </c>
      <c r="N5876" s="8"/>
    </row>
    <row r="5877" spans="1:14" x14ac:dyDescent="0.25">
      <c r="A5877" s="8">
        <v>40298</v>
      </c>
      <c r="B5877">
        <v>477615.87</v>
      </c>
      <c r="C5877">
        <v>0</v>
      </c>
      <c r="D5877">
        <v>69.760000000000005</v>
      </c>
      <c r="E5877">
        <v>3.105</v>
      </c>
      <c r="F5877">
        <v>126.3805667</v>
      </c>
      <c r="G5877">
        <v>9.5239999999999991</v>
      </c>
      <c r="N5877" s="8"/>
    </row>
    <row r="5878" spans="1:14" x14ac:dyDescent="0.25">
      <c r="A5878" s="8">
        <v>40305</v>
      </c>
      <c r="B5878">
        <v>582846.22</v>
      </c>
      <c r="C5878">
        <v>0</v>
      </c>
      <c r="D5878">
        <v>71.06</v>
      </c>
      <c r="E5878">
        <v>3.1269999999999998</v>
      </c>
      <c r="F5878">
        <v>126.2898</v>
      </c>
      <c r="G5878">
        <v>9.5239999999999991</v>
      </c>
      <c r="N5878" s="8"/>
    </row>
    <row r="5879" spans="1:14" x14ac:dyDescent="0.25">
      <c r="A5879" s="8">
        <v>40312</v>
      </c>
      <c r="B5879">
        <v>564345.55000000005</v>
      </c>
      <c r="C5879">
        <v>0</v>
      </c>
      <c r="D5879">
        <v>73.88</v>
      </c>
      <c r="E5879">
        <v>3.145</v>
      </c>
      <c r="F5879">
        <v>126.2085484</v>
      </c>
      <c r="G5879">
        <v>9.5239999999999991</v>
      </c>
      <c r="N5879" s="8"/>
    </row>
    <row r="5880" spans="1:14" x14ac:dyDescent="0.25">
      <c r="A5880" s="8">
        <v>40319</v>
      </c>
      <c r="B5880">
        <v>504403.16</v>
      </c>
      <c r="C5880">
        <v>0</v>
      </c>
      <c r="D5880">
        <v>78.319999999999993</v>
      </c>
      <c r="E5880">
        <v>3.12</v>
      </c>
      <c r="F5880">
        <v>126.1843871</v>
      </c>
      <c r="G5880">
        <v>9.5239999999999991</v>
      </c>
      <c r="N5880" s="8"/>
    </row>
    <row r="5881" spans="1:14" x14ac:dyDescent="0.25">
      <c r="A5881" s="8">
        <v>40326</v>
      </c>
      <c r="B5881">
        <v>484097.03</v>
      </c>
      <c r="C5881">
        <v>0</v>
      </c>
      <c r="D5881">
        <v>76.67</v>
      </c>
      <c r="E5881">
        <v>3.0579999999999998</v>
      </c>
      <c r="F5881">
        <v>126.16022580000001</v>
      </c>
      <c r="G5881">
        <v>9.5239999999999991</v>
      </c>
      <c r="N5881" s="8"/>
    </row>
    <row r="5882" spans="1:14" x14ac:dyDescent="0.25">
      <c r="A5882" s="8">
        <v>40333</v>
      </c>
      <c r="B5882">
        <v>556046.12</v>
      </c>
      <c r="C5882">
        <v>0</v>
      </c>
      <c r="D5882">
        <v>82.82</v>
      </c>
      <c r="E5882">
        <v>2.9409999999999998</v>
      </c>
      <c r="F5882">
        <v>126.1360645</v>
      </c>
      <c r="G5882">
        <v>9.5239999999999991</v>
      </c>
      <c r="N5882" s="8"/>
    </row>
    <row r="5883" spans="1:14" x14ac:dyDescent="0.25">
      <c r="A5883" s="8">
        <v>40340</v>
      </c>
      <c r="B5883">
        <v>607218.6</v>
      </c>
      <c r="C5883">
        <v>0</v>
      </c>
      <c r="D5883">
        <v>89.67</v>
      </c>
      <c r="E5883">
        <v>3.0569999999999999</v>
      </c>
      <c r="F5883">
        <v>126.1119032</v>
      </c>
      <c r="G5883">
        <v>9.5239999999999991</v>
      </c>
      <c r="N5883" s="8"/>
    </row>
    <row r="5884" spans="1:14" x14ac:dyDescent="0.25">
      <c r="A5884" s="8">
        <v>40347</v>
      </c>
      <c r="B5884">
        <v>529418.64</v>
      </c>
      <c r="C5884">
        <v>0</v>
      </c>
      <c r="D5884">
        <v>83.49</v>
      </c>
      <c r="E5884">
        <v>2.9350000000000001</v>
      </c>
      <c r="F5884">
        <v>126.114</v>
      </c>
      <c r="G5884">
        <v>9.5239999999999991</v>
      </c>
      <c r="N5884" s="8"/>
    </row>
    <row r="5885" spans="1:14" x14ac:dyDescent="0.25">
      <c r="A5885" s="8">
        <v>40354</v>
      </c>
      <c r="B5885">
        <v>484327.56</v>
      </c>
      <c r="C5885">
        <v>0</v>
      </c>
      <c r="D5885">
        <v>90.32</v>
      </c>
      <c r="E5885">
        <v>3.0840000000000001</v>
      </c>
      <c r="F5885">
        <v>126.1266</v>
      </c>
      <c r="G5885">
        <v>9.5239999999999991</v>
      </c>
      <c r="N5885" s="8"/>
    </row>
    <row r="5886" spans="1:14" x14ac:dyDescent="0.25">
      <c r="A5886" s="8">
        <v>40361</v>
      </c>
      <c r="B5886">
        <v>507168.8</v>
      </c>
      <c r="C5886">
        <v>0</v>
      </c>
      <c r="D5886">
        <v>92.89</v>
      </c>
      <c r="E5886">
        <v>2.9780000000000002</v>
      </c>
      <c r="F5886">
        <v>126.1392</v>
      </c>
      <c r="G5886">
        <v>9.1989999999999998</v>
      </c>
      <c r="N5886" s="8"/>
    </row>
    <row r="5887" spans="1:14" x14ac:dyDescent="0.25">
      <c r="A5887" s="8">
        <v>40368</v>
      </c>
      <c r="B5887">
        <v>570069.48</v>
      </c>
      <c r="C5887">
        <v>0</v>
      </c>
      <c r="D5887">
        <v>91.03</v>
      </c>
      <c r="E5887">
        <v>3.1</v>
      </c>
      <c r="F5887">
        <v>126.15179999999999</v>
      </c>
      <c r="G5887">
        <v>9.1989999999999998</v>
      </c>
      <c r="N5887" s="8"/>
    </row>
    <row r="5888" spans="1:14" x14ac:dyDescent="0.25">
      <c r="A5888" s="8">
        <v>40375</v>
      </c>
      <c r="B5888">
        <v>558837.27</v>
      </c>
      <c r="C5888">
        <v>0</v>
      </c>
      <c r="D5888">
        <v>91.8</v>
      </c>
      <c r="E5888">
        <v>2.9710000000000001</v>
      </c>
      <c r="F5888">
        <v>126.1498065</v>
      </c>
      <c r="G5888">
        <v>9.1989999999999998</v>
      </c>
      <c r="N5888" s="8"/>
    </row>
    <row r="5889" spans="1:14" x14ac:dyDescent="0.25">
      <c r="A5889" s="8">
        <v>40382</v>
      </c>
      <c r="B5889">
        <v>491115.86</v>
      </c>
      <c r="C5889">
        <v>0</v>
      </c>
      <c r="D5889">
        <v>88.44</v>
      </c>
      <c r="E5889">
        <v>3.1120000000000001</v>
      </c>
      <c r="F5889">
        <v>126.1283548</v>
      </c>
      <c r="G5889">
        <v>9.1989999999999998</v>
      </c>
      <c r="N5889" s="8"/>
    </row>
    <row r="5890" spans="1:14" x14ac:dyDescent="0.25">
      <c r="A5890" s="8">
        <v>40389</v>
      </c>
      <c r="B5890">
        <v>469598.57</v>
      </c>
      <c r="C5890">
        <v>0</v>
      </c>
      <c r="D5890">
        <v>85.03</v>
      </c>
      <c r="E5890">
        <v>3.0169999999999999</v>
      </c>
      <c r="F5890">
        <v>126.1069032</v>
      </c>
      <c r="G5890">
        <v>9.1989999999999998</v>
      </c>
      <c r="N5890" s="8"/>
    </row>
    <row r="5891" spans="1:14" x14ac:dyDescent="0.25">
      <c r="A5891" s="8">
        <v>40396</v>
      </c>
      <c r="B5891">
        <v>579544.21</v>
      </c>
      <c r="C5891">
        <v>0</v>
      </c>
      <c r="D5891">
        <v>86.13</v>
      </c>
      <c r="E5891">
        <v>3.1230000000000002</v>
      </c>
      <c r="F5891">
        <v>126.0854516</v>
      </c>
      <c r="G5891">
        <v>9.1989999999999998</v>
      </c>
      <c r="N5891" s="8"/>
    </row>
    <row r="5892" spans="1:14" x14ac:dyDescent="0.25">
      <c r="A5892" s="8">
        <v>40403</v>
      </c>
      <c r="B5892">
        <v>583079.97</v>
      </c>
      <c r="C5892">
        <v>0</v>
      </c>
      <c r="D5892">
        <v>88.37</v>
      </c>
      <c r="E5892">
        <v>3.0489999999999999</v>
      </c>
      <c r="F5892">
        <v>126.06399999999999</v>
      </c>
      <c r="G5892">
        <v>9.1989999999999998</v>
      </c>
      <c r="N5892" s="8"/>
    </row>
    <row r="5893" spans="1:14" x14ac:dyDescent="0.25">
      <c r="A5893" s="8">
        <v>40410</v>
      </c>
      <c r="B5893">
        <v>500945.63</v>
      </c>
      <c r="C5893">
        <v>0</v>
      </c>
      <c r="D5893">
        <v>89.88</v>
      </c>
      <c r="E5893">
        <v>3.0409999999999999</v>
      </c>
      <c r="F5893">
        <v>126.0766452</v>
      </c>
      <c r="G5893">
        <v>9.1989999999999998</v>
      </c>
      <c r="N5893" s="8"/>
    </row>
    <row r="5894" spans="1:14" x14ac:dyDescent="0.25">
      <c r="A5894" s="8">
        <v>40417</v>
      </c>
      <c r="B5894">
        <v>465993.51</v>
      </c>
      <c r="C5894">
        <v>0</v>
      </c>
      <c r="D5894">
        <v>84.99</v>
      </c>
      <c r="E5894">
        <v>3.0219999999999998</v>
      </c>
      <c r="F5894">
        <v>126.0892903</v>
      </c>
      <c r="G5894">
        <v>9.1989999999999998</v>
      </c>
      <c r="N5894" s="8"/>
    </row>
    <row r="5895" spans="1:14" x14ac:dyDescent="0.25">
      <c r="A5895" s="8">
        <v>40424</v>
      </c>
      <c r="B5895">
        <v>524658.06000000006</v>
      </c>
      <c r="C5895">
        <v>0</v>
      </c>
      <c r="D5895">
        <v>83.8</v>
      </c>
      <c r="E5895">
        <v>3.0870000000000002</v>
      </c>
      <c r="F5895">
        <v>126.1019355</v>
      </c>
      <c r="G5895">
        <v>9.1989999999999998</v>
      </c>
      <c r="N5895" s="8"/>
    </row>
    <row r="5896" spans="1:14" x14ac:dyDescent="0.25">
      <c r="A5896" s="8">
        <v>40431</v>
      </c>
      <c r="B5896">
        <v>589091.04</v>
      </c>
      <c r="C5896">
        <v>1</v>
      </c>
      <c r="D5896">
        <v>84.04</v>
      </c>
      <c r="E5896">
        <v>2.9609999999999999</v>
      </c>
      <c r="F5896">
        <v>126.1145806</v>
      </c>
      <c r="G5896">
        <v>9.1989999999999998</v>
      </c>
      <c r="N5896" s="8"/>
    </row>
    <row r="5897" spans="1:14" x14ac:dyDescent="0.25">
      <c r="A5897" s="8">
        <v>40438</v>
      </c>
      <c r="B5897">
        <v>536871.57999999996</v>
      </c>
      <c r="C5897">
        <v>0</v>
      </c>
      <c r="D5897">
        <v>85.52</v>
      </c>
      <c r="E5897">
        <v>3.028</v>
      </c>
      <c r="F5897">
        <v>126.1454667</v>
      </c>
      <c r="G5897">
        <v>9.1989999999999998</v>
      </c>
      <c r="N5897" s="8"/>
    </row>
    <row r="5898" spans="1:14" x14ac:dyDescent="0.25">
      <c r="A5898" s="8">
        <v>40445</v>
      </c>
      <c r="B5898">
        <v>492262.96</v>
      </c>
      <c r="C5898">
        <v>0</v>
      </c>
      <c r="D5898">
        <v>85.75</v>
      </c>
      <c r="E5898">
        <v>2.9390000000000001</v>
      </c>
      <c r="F5898">
        <v>126.1900333</v>
      </c>
      <c r="G5898">
        <v>9.1989999999999998</v>
      </c>
      <c r="N5898" s="8"/>
    </row>
    <row r="5899" spans="1:14" x14ac:dyDescent="0.25">
      <c r="A5899" s="8">
        <v>40452</v>
      </c>
      <c r="B5899">
        <v>481523.93</v>
      </c>
      <c r="C5899">
        <v>0</v>
      </c>
      <c r="D5899">
        <v>86.01</v>
      </c>
      <c r="E5899">
        <v>3.0009999999999999</v>
      </c>
      <c r="F5899">
        <v>126.2346</v>
      </c>
      <c r="G5899">
        <v>9.0030000000000001</v>
      </c>
      <c r="N5899" s="8"/>
    </row>
    <row r="5900" spans="1:14" x14ac:dyDescent="0.25">
      <c r="A5900" s="8">
        <v>40459</v>
      </c>
      <c r="B5900">
        <v>599759.44999999995</v>
      </c>
      <c r="C5900">
        <v>0</v>
      </c>
      <c r="D5900">
        <v>77.040000000000006</v>
      </c>
      <c r="E5900">
        <v>2.9239999999999999</v>
      </c>
      <c r="F5900">
        <v>126.2791667</v>
      </c>
      <c r="G5900">
        <v>9.0030000000000001</v>
      </c>
      <c r="N5900" s="8"/>
    </row>
    <row r="5901" spans="1:14" x14ac:dyDescent="0.25">
      <c r="A5901" s="8">
        <v>40466</v>
      </c>
      <c r="B5901">
        <v>559285.35</v>
      </c>
      <c r="C5901">
        <v>0</v>
      </c>
      <c r="D5901">
        <v>75.48</v>
      </c>
      <c r="E5901">
        <v>3.08</v>
      </c>
      <c r="F5901">
        <v>126.32667739999999</v>
      </c>
      <c r="G5901">
        <v>9.0030000000000001</v>
      </c>
      <c r="N5901" s="8"/>
    </row>
    <row r="5902" spans="1:14" x14ac:dyDescent="0.25">
      <c r="A5902" s="8">
        <v>40473</v>
      </c>
      <c r="B5902">
        <v>522467.51</v>
      </c>
      <c r="C5902">
        <v>0</v>
      </c>
      <c r="D5902">
        <v>68.12</v>
      </c>
      <c r="E5902">
        <v>3.0139999999999998</v>
      </c>
      <c r="F5902">
        <v>126.3815484</v>
      </c>
      <c r="G5902">
        <v>9.0030000000000001</v>
      </c>
      <c r="N5902" s="8"/>
    </row>
    <row r="5903" spans="1:14" x14ac:dyDescent="0.25">
      <c r="A5903" s="8">
        <v>40480</v>
      </c>
      <c r="B5903">
        <v>476967.65</v>
      </c>
      <c r="C5903">
        <v>0</v>
      </c>
      <c r="D5903">
        <v>68.760000000000005</v>
      </c>
      <c r="E5903">
        <v>3.13</v>
      </c>
      <c r="F5903">
        <v>126.43641940000001</v>
      </c>
      <c r="G5903">
        <v>9.0030000000000001</v>
      </c>
      <c r="N5903" s="8"/>
    </row>
    <row r="5904" spans="1:14" x14ac:dyDescent="0.25">
      <c r="A5904" s="8">
        <v>40487</v>
      </c>
      <c r="B5904">
        <v>565390.4</v>
      </c>
      <c r="C5904">
        <v>0</v>
      </c>
      <c r="D5904">
        <v>71.040000000000006</v>
      </c>
      <c r="E5904">
        <v>3.0089999999999999</v>
      </c>
      <c r="F5904">
        <v>126.4912903</v>
      </c>
      <c r="G5904">
        <v>9.0030000000000001</v>
      </c>
      <c r="N5904" s="8"/>
    </row>
    <row r="5905" spans="1:14" x14ac:dyDescent="0.25">
      <c r="A5905" s="8">
        <v>40494</v>
      </c>
      <c r="B5905">
        <v>588592.61</v>
      </c>
      <c r="C5905">
        <v>0</v>
      </c>
      <c r="D5905">
        <v>61.24</v>
      </c>
      <c r="E5905">
        <v>3.13</v>
      </c>
      <c r="F5905">
        <v>126.54616129999999</v>
      </c>
      <c r="G5905">
        <v>9.0030000000000001</v>
      </c>
      <c r="N5905" s="8"/>
    </row>
    <row r="5906" spans="1:14" x14ac:dyDescent="0.25">
      <c r="A5906" s="8">
        <v>40501</v>
      </c>
      <c r="B5906">
        <v>524316.21</v>
      </c>
      <c r="C5906">
        <v>0</v>
      </c>
      <c r="D5906">
        <v>58.83</v>
      </c>
      <c r="E5906">
        <v>3.0470000000000002</v>
      </c>
      <c r="F5906">
        <v>126.60720000000001</v>
      </c>
      <c r="G5906">
        <v>9.0030000000000001</v>
      </c>
      <c r="N5906" s="8"/>
    </row>
    <row r="5907" spans="1:14" x14ac:dyDescent="0.25">
      <c r="A5907" s="8">
        <v>40508</v>
      </c>
      <c r="B5907">
        <v>522296.71</v>
      </c>
      <c r="C5907">
        <v>1</v>
      </c>
      <c r="D5907">
        <v>55.33</v>
      </c>
      <c r="E5907">
        <v>3.1619999999999999</v>
      </c>
      <c r="F5907">
        <v>126.66926669999999</v>
      </c>
      <c r="G5907">
        <v>9.0030000000000001</v>
      </c>
      <c r="N5907" s="8"/>
    </row>
    <row r="5908" spans="1:14" x14ac:dyDescent="0.25">
      <c r="A5908" s="8">
        <v>40515</v>
      </c>
      <c r="B5908">
        <v>500250.8</v>
      </c>
      <c r="C5908">
        <v>0</v>
      </c>
      <c r="D5908">
        <v>51.17</v>
      </c>
      <c r="E5908">
        <v>3.0409999999999999</v>
      </c>
      <c r="F5908">
        <v>126.7313333</v>
      </c>
      <c r="G5908">
        <v>9.0030000000000001</v>
      </c>
      <c r="N5908" s="8"/>
    </row>
    <row r="5909" spans="1:14" x14ac:dyDescent="0.25">
      <c r="A5909" s="8">
        <v>40522</v>
      </c>
      <c r="B5909">
        <v>585175.24</v>
      </c>
      <c r="C5909">
        <v>0</v>
      </c>
      <c r="D5909">
        <v>60.51</v>
      </c>
      <c r="E5909">
        <v>3.0910000000000002</v>
      </c>
      <c r="F5909">
        <v>126.79340000000001</v>
      </c>
      <c r="G5909">
        <v>9.0030000000000001</v>
      </c>
      <c r="N5909" s="8"/>
    </row>
    <row r="5910" spans="1:14" x14ac:dyDescent="0.25">
      <c r="A5910" s="8">
        <v>40529</v>
      </c>
      <c r="B5910">
        <v>537455.65</v>
      </c>
      <c r="C5910">
        <v>0</v>
      </c>
      <c r="D5910">
        <v>59.15</v>
      </c>
      <c r="E5910">
        <v>3.125</v>
      </c>
      <c r="F5910">
        <v>126.8794839</v>
      </c>
      <c r="G5910">
        <v>9.0030000000000001</v>
      </c>
      <c r="N5910" s="8"/>
    </row>
    <row r="5911" spans="1:14" x14ac:dyDescent="0.25">
      <c r="A5911" s="8">
        <v>40536</v>
      </c>
      <c r="B5911">
        <v>555075.27</v>
      </c>
      <c r="C5911">
        <v>0</v>
      </c>
      <c r="D5911">
        <v>57.06</v>
      </c>
      <c r="E5911">
        <v>3.2360000000000002</v>
      </c>
      <c r="F5911">
        <v>126.9835806</v>
      </c>
      <c r="G5911">
        <v>9.0030000000000001</v>
      </c>
      <c r="N5911" s="8"/>
    </row>
    <row r="5912" spans="1:14" x14ac:dyDescent="0.25">
      <c r="A5912" s="8">
        <v>40543</v>
      </c>
      <c r="B5912">
        <v>428953.59999999998</v>
      </c>
      <c r="C5912">
        <v>1</v>
      </c>
      <c r="D5912">
        <v>49.67</v>
      </c>
      <c r="E5912">
        <v>3.1480000000000001</v>
      </c>
      <c r="F5912">
        <v>127.0876774</v>
      </c>
      <c r="G5912">
        <v>9.0030000000000001</v>
      </c>
      <c r="N5912" s="8"/>
    </row>
    <row r="5913" spans="1:14" x14ac:dyDescent="0.25">
      <c r="A5913" s="8">
        <v>40550</v>
      </c>
      <c r="B5913">
        <v>592947.75</v>
      </c>
      <c r="C5913">
        <v>0</v>
      </c>
      <c r="D5913">
        <v>43.43</v>
      </c>
      <c r="E5913">
        <v>3.2869999999999999</v>
      </c>
      <c r="F5913">
        <v>127.1917742</v>
      </c>
      <c r="G5913">
        <v>8.7439999999999998</v>
      </c>
      <c r="N5913" s="8"/>
    </row>
    <row r="5914" spans="1:14" x14ac:dyDescent="0.25">
      <c r="A5914" s="8">
        <v>40557</v>
      </c>
      <c r="B5914">
        <v>613899.15</v>
      </c>
      <c r="C5914">
        <v>0</v>
      </c>
      <c r="D5914">
        <v>49.98</v>
      </c>
      <c r="E5914">
        <v>3.3119999999999998</v>
      </c>
      <c r="F5914">
        <v>127.30093549999999</v>
      </c>
      <c r="G5914">
        <v>8.7439999999999998</v>
      </c>
      <c r="N5914" s="8"/>
    </row>
    <row r="5915" spans="1:14" x14ac:dyDescent="0.25">
      <c r="A5915" s="8">
        <v>40564</v>
      </c>
      <c r="B5915">
        <v>533414.62</v>
      </c>
      <c r="C5915">
        <v>0</v>
      </c>
      <c r="D5915">
        <v>56.75</v>
      </c>
      <c r="E5915">
        <v>3.3359999999999999</v>
      </c>
      <c r="F5915">
        <v>127.4404839</v>
      </c>
      <c r="G5915">
        <v>8.7439999999999998</v>
      </c>
      <c r="N5915" s="8"/>
    </row>
    <row r="5916" spans="1:14" x14ac:dyDescent="0.25">
      <c r="A5916" s="8">
        <v>40571</v>
      </c>
      <c r="B5916">
        <v>499081.79</v>
      </c>
      <c r="C5916">
        <v>0</v>
      </c>
      <c r="D5916">
        <v>53.03</v>
      </c>
      <c r="E5916">
        <v>3.2309999999999999</v>
      </c>
      <c r="F5916">
        <v>127.5800323</v>
      </c>
      <c r="G5916">
        <v>8.7439999999999998</v>
      </c>
      <c r="N5916" s="8"/>
    </row>
    <row r="5917" spans="1:14" x14ac:dyDescent="0.25">
      <c r="A5917" s="8">
        <v>40578</v>
      </c>
      <c r="B5917">
        <v>586886.16</v>
      </c>
      <c r="C5917">
        <v>0</v>
      </c>
      <c r="D5917">
        <v>44.88</v>
      </c>
      <c r="E5917">
        <v>3.3479999999999999</v>
      </c>
      <c r="F5917">
        <v>127.7195806</v>
      </c>
      <c r="G5917">
        <v>8.7439999999999998</v>
      </c>
      <c r="N5917" s="8"/>
    </row>
    <row r="5918" spans="1:14" x14ac:dyDescent="0.25">
      <c r="A5918" s="8">
        <v>40585</v>
      </c>
      <c r="B5918">
        <v>628063.88</v>
      </c>
      <c r="C5918">
        <v>1</v>
      </c>
      <c r="D5918">
        <v>51.51</v>
      </c>
      <c r="E5918">
        <v>3.3809999999999998</v>
      </c>
      <c r="F5918">
        <v>127.859129</v>
      </c>
      <c r="G5918">
        <v>8.7439999999999998</v>
      </c>
      <c r="N5918" s="8"/>
    </row>
    <row r="5919" spans="1:14" x14ac:dyDescent="0.25">
      <c r="A5919" s="8">
        <v>40592</v>
      </c>
      <c r="B5919">
        <v>556485.1</v>
      </c>
      <c r="C5919">
        <v>0</v>
      </c>
      <c r="D5919">
        <v>61.77</v>
      </c>
      <c r="E5919">
        <v>3.43</v>
      </c>
      <c r="F5919">
        <v>127.99525</v>
      </c>
      <c r="G5919">
        <v>8.7439999999999998</v>
      </c>
      <c r="N5919" s="8"/>
    </row>
    <row r="5920" spans="1:14" x14ac:dyDescent="0.25">
      <c r="A5920" s="8">
        <v>40599</v>
      </c>
      <c r="B5920">
        <v>526904.07999999996</v>
      </c>
      <c r="C5920">
        <v>0</v>
      </c>
      <c r="D5920">
        <v>53.59</v>
      </c>
      <c r="E5920">
        <v>3.3980000000000001</v>
      </c>
      <c r="F5920">
        <v>128.13</v>
      </c>
      <c r="G5920">
        <v>8.7439999999999998</v>
      </c>
      <c r="N5920" s="8"/>
    </row>
    <row r="5921" spans="1:14" x14ac:dyDescent="0.25">
      <c r="A5921" s="8">
        <v>40606</v>
      </c>
      <c r="B5921">
        <v>570879.04</v>
      </c>
      <c r="C5921">
        <v>0</v>
      </c>
      <c r="D5921">
        <v>56.96</v>
      </c>
      <c r="E5921">
        <v>3.6739999999999999</v>
      </c>
      <c r="F5921">
        <v>128.26474999999999</v>
      </c>
      <c r="G5921">
        <v>8.7439999999999998</v>
      </c>
      <c r="N5921" s="8"/>
    </row>
    <row r="5922" spans="1:14" x14ac:dyDescent="0.25">
      <c r="A5922" s="8">
        <v>40613</v>
      </c>
      <c r="B5922">
        <v>607294.56000000006</v>
      </c>
      <c r="C5922">
        <v>0</v>
      </c>
      <c r="D5922">
        <v>64.22</v>
      </c>
      <c r="E5922">
        <v>3.63</v>
      </c>
      <c r="F5922">
        <v>128.39949999999999</v>
      </c>
      <c r="G5922">
        <v>8.7439999999999998</v>
      </c>
      <c r="N5922" s="8"/>
    </row>
    <row r="5923" spans="1:14" x14ac:dyDescent="0.25">
      <c r="A5923" s="8">
        <v>40620</v>
      </c>
      <c r="B5923">
        <v>558239.31999999995</v>
      </c>
      <c r="C5923">
        <v>0</v>
      </c>
      <c r="D5923">
        <v>70.12</v>
      </c>
      <c r="E5923">
        <v>3.8919999999999999</v>
      </c>
      <c r="F5923">
        <v>128.5121935</v>
      </c>
      <c r="G5923">
        <v>8.7439999999999998</v>
      </c>
      <c r="N5923" s="8"/>
    </row>
    <row r="5924" spans="1:14" x14ac:dyDescent="0.25">
      <c r="A5924" s="8">
        <v>40627</v>
      </c>
      <c r="B5924">
        <v>522673.62</v>
      </c>
      <c r="C5924">
        <v>0</v>
      </c>
      <c r="D5924">
        <v>62.53</v>
      </c>
      <c r="E5924">
        <v>3.7160000000000002</v>
      </c>
      <c r="F5924">
        <v>128.61606449999999</v>
      </c>
      <c r="G5924">
        <v>8.7439999999999998</v>
      </c>
      <c r="N5924" s="8"/>
    </row>
    <row r="5925" spans="1:14" x14ac:dyDescent="0.25">
      <c r="A5925" s="8">
        <v>40634</v>
      </c>
      <c r="B5925">
        <v>508432.17</v>
      </c>
      <c r="C5925">
        <v>0</v>
      </c>
      <c r="D5925">
        <v>67.64</v>
      </c>
      <c r="E5925">
        <v>3.7719999999999998</v>
      </c>
      <c r="F5925">
        <v>128.71993549999999</v>
      </c>
      <c r="G5925">
        <v>8.4939999999999998</v>
      </c>
      <c r="N5925" s="8"/>
    </row>
    <row r="5926" spans="1:14" x14ac:dyDescent="0.25">
      <c r="A5926" s="8">
        <v>40641</v>
      </c>
      <c r="B5926">
        <v>620087.35</v>
      </c>
      <c r="C5926">
        <v>0</v>
      </c>
      <c r="D5926">
        <v>73.03</v>
      </c>
      <c r="E5926">
        <v>3.8180000000000001</v>
      </c>
      <c r="F5926">
        <v>128.82380649999999</v>
      </c>
      <c r="G5926">
        <v>8.4939999999999998</v>
      </c>
      <c r="N5926" s="8"/>
    </row>
    <row r="5927" spans="1:14" x14ac:dyDescent="0.25">
      <c r="A5927" s="8">
        <v>40648</v>
      </c>
      <c r="B5927">
        <v>597644.02</v>
      </c>
      <c r="C5927">
        <v>0</v>
      </c>
      <c r="D5927">
        <v>61.05</v>
      </c>
      <c r="E5927">
        <v>4.0890000000000004</v>
      </c>
      <c r="F5927">
        <v>128.9107333</v>
      </c>
      <c r="G5927">
        <v>8.4939999999999998</v>
      </c>
      <c r="N5927" s="8"/>
    </row>
    <row r="5928" spans="1:14" x14ac:dyDescent="0.25">
      <c r="A5928" s="8">
        <v>40655</v>
      </c>
      <c r="B5928">
        <v>534597.68999999994</v>
      </c>
      <c r="C5928">
        <v>0</v>
      </c>
      <c r="D5928">
        <v>75.930000000000007</v>
      </c>
      <c r="E5928">
        <v>3.9169999999999998</v>
      </c>
      <c r="F5928">
        <v>128.95529999999999</v>
      </c>
      <c r="G5928">
        <v>8.4939999999999998</v>
      </c>
      <c r="N5928" s="8"/>
    </row>
    <row r="5929" spans="1:14" x14ac:dyDescent="0.25">
      <c r="A5929" s="8">
        <v>40662</v>
      </c>
      <c r="B5929">
        <v>496010.17</v>
      </c>
      <c r="C5929">
        <v>0</v>
      </c>
      <c r="D5929">
        <v>73.38</v>
      </c>
      <c r="E5929">
        <v>4.1509999999999998</v>
      </c>
      <c r="F5929">
        <v>128.99986670000001</v>
      </c>
      <c r="G5929">
        <v>8.4939999999999998</v>
      </c>
      <c r="N5929" s="8"/>
    </row>
    <row r="5930" spans="1:14" x14ac:dyDescent="0.25">
      <c r="A5930" s="8">
        <v>40669</v>
      </c>
      <c r="B5930">
        <v>612337.35</v>
      </c>
      <c r="C5930">
        <v>0</v>
      </c>
      <c r="D5930">
        <v>73.56</v>
      </c>
      <c r="E5930">
        <v>4.1929999999999996</v>
      </c>
      <c r="F5930">
        <v>129.04443330000001</v>
      </c>
      <c r="G5930">
        <v>8.4939999999999998</v>
      </c>
      <c r="N5930" s="8"/>
    </row>
    <row r="5931" spans="1:14" x14ac:dyDescent="0.25">
      <c r="A5931" s="8">
        <v>40676</v>
      </c>
      <c r="B5931">
        <v>603024.75</v>
      </c>
      <c r="C5931">
        <v>0</v>
      </c>
      <c r="D5931">
        <v>74.040000000000006</v>
      </c>
      <c r="E5931">
        <v>4.202</v>
      </c>
      <c r="F5931">
        <v>129.089</v>
      </c>
      <c r="G5931">
        <v>8.4939999999999998</v>
      </c>
      <c r="N5931" s="8"/>
    </row>
    <row r="5932" spans="1:14" x14ac:dyDescent="0.25">
      <c r="A5932" s="8">
        <v>40683</v>
      </c>
      <c r="B5932">
        <v>524559.94999999995</v>
      </c>
      <c r="C5932">
        <v>0</v>
      </c>
      <c r="D5932">
        <v>72.62</v>
      </c>
      <c r="E5932">
        <v>3.99</v>
      </c>
      <c r="F5932">
        <v>129.07567739999999</v>
      </c>
      <c r="G5932">
        <v>8.4939999999999998</v>
      </c>
      <c r="N5932" s="8"/>
    </row>
    <row r="5933" spans="1:14" x14ac:dyDescent="0.25">
      <c r="A5933" s="8">
        <v>40690</v>
      </c>
      <c r="B5933">
        <v>503295.29</v>
      </c>
      <c r="C5933">
        <v>0</v>
      </c>
      <c r="D5933">
        <v>78.62</v>
      </c>
      <c r="E5933">
        <v>3.9329999999999998</v>
      </c>
      <c r="F5933">
        <v>129.06235480000001</v>
      </c>
      <c r="G5933">
        <v>8.4939999999999998</v>
      </c>
      <c r="N5933" s="8"/>
    </row>
    <row r="5934" spans="1:14" x14ac:dyDescent="0.25">
      <c r="A5934" s="8">
        <v>40697</v>
      </c>
      <c r="B5934">
        <v>545109.30000000005</v>
      </c>
      <c r="C5934">
        <v>0</v>
      </c>
      <c r="D5934">
        <v>81.87</v>
      </c>
      <c r="E5934">
        <v>3.8929999999999998</v>
      </c>
      <c r="F5934">
        <v>129.04903229999999</v>
      </c>
      <c r="G5934">
        <v>8.4939999999999998</v>
      </c>
      <c r="N5934" s="8"/>
    </row>
    <row r="5935" spans="1:14" x14ac:dyDescent="0.25">
      <c r="A5935" s="8">
        <v>40704</v>
      </c>
      <c r="B5935">
        <v>616701.99</v>
      </c>
      <c r="C5935">
        <v>0</v>
      </c>
      <c r="D5935">
        <v>84.57</v>
      </c>
      <c r="E5935">
        <v>3.9809999999999999</v>
      </c>
      <c r="F5935">
        <v>129.03570970000001</v>
      </c>
      <c r="G5935">
        <v>8.4939999999999998</v>
      </c>
      <c r="N5935" s="8"/>
    </row>
    <row r="5936" spans="1:14" x14ac:dyDescent="0.25">
      <c r="A5936" s="8">
        <v>40711</v>
      </c>
      <c r="B5936">
        <v>546675.65</v>
      </c>
      <c r="C5936">
        <v>0</v>
      </c>
      <c r="D5936">
        <v>87.96</v>
      </c>
      <c r="E5936">
        <v>3.9350000000000001</v>
      </c>
      <c r="F5936">
        <v>129.04320000000001</v>
      </c>
      <c r="G5936">
        <v>8.4939999999999998</v>
      </c>
      <c r="N5936" s="8"/>
    </row>
    <row r="5937" spans="1:14" x14ac:dyDescent="0.25">
      <c r="A5937" s="8">
        <v>40718</v>
      </c>
      <c r="B5937">
        <v>501780.66</v>
      </c>
      <c r="C5937">
        <v>0</v>
      </c>
      <c r="D5937">
        <v>90.69</v>
      </c>
      <c r="E5937">
        <v>3.8069999999999999</v>
      </c>
      <c r="F5937">
        <v>129.06630000000001</v>
      </c>
      <c r="G5937">
        <v>8.4939999999999998</v>
      </c>
      <c r="N5937" s="8"/>
    </row>
    <row r="5938" spans="1:14" x14ac:dyDescent="0.25">
      <c r="A5938" s="8">
        <v>40725</v>
      </c>
      <c r="B5938">
        <v>506343.83</v>
      </c>
      <c r="C5938">
        <v>0</v>
      </c>
      <c r="D5938">
        <v>95.36</v>
      </c>
      <c r="E5938">
        <v>3.8420000000000001</v>
      </c>
      <c r="F5938">
        <v>129.08940000000001</v>
      </c>
      <c r="G5938">
        <v>8.2569999999999997</v>
      </c>
      <c r="N5938" s="8"/>
    </row>
    <row r="5939" spans="1:14" x14ac:dyDescent="0.25">
      <c r="A5939" s="8">
        <v>40732</v>
      </c>
      <c r="B5939">
        <v>593234.27</v>
      </c>
      <c r="C5939">
        <v>0</v>
      </c>
      <c r="D5939">
        <v>88.57</v>
      </c>
      <c r="E5939">
        <v>3.7930000000000001</v>
      </c>
      <c r="F5939">
        <v>129.11250000000001</v>
      </c>
      <c r="G5939">
        <v>8.2569999999999997</v>
      </c>
      <c r="N5939" s="8"/>
    </row>
    <row r="5940" spans="1:14" x14ac:dyDescent="0.25">
      <c r="A5940" s="8">
        <v>40739</v>
      </c>
      <c r="B5940">
        <v>591703.81999999995</v>
      </c>
      <c r="C5940">
        <v>0</v>
      </c>
      <c r="D5940">
        <v>86.01</v>
      </c>
      <c r="E5940">
        <v>3.7789999999999999</v>
      </c>
      <c r="F5940">
        <v>129.13383870000001</v>
      </c>
      <c r="G5940">
        <v>8.2569999999999997</v>
      </c>
      <c r="N5940" s="8"/>
    </row>
    <row r="5941" spans="1:14" x14ac:dyDescent="0.25">
      <c r="A5941" s="8">
        <v>40746</v>
      </c>
      <c r="B5941">
        <v>511316.29</v>
      </c>
      <c r="C5941">
        <v>0</v>
      </c>
      <c r="D5941">
        <v>88.59</v>
      </c>
      <c r="E5941">
        <v>3.6970000000000001</v>
      </c>
      <c r="F5941">
        <v>129.1507742</v>
      </c>
      <c r="G5941">
        <v>8.2569999999999997</v>
      </c>
      <c r="N5941" s="8"/>
    </row>
    <row r="5942" spans="1:14" x14ac:dyDescent="0.25">
      <c r="A5942" s="8">
        <v>40753</v>
      </c>
      <c r="B5942">
        <v>479256.8</v>
      </c>
      <c r="C5942">
        <v>0</v>
      </c>
      <c r="D5942">
        <v>86.75</v>
      </c>
      <c r="E5942">
        <v>3.694</v>
      </c>
      <c r="F5942">
        <v>129.16770969999999</v>
      </c>
      <c r="G5942">
        <v>8.2569999999999997</v>
      </c>
      <c r="N5942" s="8"/>
    </row>
    <row r="5943" spans="1:14" x14ac:dyDescent="0.25">
      <c r="A5943" s="8">
        <v>40760</v>
      </c>
      <c r="B5943">
        <v>572603.32999999996</v>
      </c>
      <c r="C5943">
        <v>0</v>
      </c>
      <c r="D5943">
        <v>89.8</v>
      </c>
      <c r="E5943">
        <v>3.8029999999999999</v>
      </c>
      <c r="F5943">
        <v>129.18464520000001</v>
      </c>
      <c r="G5943">
        <v>8.2569999999999997</v>
      </c>
      <c r="N5943" s="8"/>
    </row>
    <row r="5944" spans="1:14" x14ac:dyDescent="0.25">
      <c r="A5944" s="8">
        <v>40767</v>
      </c>
      <c r="B5944">
        <v>603147.26</v>
      </c>
      <c r="C5944">
        <v>0</v>
      </c>
      <c r="D5944">
        <v>85.61</v>
      </c>
      <c r="E5944">
        <v>3.794</v>
      </c>
      <c r="F5944">
        <v>129.2015806</v>
      </c>
      <c r="G5944">
        <v>8.2569999999999997</v>
      </c>
      <c r="N5944" s="8"/>
    </row>
    <row r="5945" spans="1:14" x14ac:dyDescent="0.25">
      <c r="A5945" s="8">
        <v>40774</v>
      </c>
      <c r="B5945">
        <v>526641.23</v>
      </c>
      <c r="C5945">
        <v>0</v>
      </c>
      <c r="D5945">
        <v>87.4</v>
      </c>
      <c r="E5945">
        <v>3.7429999999999999</v>
      </c>
      <c r="F5945">
        <v>129.24058059999999</v>
      </c>
      <c r="G5945">
        <v>8.2569999999999997</v>
      </c>
      <c r="N5945" s="8"/>
    </row>
    <row r="5946" spans="1:14" x14ac:dyDescent="0.25">
      <c r="A5946" s="8">
        <v>40781</v>
      </c>
      <c r="B5946">
        <v>503720.98</v>
      </c>
      <c r="C5946">
        <v>0</v>
      </c>
      <c r="D5946">
        <v>91.59</v>
      </c>
      <c r="E5946">
        <v>3.6629999999999998</v>
      </c>
      <c r="F5946">
        <v>129.28325810000001</v>
      </c>
      <c r="G5946">
        <v>8.2569999999999997</v>
      </c>
      <c r="N5946" s="8"/>
    </row>
    <row r="5947" spans="1:14" x14ac:dyDescent="0.25">
      <c r="A5947" s="8">
        <v>40788</v>
      </c>
      <c r="B5947">
        <v>537124.76</v>
      </c>
      <c r="C5947">
        <v>0</v>
      </c>
      <c r="D5947">
        <v>91.61</v>
      </c>
      <c r="E5947">
        <v>3.798</v>
      </c>
      <c r="F5947">
        <v>129.32593550000001</v>
      </c>
      <c r="G5947">
        <v>8.2569999999999997</v>
      </c>
      <c r="N5947" s="8"/>
    </row>
    <row r="5948" spans="1:14" x14ac:dyDescent="0.25">
      <c r="A5948" s="8">
        <v>40795</v>
      </c>
      <c r="B5948">
        <v>608390.93999999994</v>
      </c>
      <c r="C5948">
        <v>1</v>
      </c>
      <c r="D5948">
        <v>89.06</v>
      </c>
      <c r="E5948">
        <v>3.7709999999999999</v>
      </c>
      <c r="F5948">
        <v>129.36861289999999</v>
      </c>
      <c r="G5948">
        <v>8.2569999999999997</v>
      </c>
      <c r="N5948" s="8"/>
    </row>
    <row r="5949" spans="1:14" x14ac:dyDescent="0.25">
      <c r="A5949" s="8">
        <v>40802</v>
      </c>
      <c r="B5949">
        <v>576837.09</v>
      </c>
      <c r="C5949">
        <v>0</v>
      </c>
      <c r="D5949">
        <v>77.489999999999995</v>
      </c>
      <c r="E5949">
        <v>3.7839999999999998</v>
      </c>
      <c r="F5949">
        <v>129.4306</v>
      </c>
      <c r="G5949">
        <v>8.2569999999999997</v>
      </c>
      <c r="N5949" s="8"/>
    </row>
    <row r="5950" spans="1:14" x14ac:dyDescent="0.25">
      <c r="A5950" s="8">
        <v>40809</v>
      </c>
      <c r="B5950">
        <v>528486.44999999995</v>
      </c>
      <c r="C5950">
        <v>0</v>
      </c>
      <c r="D5950">
        <v>82.51</v>
      </c>
      <c r="E5950">
        <v>3.7890000000000001</v>
      </c>
      <c r="F5950">
        <v>129.51833329999999</v>
      </c>
      <c r="G5950">
        <v>8.2569999999999997</v>
      </c>
      <c r="N5950" s="8"/>
    </row>
    <row r="5951" spans="1:14" x14ac:dyDescent="0.25">
      <c r="A5951" s="8">
        <v>40816</v>
      </c>
      <c r="B5951">
        <v>510243.79</v>
      </c>
      <c r="C5951">
        <v>0</v>
      </c>
      <c r="D5951">
        <v>82.27</v>
      </c>
      <c r="E5951">
        <v>3.8769999999999998</v>
      </c>
      <c r="F5951">
        <v>129.60606670000001</v>
      </c>
      <c r="G5951">
        <v>8.2569999999999997</v>
      </c>
      <c r="N5951" s="8"/>
    </row>
    <row r="5952" spans="1:14" x14ac:dyDescent="0.25">
      <c r="A5952" s="8">
        <v>40823</v>
      </c>
      <c r="B5952">
        <v>649111.23</v>
      </c>
      <c r="C5952">
        <v>0</v>
      </c>
      <c r="D5952">
        <v>75.010000000000005</v>
      </c>
      <c r="E5952">
        <v>3.827</v>
      </c>
      <c r="F5952">
        <v>129.69380000000001</v>
      </c>
      <c r="G5952">
        <v>7.8739999999999997</v>
      </c>
      <c r="N5952" s="8"/>
    </row>
    <row r="5953" spans="1:14" x14ac:dyDescent="0.25">
      <c r="A5953" s="8">
        <v>40830</v>
      </c>
      <c r="B5953">
        <v>613531.11</v>
      </c>
      <c r="C5953">
        <v>0</v>
      </c>
      <c r="D5953">
        <v>70.27</v>
      </c>
      <c r="E5953">
        <v>3.698</v>
      </c>
      <c r="F5953">
        <v>129.77064519999999</v>
      </c>
      <c r="G5953">
        <v>7.8739999999999997</v>
      </c>
      <c r="N5953" s="8"/>
    </row>
    <row r="5954" spans="1:14" x14ac:dyDescent="0.25">
      <c r="A5954" s="8">
        <v>40837</v>
      </c>
      <c r="B5954">
        <v>537276.41</v>
      </c>
      <c r="C5954">
        <v>0</v>
      </c>
      <c r="D5954">
        <v>77.91</v>
      </c>
      <c r="E5954">
        <v>3.8420000000000001</v>
      </c>
      <c r="F5954">
        <v>129.78216130000001</v>
      </c>
      <c r="G5954">
        <v>7.8739999999999997</v>
      </c>
      <c r="N5954" s="8"/>
    </row>
    <row r="5955" spans="1:14" x14ac:dyDescent="0.25">
      <c r="A5955" s="8">
        <v>40844</v>
      </c>
      <c r="B5955">
        <v>515599.7</v>
      </c>
      <c r="C5955">
        <v>0</v>
      </c>
      <c r="D5955">
        <v>72.790000000000006</v>
      </c>
      <c r="E5955">
        <v>3.843</v>
      </c>
      <c r="F5955">
        <v>129.79367740000001</v>
      </c>
      <c r="G5955">
        <v>7.8739999999999997</v>
      </c>
      <c r="N5955" s="8"/>
    </row>
    <row r="5956" spans="1:14" x14ac:dyDescent="0.25">
      <c r="A5956" s="8">
        <v>40851</v>
      </c>
      <c r="B5956">
        <v>597667.21</v>
      </c>
      <c r="C5956">
        <v>0</v>
      </c>
      <c r="D5956">
        <v>68.569999999999993</v>
      </c>
      <c r="E5956">
        <v>3.8279999999999998</v>
      </c>
      <c r="F5956">
        <v>129.8051935</v>
      </c>
      <c r="G5956">
        <v>7.8739999999999997</v>
      </c>
      <c r="N5956" s="8"/>
    </row>
    <row r="5957" spans="1:14" x14ac:dyDescent="0.25">
      <c r="A5957" s="8">
        <v>40858</v>
      </c>
      <c r="B5957">
        <v>643125.29</v>
      </c>
      <c r="C5957">
        <v>0</v>
      </c>
      <c r="D5957">
        <v>55.28</v>
      </c>
      <c r="E5957">
        <v>3.677</v>
      </c>
      <c r="F5957">
        <v>129.81670969999999</v>
      </c>
      <c r="G5957">
        <v>7.8739999999999997</v>
      </c>
      <c r="N5957" s="8"/>
    </row>
    <row r="5958" spans="1:14" x14ac:dyDescent="0.25">
      <c r="A5958" s="8">
        <v>40865</v>
      </c>
      <c r="B5958">
        <v>567673.87</v>
      </c>
      <c r="C5958">
        <v>0</v>
      </c>
      <c r="D5958">
        <v>58.97</v>
      </c>
      <c r="E5958">
        <v>3.669</v>
      </c>
      <c r="F5958">
        <v>129.8268333</v>
      </c>
      <c r="G5958">
        <v>7.8739999999999997</v>
      </c>
      <c r="N5958" s="8"/>
    </row>
    <row r="5959" spans="1:14" x14ac:dyDescent="0.25">
      <c r="A5959" s="8">
        <v>40872</v>
      </c>
      <c r="B5959">
        <v>577698.37</v>
      </c>
      <c r="C5959">
        <v>1</v>
      </c>
      <c r="D5959">
        <v>60.68</v>
      </c>
      <c r="E5959">
        <v>3.76</v>
      </c>
      <c r="F5959">
        <v>129.8364</v>
      </c>
      <c r="G5959">
        <v>7.8739999999999997</v>
      </c>
      <c r="N5959" s="8"/>
    </row>
    <row r="5960" spans="1:14" x14ac:dyDescent="0.25">
      <c r="A5960" s="8">
        <v>40879</v>
      </c>
      <c r="B5960">
        <v>511883.36</v>
      </c>
      <c r="C5960">
        <v>0</v>
      </c>
      <c r="D5960">
        <v>57.29</v>
      </c>
      <c r="E5960">
        <v>3.7010000000000001</v>
      </c>
      <c r="F5960">
        <v>129.84596669999999</v>
      </c>
      <c r="G5960">
        <v>7.8739999999999997</v>
      </c>
      <c r="N5960" s="8"/>
    </row>
    <row r="5961" spans="1:14" x14ac:dyDescent="0.25">
      <c r="A5961" s="8">
        <v>40886</v>
      </c>
      <c r="B5961">
        <v>619133.48</v>
      </c>
      <c r="C5961">
        <v>0</v>
      </c>
      <c r="D5961">
        <v>42.58</v>
      </c>
      <c r="E5961">
        <v>3.6440000000000001</v>
      </c>
      <c r="F5961">
        <v>129.85553329999999</v>
      </c>
      <c r="G5961">
        <v>7.8739999999999997</v>
      </c>
      <c r="N5961" s="8"/>
    </row>
    <row r="5962" spans="1:14" x14ac:dyDescent="0.25">
      <c r="A5962" s="8">
        <v>40893</v>
      </c>
      <c r="B5962">
        <v>598437.98</v>
      </c>
      <c r="C5962">
        <v>0</v>
      </c>
      <c r="D5962">
        <v>50.53</v>
      </c>
      <c r="E5962">
        <v>3.4889999999999999</v>
      </c>
      <c r="F5962">
        <v>129.8980645</v>
      </c>
      <c r="G5962">
        <v>7.8739999999999997</v>
      </c>
      <c r="N5962" s="8"/>
    </row>
    <row r="5963" spans="1:14" x14ac:dyDescent="0.25">
      <c r="A5963" s="8">
        <v>40900</v>
      </c>
      <c r="B5963">
        <v>575676.13</v>
      </c>
      <c r="C5963">
        <v>0</v>
      </c>
      <c r="D5963">
        <v>48.36</v>
      </c>
      <c r="E5963">
        <v>3.5409999999999999</v>
      </c>
      <c r="F5963">
        <v>129.98454839999999</v>
      </c>
      <c r="G5963">
        <v>7.8739999999999997</v>
      </c>
      <c r="N5963" s="8"/>
    </row>
    <row r="5964" spans="1:14" x14ac:dyDescent="0.25">
      <c r="A5964" s="8">
        <v>40907</v>
      </c>
      <c r="B5964">
        <v>454412.28</v>
      </c>
      <c r="C5964">
        <v>1</v>
      </c>
      <c r="D5964">
        <v>48.92</v>
      </c>
      <c r="E5964">
        <v>3.4279999999999999</v>
      </c>
      <c r="F5964">
        <v>130.07103230000001</v>
      </c>
      <c r="G5964">
        <v>7.8739999999999997</v>
      </c>
      <c r="N5964" s="8"/>
    </row>
    <row r="5965" spans="1:14" x14ac:dyDescent="0.25">
      <c r="A5965" s="8">
        <v>40914</v>
      </c>
      <c r="B5965">
        <v>636372.37</v>
      </c>
      <c r="C5965">
        <v>0</v>
      </c>
      <c r="D5965">
        <v>59.85</v>
      </c>
      <c r="E5965">
        <v>3.4430000000000001</v>
      </c>
      <c r="F5965">
        <v>130.15751610000001</v>
      </c>
      <c r="G5965">
        <v>7.5449999999999999</v>
      </c>
      <c r="N5965" s="8"/>
    </row>
    <row r="5966" spans="1:14" x14ac:dyDescent="0.25">
      <c r="A5966" s="8">
        <v>40921</v>
      </c>
      <c r="B5966">
        <v>664348.19999999995</v>
      </c>
      <c r="C5966">
        <v>0</v>
      </c>
      <c r="D5966">
        <v>51</v>
      </c>
      <c r="E5966">
        <v>3.4769999999999999</v>
      </c>
      <c r="F5966">
        <v>130.244</v>
      </c>
      <c r="G5966">
        <v>7.5449999999999999</v>
      </c>
      <c r="N5966" s="8"/>
    </row>
    <row r="5967" spans="1:14" x14ac:dyDescent="0.25">
      <c r="A5967" s="8">
        <v>40928</v>
      </c>
      <c r="B5967">
        <v>579499.93000000005</v>
      </c>
      <c r="C5967">
        <v>0</v>
      </c>
      <c r="D5967">
        <v>54.51</v>
      </c>
      <c r="E5967">
        <v>3.66</v>
      </c>
      <c r="F5967">
        <v>130.27922580000001</v>
      </c>
      <c r="G5967">
        <v>7.5449999999999999</v>
      </c>
      <c r="N5967" s="8"/>
    </row>
    <row r="5968" spans="1:14" x14ac:dyDescent="0.25">
      <c r="A5968" s="8">
        <v>40935</v>
      </c>
      <c r="B5968">
        <v>538978.67000000004</v>
      </c>
      <c r="C5968">
        <v>0</v>
      </c>
      <c r="D5968">
        <v>53.59</v>
      </c>
      <c r="E5968">
        <v>3.6749999999999998</v>
      </c>
      <c r="F5968">
        <v>130.31445160000001</v>
      </c>
      <c r="G5968">
        <v>7.5449999999999999</v>
      </c>
      <c r="N5968" s="8"/>
    </row>
    <row r="5969" spans="1:14" x14ac:dyDescent="0.25">
      <c r="A5969" s="8">
        <v>40942</v>
      </c>
      <c r="B5969">
        <v>588448.21</v>
      </c>
      <c r="C5969">
        <v>0</v>
      </c>
      <c r="D5969">
        <v>56.85</v>
      </c>
      <c r="E5969">
        <v>3.5430000000000001</v>
      </c>
      <c r="F5969">
        <v>130.34967739999999</v>
      </c>
      <c r="G5969">
        <v>7.5449999999999999</v>
      </c>
      <c r="N5969" s="8"/>
    </row>
    <row r="5970" spans="1:14" x14ac:dyDescent="0.25">
      <c r="A5970" s="8">
        <v>40949</v>
      </c>
      <c r="B5970">
        <v>674919.45</v>
      </c>
      <c r="C5970">
        <v>1</v>
      </c>
      <c r="D5970">
        <v>55.73</v>
      </c>
      <c r="E5970">
        <v>3.722</v>
      </c>
      <c r="F5970">
        <v>130.3849032</v>
      </c>
      <c r="G5970">
        <v>7.5449999999999999</v>
      </c>
      <c r="N5970" s="8"/>
    </row>
    <row r="5971" spans="1:14" x14ac:dyDescent="0.25">
      <c r="A5971" s="8">
        <v>40956</v>
      </c>
      <c r="B5971">
        <v>606671.5</v>
      </c>
      <c r="C5971">
        <v>0</v>
      </c>
      <c r="D5971">
        <v>54.12</v>
      </c>
      <c r="E5971">
        <v>3.7810000000000001</v>
      </c>
      <c r="F5971">
        <v>130.45462069999999</v>
      </c>
      <c r="G5971">
        <v>7.5449999999999999</v>
      </c>
      <c r="N5971" s="8"/>
    </row>
    <row r="5972" spans="1:14" x14ac:dyDescent="0.25">
      <c r="A5972" s="8">
        <v>40963</v>
      </c>
      <c r="B5972">
        <v>564304.15</v>
      </c>
      <c r="C5972">
        <v>0</v>
      </c>
      <c r="D5972">
        <v>56.02</v>
      </c>
      <c r="E5972">
        <v>3.95</v>
      </c>
      <c r="F5972">
        <v>130.55020690000001</v>
      </c>
      <c r="G5972">
        <v>7.5449999999999999</v>
      </c>
      <c r="N5972" s="8"/>
    </row>
    <row r="5973" spans="1:14" x14ac:dyDescent="0.25">
      <c r="A5973" s="8">
        <v>40970</v>
      </c>
      <c r="B5973">
        <v>585895.34</v>
      </c>
      <c r="C5973">
        <v>0</v>
      </c>
      <c r="D5973">
        <v>57.62</v>
      </c>
      <c r="E5973">
        <v>3.8820000000000001</v>
      </c>
      <c r="F5973">
        <v>130.64579309999999</v>
      </c>
      <c r="G5973">
        <v>7.5449999999999999</v>
      </c>
      <c r="N5973" s="8"/>
    </row>
    <row r="5974" spans="1:14" x14ac:dyDescent="0.25">
      <c r="A5974" s="8">
        <v>40977</v>
      </c>
      <c r="B5974">
        <v>659816.15</v>
      </c>
      <c r="C5974">
        <v>0</v>
      </c>
      <c r="D5974">
        <v>57.65</v>
      </c>
      <c r="E5974">
        <v>3.9630000000000001</v>
      </c>
      <c r="F5974">
        <v>130.74137930000001</v>
      </c>
      <c r="G5974">
        <v>7.5449999999999999</v>
      </c>
      <c r="N5974" s="8"/>
    </row>
    <row r="5975" spans="1:14" x14ac:dyDescent="0.25">
      <c r="A5975" s="8">
        <v>40984</v>
      </c>
      <c r="B5975">
        <v>618767.26</v>
      </c>
      <c r="C5975">
        <v>0</v>
      </c>
      <c r="D5975">
        <v>62.11</v>
      </c>
      <c r="E5975">
        <v>4.2729999999999997</v>
      </c>
      <c r="F5975">
        <v>130.82619349999999</v>
      </c>
      <c r="G5975">
        <v>7.5449999999999999</v>
      </c>
      <c r="N5975" s="8"/>
    </row>
    <row r="5976" spans="1:14" x14ac:dyDescent="0.25">
      <c r="A5976" s="8">
        <v>40991</v>
      </c>
      <c r="B5976">
        <v>561226.38</v>
      </c>
      <c r="C5976">
        <v>0</v>
      </c>
      <c r="D5976">
        <v>56.54</v>
      </c>
      <c r="E5976">
        <v>4.2880000000000003</v>
      </c>
      <c r="F5976">
        <v>130.89664519999999</v>
      </c>
      <c r="G5976">
        <v>7.5449999999999999</v>
      </c>
      <c r="N5976" s="8"/>
    </row>
    <row r="5977" spans="1:14" x14ac:dyDescent="0.25">
      <c r="A5977" s="8">
        <v>40998</v>
      </c>
      <c r="B5977">
        <v>544408.14</v>
      </c>
      <c r="C5977">
        <v>0</v>
      </c>
      <c r="D5977">
        <v>67.92</v>
      </c>
      <c r="E5977">
        <v>4.2939999999999996</v>
      </c>
      <c r="F5977">
        <v>130.96709680000001</v>
      </c>
      <c r="G5977">
        <v>7.5449999999999999</v>
      </c>
      <c r="N5977" s="8"/>
    </row>
    <row r="5978" spans="1:14" x14ac:dyDescent="0.25">
      <c r="A5978" s="8">
        <v>41005</v>
      </c>
      <c r="B5978">
        <v>652312.11</v>
      </c>
      <c r="C5978">
        <v>0</v>
      </c>
      <c r="D5978">
        <v>65.989999999999995</v>
      </c>
      <c r="E5978">
        <v>4.282</v>
      </c>
      <c r="F5978">
        <v>131.03754839999999</v>
      </c>
      <c r="G5978">
        <v>7.3819999999999997</v>
      </c>
      <c r="N5978" s="8"/>
    </row>
    <row r="5979" spans="1:14" x14ac:dyDescent="0.25">
      <c r="A5979" s="8">
        <v>41012</v>
      </c>
      <c r="B5979">
        <v>639123.44999999995</v>
      </c>
      <c r="C5979">
        <v>0</v>
      </c>
      <c r="D5979">
        <v>70.28</v>
      </c>
      <c r="E5979">
        <v>4.2539999999999996</v>
      </c>
      <c r="F5979">
        <v>131.108</v>
      </c>
      <c r="G5979">
        <v>7.3819999999999997</v>
      </c>
      <c r="N5979" s="8"/>
    </row>
    <row r="5980" spans="1:14" x14ac:dyDescent="0.25">
      <c r="A5980" s="8">
        <v>41019</v>
      </c>
      <c r="B5980">
        <v>552529.23</v>
      </c>
      <c r="C5980">
        <v>0</v>
      </c>
      <c r="D5980">
        <v>67.75</v>
      </c>
      <c r="E5980">
        <v>4.1109999999999998</v>
      </c>
      <c r="F5980">
        <v>131.11733330000001</v>
      </c>
      <c r="G5980">
        <v>7.3819999999999997</v>
      </c>
      <c r="N5980" s="8"/>
    </row>
    <row r="5981" spans="1:14" x14ac:dyDescent="0.25">
      <c r="A5981" s="8">
        <v>41026</v>
      </c>
      <c r="B5981">
        <v>526625.49</v>
      </c>
      <c r="C5981">
        <v>0</v>
      </c>
      <c r="D5981">
        <v>80.11</v>
      </c>
      <c r="E5981">
        <v>4.0880000000000001</v>
      </c>
      <c r="F5981">
        <v>131.12666669999999</v>
      </c>
      <c r="G5981">
        <v>7.3819999999999997</v>
      </c>
      <c r="N5981" s="8"/>
    </row>
    <row r="5982" spans="1:14" x14ac:dyDescent="0.25">
      <c r="A5982" s="8">
        <v>41033</v>
      </c>
      <c r="B5982">
        <v>609274.89</v>
      </c>
      <c r="C5982">
        <v>0</v>
      </c>
      <c r="D5982">
        <v>77.02</v>
      </c>
      <c r="E5982">
        <v>4.0579999999999998</v>
      </c>
      <c r="F5982">
        <v>131.136</v>
      </c>
      <c r="G5982">
        <v>7.3819999999999997</v>
      </c>
      <c r="N5982" s="8"/>
    </row>
    <row r="5983" spans="1:14" x14ac:dyDescent="0.25">
      <c r="A5983" s="8">
        <v>41040</v>
      </c>
      <c r="B5983">
        <v>643603.68999999994</v>
      </c>
      <c r="C5983">
        <v>0</v>
      </c>
      <c r="D5983">
        <v>76.03</v>
      </c>
      <c r="E5983">
        <v>4.1859999999999999</v>
      </c>
      <c r="F5983">
        <v>131.1453333</v>
      </c>
      <c r="G5983">
        <v>7.3819999999999997</v>
      </c>
      <c r="N5983" s="8"/>
    </row>
    <row r="5984" spans="1:14" x14ac:dyDescent="0.25">
      <c r="A5984" s="8">
        <v>41047</v>
      </c>
      <c r="B5984">
        <v>590636.38</v>
      </c>
      <c r="C5984">
        <v>0</v>
      </c>
      <c r="D5984">
        <v>85.19</v>
      </c>
      <c r="E5984">
        <v>4.3079999999999998</v>
      </c>
      <c r="F5984">
        <v>131.09832259999999</v>
      </c>
      <c r="G5984">
        <v>7.3819999999999997</v>
      </c>
      <c r="N5984" s="8"/>
    </row>
    <row r="5985" spans="1:14" x14ac:dyDescent="0.25">
      <c r="A5985" s="8">
        <v>41054</v>
      </c>
      <c r="B5985">
        <v>535764.57999999996</v>
      </c>
      <c r="C5985">
        <v>0</v>
      </c>
      <c r="D5985">
        <v>86.03</v>
      </c>
      <c r="E5985">
        <v>4.1269999999999998</v>
      </c>
      <c r="F5985">
        <v>131.02877419999999</v>
      </c>
      <c r="G5985">
        <v>7.3819999999999997</v>
      </c>
      <c r="N5985" s="8"/>
    </row>
    <row r="5986" spans="1:14" x14ac:dyDescent="0.25">
      <c r="A5986" s="8">
        <v>41061</v>
      </c>
      <c r="B5986">
        <v>521953.78</v>
      </c>
      <c r="C5986">
        <v>0</v>
      </c>
      <c r="D5986">
        <v>80.06</v>
      </c>
      <c r="E5986">
        <v>4.2770000000000001</v>
      </c>
      <c r="F5986">
        <v>130.95922580000001</v>
      </c>
      <c r="G5986">
        <v>7.3819999999999997</v>
      </c>
      <c r="N5986" s="8"/>
    </row>
    <row r="5987" spans="1:14" x14ac:dyDescent="0.25">
      <c r="A5987" s="8">
        <v>41068</v>
      </c>
      <c r="B5987">
        <v>642671.48</v>
      </c>
      <c r="C5987">
        <v>0</v>
      </c>
      <c r="D5987">
        <v>86.87</v>
      </c>
      <c r="E5987">
        <v>4.1029999999999998</v>
      </c>
      <c r="F5987">
        <v>130.88967740000001</v>
      </c>
      <c r="G5987">
        <v>7.3819999999999997</v>
      </c>
      <c r="N5987" s="8"/>
    </row>
    <row r="5988" spans="1:14" x14ac:dyDescent="0.25">
      <c r="A5988" s="8">
        <v>41075</v>
      </c>
      <c r="B5988">
        <v>606309.13</v>
      </c>
      <c r="C5988">
        <v>0</v>
      </c>
      <c r="D5988">
        <v>88.58</v>
      </c>
      <c r="E5988">
        <v>4.1440000000000001</v>
      </c>
      <c r="F5988">
        <v>130.82953330000001</v>
      </c>
      <c r="G5988">
        <v>7.3819999999999997</v>
      </c>
      <c r="N5988" s="8"/>
    </row>
    <row r="5989" spans="1:14" x14ac:dyDescent="0.25">
      <c r="A5989" s="8">
        <v>41082</v>
      </c>
      <c r="B5989">
        <v>540031.29</v>
      </c>
      <c r="C5989">
        <v>0</v>
      </c>
      <c r="D5989">
        <v>89.92</v>
      </c>
      <c r="E5989">
        <v>4.0140000000000002</v>
      </c>
      <c r="F5989">
        <v>130.7929</v>
      </c>
      <c r="G5989">
        <v>7.3819999999999997</v>
      </c>
      <c r="N5989" s="8"/>
    </row>
    <row r="5990" spans="1:14" x14ac:dyDescent="0.25">
      <c r="A5990" s="8">
        <v>41089</v>
      </c>
      <c r="B5990">
        <v>507403.77</v>
      </c>
      <c r="C5990">
        <v>0</v>
      </c>
      <c r="D5990">
        <v>91.36</v>
      </c>
      <c r="E5990">
        <v>3.875</v>
      </c>
      <c r="F5990">
        <v>130.7562667</v>
      </c>
      <c r="G5990">
        <v>7.3819999999999997</v>
      </c>
      <c r="N5990" s="8"/>
    </row>
    <row r="5991" spans="1:14" x14ac:dyDescent="0.25">
      <c r="A5991" s="8">
        <v>41096</v>
      </c>
      <c r="B5991">
        <v>618702.09</v>
      </c>
      <c r="C5991">
        <v>0</v>
      </c>
      <c r="D5991">
        <v>86.87</v>
      </c>
      <c r="E5991">
        <v>3.6659999999999999</v>
      </c>
      <c r="F5991">
        <v>130.7196333</v>
      </c>
      <c r="G5991">
        <v>7.17</v>
      </c>
      <c r="N5991" s="8"/>
    </row>
    <row r="5992" spans="1:14" x14ac:dyDescent="0.25">
      <c r="A5992" s="8">
        <v>41103</v>
      </c>
      <c r="B5992">
        <v>628099.07999999996</v>
      </c>
      <c r="C5992">
        <v>0</v>
      </c>
      <c r="D5992">
        <v>89.8</v>
      </c>
      <c r="E5992">
        <v>3.7229999999999999</v>
      </c>
      <c r="F5992">
        <v>130.68299999999999</v>
      </c>
      <c r="G5992">
        <v>7.17</v>
      </c>
      <c r="N5992" s="8"/>
    </row>
    <row r="5993" spans="1:14" x14ac:dyDescent="0.25">
      <c r="A5993" s="8">
        <v>41110</v>
      </c>
      <c r="B5993">
        <v>530318.39</v>
      </c>
      <c r="C5993">
        <v>0</v>
      </c>
      <c r="D5993">
        <v>84.45</v>
      </c>
      <c r="E5993">
        <v>3.589</v>
      </c>
      <c r="F5993">
        <v>130.70129030000001</v>
      </c>
      <c r="G5993">
        <v>7.17</v>
      </c>
      <c r="N5993" s="8"/>
    </row>
    <row r="5994" spans="1:14" x14ac:dyDescent="0.25">
      <c r="A5994" s="8">
        <v>41117</v>
      </c>
      <c r="B5994">
        <v>516352.21</v>
      </c>
      <c r="C5994">
        <v>0</v>
      </c>
      <c r="D5994">
        <v>83.98</v>
      </c>
      <c r="E5994">
        <v>3.7690000000000001</v>
      </c>
      <c r="F5994">
        <v>130.7195806</v>
      </c>
      <c r="G5994">
        <v>7.17</v>
      </c>
      <c r="N5994" s="8"/>
    </row>
    <row r="5995" spans="1:14" x14ac:dyDescent="0.25">
      <c r="A5995" s="8">
        <v>41124</v>
      </c>
      <c r="B5995">
        <v>573084.71</v>
      </c>
      <c r="C5995">
        <v>0</v>
      </c>
      <c r="D5995">
        <v>84.76</v>
      </c>
      <c r="E5995">
        <v>3.5950000000000002</v>
      </c>
      <c r="F5995">
        <v>130.73787100000001</v>
      </c>
      <c r="G5995">
        <v>7.17</v>
      </c>
      <c r="N5995" s="8"/>
    </row>
    <row r="5996" spans="1:14" x14ac:dyDescent="0.25">
      <c r="A5996" s="8">
        <v>41131</v>
      </c>
      <c r="B5996">
        <v>576620.31000000006</v>
      </c>
      <c r="C5996">
        <v>0</v>
      </c>
      <c r="D5996">
        <v>90.78</v>
      </c>
      <c r="E5996">
        <v>3.8109999999999999</v>
      </c>
      <c r="F5996">
        <v>130.7561613</v>
      </c>
      <c r="G5996">
        <v>7.17</v>
      </c>
      <c r="N5996" s="8"/>
    </row>
    <row r="5997" spans="1:14" x14ac:dyDescent="0.25">
      <c r="A5997" s="8">
        <v>41138</v>
      </c>
      <c r="B5997">
        <v>575997.78</v>
      </c>
      <c r="C5997">
        <v>0</v>
      </c>
      <c r="D5997">
        <v>88.83</v>
      </c>
      <c r="E5997">
        <v>4.0019999999999998</v>
      </c>
      <c r="F5997">
        <v>130.79096770000001</v>
      </c>
      <c r="G5997">
        <v>7.17</v>
      </c>
      <c r="N5997" s="8"/>
    </row>
    <row r="5998" spans="1:14" x14ac:dyDescent="0.25">
      <c r="A5998" s="8">
        <v>41145</v>
      </c>
      <c r="B5998">
        <v>535537.03</v>
      </c>
      <c r="C5998">
        <v>0</v>
      </c>
      <c r="D5998">
        <v>82.5</v>
      </c>
      <c r="E5998">
        <v>4.0549999999999997</v>
      </c>
      <c r="F5998">
        <v>130.8381613</v>
      </c>
      <c r="G5998">
        <v>7.17</v>
      </c>
      <c r="N5998" s="8"/>
    </row>
    <row r="5999" spans="1:14" x14ac:dyDescent="0.25">
      <c r="A5999" s="8">
        <v>41152</v>
      </c>
      <c r="B5999">
        <v>504760.57</v>
      </c>
      <c r="C5999">
        <v>0</v>
      </c>
      <c r="D5999">
        <v>86.97</v>
      </c>
      <c r="E5999">
        <v>3.8860000000000001</v>
      </c>
      <c r="F5999">
        <v>130.88535479999999</v>
      </c>
      <c r="G5999">
        <v>7.17</v>
      </c>
      <c r="N5999" s="8"/>
    </row>
    <row r="6000" spans="1:14" x14ac:dyDescent="0.25">
      <c r="A6000" s="8">
        <v>41159</v>
      </c>
      <c r="B6000">
        <v>617405.35</v>
      </c>
      <c r="C6000">
        <v>1</v>
      </c>
      <c r="D6000">
        <v>83.07</v>
      </c>
      <c r="E6000">
        <v>4.1239999999999997</v>
      </c>
      <c r="F6000">
        <v>130.9325484</v>
      </c>
      <c r="G6000">
        <v>7.17</v>
      </c>
      <c r="N6000" s="8"/>
    </row>
    <row r="6001" spans="1:14" x14ac:dyDescent="0.25">
      <c r="A6001" s="8">
        <v>41166</v>
      </c>
      <c r="B6001">
        <v>586737.66</v>
      </c>
      <c r="C6001">
        <v>0</v>
      </c>
      <c r="D6001">
        <v>78.47</v>
      </c>
      <c r="E6001">
        <v>3.9660000000000002</v>
      </c>
      <c r="F6001">
        <v>130.97766669999999</v>
      </c>
      <c r="G6001">
        <v>7.17</v>
      </c>
      <c r="N6001" s="8"/>
    </row>
    <row r="6002" spans="1:14" x14ac:dyDescent="0.25">
      <c r="A6002" s="8">
        <v>41173</v>
      </c>
      <c r="B6002">
        <v>527165.69999999995</v>
      </c>
      <c r="C6002">
        <v>0</v>
      </c>
      <c r="D6002">
        <v>81.93</v>
      </c>
      <c r="E6002">
        <v>4.125</v>
      </c>
      <c r="F6002">
        <v>131.01033330000001</v>
      </c>
      <c r="G6002">
        <v>7.17</v>
      </c>
      <c r="N6002" s="8"/>
    </row>
    <row r="6003" spans="1:14" x14ac:dyDescent="0.25">
      <c r="A6003" s="8">
        <v>41180</v>
      </c>
      <c r="B6003">
        <v>505978.46</v>
      </c>
      <c r="C6003">
        <v>0</v>
      </c>
      <c r="D6003">
        <v>82.52</v>
      </c>
      <c r="E6003">
        <v>3.9660000000000002</v>
      </c>
      <c r="F6003">
        <v>131.04300000000001</v>
      </c>
      <c r="G6003">
        <v>7.17</v>
      </c>
      <c r="N6003" s="8"/>
    </row>
    <row r="6004" spans="1:14" x14ac:dyDescent="0.25">
      <c r="A6004" s="8">
        <v>41187</v>
      </c>
      <c r="B6004">
        <v>593162.53</v>
      </c>
      <c r="C6004">
        <v>0</v>
      </c>
      <c r="D6004">
        <v>80.88</v>
      </c>
      <c r="E6004">
        <v>4.1319999999999997</v>
      </c>
      <c r="F6004">
        <v>131.0756667</v>
      </c>
      <c r="G6004">
        <v>6.9429999999999996</v>
      </c>
      <c r="N6004" s="8"/>
    </row>
    <row r="6005" spans="1:14" x14ac:dyDescent="0.25">
      <c r="A6005" s="8">
        <v>41194</v>
      </c>
      <c r="B6005">
        <v>612379.9</v>
      </c>
      <c r="C6005">
        <v>0</v>
      </c>
      <c r="D6005">
        <v>76.03</v>
      </c>
      <c r="E6005">
        <v>4.468</v>
      </c>
      <c r="F6005">
        <v>131.1083333</v>
      </c>
      <c r="G6005">
        <v>6.9429999999999996</v>
      </c>
      <c r="N6005" s="8"/>
    </row>
    <row r="6006" spans="1:14" x14ac:dyDescent="0.25">
      <c r="A6006" s="8">
        <v>41201</v>
      </c>
      <c r="B6006">
        <v>541406.98</v>
      </c>
      <c r="C6006">
        <v>0</v>
      </c>
      <c r="D6006">
        <v>72.709999999999994</v>
      </c>
      <c r="E6006">
        <v>4.4489999999999998</v>
      </c>
      <c r="F6006">
        <v>131.14996769999999</v>
      </c>
      <c r="G6006">
        <v>6.9429999999999996</v>
      </c>
      <c r="N6006" s="8"/>
    </row>
    <row r="6007" spans="1:14" x14ac:dyDescent="0.25">
      <c r="A6007" s="8">
        <v>41208</v>
      </c>
      <c r="B6007">
        <v>514756.08</v>
      </c>
      <c r="C6007">
        <v>0</v>
      </c>
      <c r="D6007">
        <v>70.5</v>
      </c>
      <c r="E6007">
        <v>4.3010000000000002</v>
      </c>
      <c r="F6007">
        <v>131.19309680000001</v>
      </c>
      <c r="G6007">
        <v>6.9429999999999996</v>
      </c>
      <c r="N6007" s="8"/>
    </row>
    <row r="6008" spans="1:14" x14ac:dyDescent="0.25">
      <c r="A6008" s="8">
        <v>40214</v>
      </c>
      <c r="B6008">
        <v>647029.28</v>
      </c>
      <c r="C6008">
        <v>0</v>
      </c>
      <c r="D6008">
        <v>47.31</v>
      </c>
      <c r="E6008">
        <v>2.5720000000000001</v>
      </c>
      <c r="F6008">
        <v>203.0642742</v>
      </c>
      <c r="G6008">
        <v>9.5210000000000008</v>
      </c>
      <c r="N6008" s="8"/>
    </row>
    <row r="6009" spans="1:14" x14ac:dyDescent="0.25">
      <c r="A6009" s="8">
        <v>40221</v>
      </c>
      <c r="B6009">
        <v>682918.99</v>
      </c>
      <c r="C6009">
        <v>1</v>
      </c>
      <c r="D6009">
        <v>47.99</v>
      </c>
      <c r="E6009">
        <v>2.548</v>
      </c>
      <c r="F6009">
        <v>203.20109679999999</v>
      </c>
      <c r="G6009">
        <v>9.5210000000000008</v>
      </c>
      <c r="N6009" s="8"/>
    </row>
    <row r="6010" spans="1:14" x14ac:dyDescent="0.25">
      <c r="A6010" s="8">
        <v>40228</v>
      </c>
      <c r="B6010">
        <v>658997.55000000005</v>
      </c>
      <c r="C6010">
        <v>0</v>
      </c>
      <c r="D6010">
        <v>48.77</v>
      </c>
      <c r="E6010">
        <v>2.5139999999999998</v>
      </c>
      <c r="F6010">
        <v>203.24797960000001</v>
      </c>
      <c r="G6010">
        <v>9.5210000000000008</v>
      </c>
      <c r="N6010" s="8"/>
    </row>
    <row r="6011" spans="1:14" x14ac:dyDescent="0.25">
      <c r="A6011" s="8">
        <v>40235</v>
      </c>
      <c r="B6011">
        <v>618702.79</v>
      </c>
      <c r="C6011">
        <v>0</v>
      </c>
      <c r="D6011">
        <v>48.77</v>
      </c>
      <c r="E6011">
        <v>2.5609999999999999</v>
      </c>
      <c r="F6011">
        <v>203.27987239999999</v>
      </c>
      <c r="G6011">
        <v>9.5210000000000008</v>
      </c>
      <c r="N6011" s="8"/>
    </row>
    <row r="6012" spans="1:14" x14ac:dyDescent="0.25">
      <c r="A6012" s="8">
        <v>40242</v>
      </c>
      <c r="B6012">
        <v>658600.05000000005</v>
      </c>
      <c r="C6012">
        <v>0</v>
      </c>
      <c r="D6012">
        <v>52.89</v>
      </c>
      <c r="E6012">
        <v>2.625</v>
      </c>
      <c r="F6012">
        <v>203.31176529999999</v>
      </c>
      <c r="G6012">
        <v>9.5210000000000008</v>
      </c>
      <c r="N6012" s="8"/>
    </row>
    <row r="6013" spans="1:14" x14ac:dyDescent="0.25">
      <c r="A6013" s="8">
        <v>40249</v>
      </c>
      <c r="B6013">
        <v>645386.93999999994</v>
      </c>
      <c r="C6013">
        <v>0</v>
      </c>
      <c r="D6013">
        <v>53.67</v>
      </c>
      <c r="E6013">
        <v>2.6669999999999998</v>
      </c>
      <c r="F6013">
        <v>203.34365819999999</v>
      </c>
      <c r="G6013">
        <v>9.5210000000000008</v>
      </c>
      <c r="N6013" s="8"/>
    </row>
    <row r="6014" spans="1:14" x14ac:dyDescent="0.25">
      <c r="A6014" s="8">
        <v>40256</v>
      </c>
      <c r="B6014">
        <v>668098.49</v>
      </c>
      <c r="C6014">
        <v>0</v>
      </c>
      <c r="D6014">
        <v>56</v>
      </c>
      <c r="E6014">
        <v>2.72</v>
      </c>
      <c r="F6014">
        <v>203.19515899999999</v>
      </c>
      <c r="G6014">
        <v>9.5210000000000008</v>
      </c>
      <c r="N6014" s="8"/>
    </row>
    <row r="6015" spans="1:14" x14ac:dyDescent="0.25">
      <c r="A6015" s="8">
        <v>40263</v>
      </c>
      <c r="B6015">
        <v>623097.93000000005</v>
      </c>
      <c r="C6015">
        <v>0</v>
      </c>
      <c r="D6015">
        <v>54.53</v>
      </c>
      <c r="E6015">
        <v>2.7320000000000002</v>
      </c>
      <c r="F6015">
        <v>203.0165945</v>
      </c>
      <c r="G6015">
        <v>9.5210000000000008</v>
      </c>
      <c r="N6015" s="8"/>
    </row>
    <row r="6016" spans="1:14" x14ac:dyDescent="0.25">
      <c r="A6016" s="8">
        <v>40270</v>
      </c>
      <c r="B6016">
        <v>650102.80000000005</v>
      </c>
      <c r="C6016">
        <v>0</v>
      </c>
      <c r="D6016">
        <v>62.19</v>
      </c>
      <c r="E6016">
        <v>2.7189999999999999</v>
      </c>
      <c r="F6016">
        <v>202.83803</v>
      </c>
      <c r="G6016">
        <v>9.593</v>
      </c>
      <c r="N6016" s="8"/>
    </row>
    <row r="6017" spans="1:14" x14ac:dyDescent="0.25">
      <c r="A6017" s="8">
        <v>40277</v>
      </c>
      <c r="B6017">
        <v>693058.34</v>
      </c>
      <c r="C6017">
        <v>0</v>
      </c>
      <c r="D6017">
        <v>64.37</v>
      </c>
      <c r="E6017">
        <v>2.77</v>
      </c>
      <c r="F6017">
        <v>202.65946539999999</v>
      </c>
      <c r="G6017">
        <v>9.593</v>
      </c>
      <c r="N6017" s="8"/>
    </row>
    <row r="6018" spans="1:14" x14ac:dyDescent="0.25">
      <c r="A6018" s="8">
        <v>40284</v>
      </c>
      <c r="B6018">
        <v>675282.2</v>
      </c>
      <c r="C6018">
        <v>0</v>
      </c>
      <c r="D6018">
        <v>69.459999999999994</v>
      </c>
      <c r="E6018">
        <v>2.8079999999999998</v>
      </c>
      <c r="F6018">
        <v>202.53515709999999</v>
      </c>
      <c r="G6018">
        <v>9.593</v>
      </c>
      <c r="N6018" s="8"/>
    </row>
    <row r="6019" spans="1:14" x14ac:dyDescent="0.25">
      <c r="A6019" s="8">
        <v>40291</v>
      </c>
      <c r="B6019">
        <v>638957.35</v>
      </c>
      <c r="C6019">
        <v>0</v>
      </c>
      <c r="D6019">
        <v>62.71</v>
      </c>
      <c r="E6019">
        <v>2.7949999999999999</v>
      </c>
      <c r="F6019">
        <v>202.48319050000001</v>
      </c>
      <c r="G6019">
        <v>9.593</v>
      </c>
      <c r="N6019" s="8"/>
    </row>
    <row r="6020" spans="1:14" x14ac:dyDescent="0.25">
      <c r="A6020" s="8">
        <v>40298</v>
      </c>
      <c r="B6020">
        <v>630740.11</v>
      </c>
      <c r="C6020">
        <v>0</v>
      </c>
      <c r="D6020">
        <v>66.91</v>
      </c>
      <c r="E6020">
        <v>2.78</v>
      </c>
      <c r="F6020">
        <v>202.4312238</v>
      </c>
      <c r="G6020">
        <v>9.593</v>
      </c>
      <c r="N6020" s="8"/>
    </row>
    <row r="6021" spans="1:14" x14ac:dyDescent="0.25">
      <c r="A6021" s="8">
        <v>40305</v>
      </c>
      <c r="B6021">
        <v>691498.6</v>
      </c>
      <c r="C6021">
        <v>0</v>
      </c>
      <c r="D6021">
        <v>67.16</v>
      </c>
      <c r="E6021">
        <v>2.835</v>
      </c>
      <c r="F6021">
        <v>202.37925709999999</v>
      </c>
      <c r="G6021">
        <v>9.593</v>
      </c>
      <c r="N6021" s="8"/>
    </row>
    <row r="6022" spans="1:14" x14ac:dyDescent="0.25">
      <c r="A6022" s="8">
        <v>40312</v>
      </c>
      <c r="B6022">
        <v>690851.59</v>
      </c>
      <c r="C6022">
        <v>0</v>
      </c>
      <c r="D6022">
        <v>72.14</v>
      </c>
      <c r="E6022">
        <v>2.8540000000000001</v>
      </c>
      <c r="F6022">
        <v>202.37050919999999</v>
      </c>
      <c r="G6022">
        <v>9.593</v>
      </c>
      <c r="N6022" s="8"/>
    </row>
    <row r="6023" spans="1:14" x14ac:dyDescent="0.25">
      <c r="A6023" s="8">
        <v>40319</v>
      </c>
      <c r="B6023">
        <v>672062.08</v>
      </c>
      <c r="C6023">
        <v>0</v>
      </c>
      <c r="D6023">
        <v>74.739999999999995</v>
      </c>
      <c r="E6023">
        <v>2.8260000000000001</v>
      </c>
      <c r="F6023">
        <v>202.62107370000001</v>
      </c>
      <c r="G6023">
        <v>9.593</v>
      </c>
      <c r="N6023" s="8"/>
    </row>
    <row r="6024" spans="1:14" x14ac:dyDescent="0.25">
      <c r="A6024" s="8">
        <v>40326</v>
      </c>
      <c r="B6024">
        <v>630315.76</v>
      </c>
      <c r="C6024">
        <v>0</v>
      </c>
      <c r="D6024">
        <v>78.59</v>
      </c>
      <c r="E6024">
        <v>2.7589999999999999</v>
      </c>
      <c r="F6024">
        <v>202.87163820000001</v>
      </c>
      <c r="G6024">
        <v>9.593</v>
      </c>
      <c r="N6024" s="8"/>
    </row>
    <row r="6025" spans="1:14" x14ac:dyDescent="0.25">
      <c r="A6025" s="8">
        <v>40333</v>
      </c>
      <c r="B6025">
        <v>682012.53</v>
      </c>
      <c r="C6025">
        <v>0</v>
      </c>
      <c r="D6025">
        <v>82.76</v>
      </c>
      <c r="E6025">
        <v>2.7050000000000001</v>
      </c>
      <c r="F6025">
        <v>203.1222028</v>
      </c>
      <c r="G6025">
        <v>9.593</v>
      </c>
      <c r="N6025" s="8"/>
    </row>
    <row r="6026" spans="1:14" x14ac:dyDescent="0.25">
      <c r="A6026" s="8">
        <v>40340</v>
      </c>
      <c r="B6026">
        <v>684023.95</v>
      </c>
      <c r="C6026">
        <v>0</v>
      </c>
      <c r="D6026">
        <v>88.12</v>
      </c>
      <c r="E6026">
        <v>2.6680000000000001</v>
      </c>
      <c r="F6026">
        <v>203.37276729999999</v>
      </c>
      <c r="G6026">
        <v>9.593</v>
      </c>
      <c r="N6026" s="8"/>
    </row>
    <row r="6027" spans="1:14" x14ac:dyDescent="0.25">
      <c r="A6027" s="8">
        <v>40347</v>
      </c>
      <c r="B6027">
        <v>700009.77</v>
      </c>
      <c r="C6027">
        <v>0</v>
      </c>
      <c r="D6027">
        <v>84.9</v>
      </c>
      <c r="E6027">
        <v>2.637</v>
      </c>
      <c r="F6027">
        <v>203.370619</v>
      </c>
      <c r="G6027">
        <v>9.593</v>
      </c>
      <c r="N6027" s="8"/>
    </row>
    <row r="6028" spans="1:14" x14ac:dyDescent="0.25">
      <c r="A6028" s="8">
        <v>40354</v>
      </c>
      <c r="B6028">
        <v>625196.14</v>
      </c>
      <c r="C6028">
        <v>0</v>
      </c>
      <c r="D6028">
        <v>88.48</v>
      </c>
      <c r="E6028">
        <v>2.653</v>
      </c>
      <c r="F6028">
        <v>203.26738570000001</v>
      </c>
      <c r="G6028">
        <v>9.593</v>
      </c>
      <c r="N6028" s="8"/>
    </row>
    <row r="6029" spans="1:14" x14ac:dyDescent="0.25">
      <c r="A6029" s="8">
        <v>40361</v>
      </c>
      <c r="B6029">
        <v>667353.79</v>
      </c>
      <c r="C6029">
        <v>0</v>
      </c>
      <c r="D6029">
        <v>80.17</v>
      </c>
      <c r="E6029">
        <v>2.669</v>
      </c>
      <c r="F6029">
        <v>203.16415240000001</v>
      </c>
      <c r="G6029">
        <v>9.8160000000000007</v>
      </c>
      <c r="N6029" s="8"/>
    </row>
    <row r="6030" spans="1:14" x14ac:dyDescent="0.25">
      <c r="A6030" s="8">
        <v>40368</v>
      </c>
      <c r="B6030">
        <v>718748.33</v>
      </c>
      <c r="C6030">
        <v>0</v>
      </c>
      <c r="D6030">
        <v>81.52</v>
      </c>
      <c r="E6030">
        <v>2.6419999999999999</v>
      </c>
      <c r="F6030">
        <v>203.06091900000001</v>
      </c>
      <c r="G6030">
        <v>9.8160000000000007</v>
      </c>
      <c r="N6030" s="8"/>
    </row>
    <row r="6031" spans="1:14" x14ac:dyDescent="0.25">
      <c r="A6031" s="8">
        <v>40375</v>
      </c>
      <c r="B6031">
        <v>696844.36</v>
      </c>
      <c r="C6031">
        <v>0</v>
      </c>
      <c r="D6031">
        <v>84.17</v>
      </c>
      <c r="E6031">
        <v>2.6230000000000002</v>
      </c>
      <c r="F6031">
        <v>203.05385480000001</v>
      </c>
      <c r="G6031">
        <v>9.8160000000000007</v>
      </c>
      <c r="N6031" s="8"/>
    </row>
    <row r="6032" spans="1:14" x14ac:dyDescent="0.25">
      <c r="A6032" s="8">
        <v>40382</v>
      </c>
      <c r="B6032">
        <v>649035.55000000005</v>
      </c>
      <c r="C6032">
        <v>0</v>
      </c>
      <c r="D6032">
        <v>86.6</v>
      </c>
      <c r="E6032">
        <v>2.6080000000000001</v>
      </c>
      <c r="F6032">
        <v>203.17501609999999</v>
      </c>
      <c r="G6032">
        <v>9.8160000000000007</v>
      </c>
      <c r="N6032" s="8"/>
    </row>
    <row r="6033" spans="1:14" x14ac:dyDescent="0.25">
      <c r="A6033" s="8">
        <v>40389</v>
      </c>
      <c r="B6033">
        <v>622112.23</v>
      </c>
      <c r="C6033">
        <v>0</v>
      </c>
      <c r="D6033">
        <v>79.790000000000006</v>
      </c>
      <c r="E6033">
        <v>2.64</v>
      </c>
      <c r="F6033">
        <v>203.2961774</v>
      </c>
      <c r="G6033">
        <v>9.8160000000000007</v>
      </c>
      <c r="N6033" s="8"/>
    </row>
    <row r="6034" spans="1:14" x14ac:dyDescent="0.25">
      <c r="A6034" s="8">
        <v>40396</v>
      </c>
      <c r="B6034">
        <v>698536.06</v>
      </c>
      <c r="C6034">
        <v>0</v>
      </c>
      <c r="D6034">
        <v>84.66</v>
      </c>
      <c r="E6034">
        <v>2.6269999999999998</v>
      </c>
      <c r="F6034">
        <v>203.41733869999999</v>
      </c>
      <c r="G6034">
        <v>9.8160000000000007</v>
      </c>
      <c r="N6034" s="8"/>
    </row>
    <row r="6035" spans="1:14" x14ac:dyDescent="0.25">
      <c r="A6035" s="8">
        <v>40403</v>
      </c>
      <c r="B6035">
        <v>713479.91</v>
      </c>
      <c r="C6035">
        <v>0</v>
      </c>
      <c r="D6035">
        <v>86.31</v>
      </c>
      <c r="E6035">
        <v>2.6920000000000002</v>
      </c>
      <c r="F6035">
        <v>203.5385</v>
      </c>
      <c r="G6035">
        <v>9.8160000000000007</v>
      </c>
      <c r="N6035" s="8"/>
    </row>
    <row r="6036" spans="1:14" x14ac:dyDescent="0.25">
      <c r="A6036" s="8">
        <v>40410</v>
      </c>
      <c r="B6036">
        <v>712869.09</v>
      </c>
      <c r="C6036">
        <v>0</v>
      </c>
      <c r="D6036">
        <v>85.26</v>
      </c>
      <c r="E6036">
        <v>2.6640000000000001</v>
      </c>
      <c r="F6036">
        <v>203.50924190000001</v>
      </c>
      <c r="G6036">
        <v>9.8160000000000007</v>
      </c>
      <c r="N6036" s="8"/>
    </row>
    <row r="6037" spans="1:14" x14ac:dyDescent="0.25">
      <c r="A6037" s="8">
        <v>40417</v>
      </c>
      <c r="B6037">
        <v>655284.68999999994</v>
      </c>
      <c r="C6037">
        <v>0</v>
      </c>
      <c r="D6037">
        <v>80.319999999999993</v>
      </c>
      <c r="E6037">
        <v>2.6190000000000002</v>
      </c>
      <c r="F6037">
        <v>203.47998390000001</v>
      </c>
      <c r="G6037">
        <v>9.8160000000000007</v>
      </c>
      <c r="N6037" s="8"/>
    </row>
    <row r="6038" spans="1:14" x14ac:dyDescent="0.25">
      <c r="A6038" s="8">
        <v>40424</v>
      </c>
      <c r="B6038">
        <v>689326.91</v>
      </c>
      <c r="C6038">
        <v>0</v>
      </c>
      <c r="D6038">
        <v>80.430000000000007</v>
      </c>
      <c r="E6038">
        <v>2.577</v>
      </c>
      <c r="F6038">
        <v>203.45072579999999</v>
      </c>
      <c r="G6038">
        <v>9.8160000000000007</v>
      </c>
      <c r="N6038" s="8"/>
    </row>
    <row r="6039" spans="1:14" x14ac:dyDescent="0.25">
      <c r="A6039" s="8">
        <v>40431</v>
      </c>
      <c r="B6039">
        <v>722120.04</v>
      </c>
      <c r="C6039">
        <v>1</v>
      </c>
      <c r="D6039">
        <v>81.319999999999993</v>
      </c>
      <c r="E6039">
        <v>2.5649999999999999</v>
      </c>
      <c r="F6039">
        <v>203.42146769999999</v>
      </c>
      <c r="G6039">
        <v>9.8160000000000007</v>
      </c>
      <c r="N6039" s="8"/>
    </row>
    <row r="6040" spans="1:14" x14ac:dyDescent="0.25">
      <c r="A6040" s="8">
        <v>40438</v>
      </c>
      <c r="B6040">
        <v>725043.04</v>
      </c>
      <c r="C6040">
        <v>0</v>
      </c>
      <c r="D6040">
        <v>78.86</v>
      </c>
      <c r="E6040">
        <v>2.5819999999999999</v>
      </c>
      <c r="F6040">
        <v>203.44992859999999</v>
      </c>
      <c r="G6040">
        <v>9.8160000000000007</v>
      </c>
      <c r="N6040" s="8"/>
    </row>
    <row r="6041" spans="1:14" x14ac:dyDescent="0.25">
      <c r="A6041" s="8">
        <v>40445</v>
      </c>
      <c r="B6041">
        <v>650263.94999999995</v>
      </c>
      <c r="C6041">
        <v>0</v>
      </c>
      <c r="D6041">
        <v>77.42</v>
      </c>
      <c r="E6041">
        <v>2.6240000000000001</v>
      </c>
      <c r="F6041">
        <v>203.5216786</v>
      </c>
      <c r="G6041">
        <v>9.8160000000000007</v>
      </c>
      <c r="N6041" s="8"/>
    </row>
    <row r="6042" spans="1:14" x14ac:dyDescent="0.25">
      <c r="A6042" s="8">
        <v>40452</v>
      </c>
      <c r="B6042">
        <v>657108.77</v>
      </c>
      <c r="C6042">
        <v>0</v>
      </c>
      <c r="D6042">
        <v>77.930000000000007</v>
      </c>
      <c r="E6042">
        <v>2.6030000000000002</v>
      </c>
      <c r="F6042">
        <v>203.59342860000001</v>
      </c>
      <c r="G6042">
        <v>10.210000000000001</v>
      </c>
      <c r="N6042" s="8"/>
    </row>
    <row r="6043" spans="1:14" x14ac:dyDescent="0.25">
      <c r="A6043" s="8">
        <v>40459</v>
      </c>
      <c r="B6043">
        <v>713332.54</v>
      </c>
      <c r="C6043">
        <v>0</v>
      </c>
      <c r="D6043">
        <v>72.81</v>
      </c>
      <c r="E6043">
        <v>2.633</v>
      </c>
      <c r="F6043">
        <v>203.66517859999999</v>
      </c>
      <c r="G6043">
        <v>10.210000000000001</v>
      </c>
      <c r="N6043" s="8"/>
    </row>
    <row r="6044" spans="1:14" x14ac:dyDescent="0.25">
      <c r="A6044" s="8">
        <v>40466</v>
      </c>
      <c r="B6044">
        <v>699852.68</v>
      </c>
      <c r="C6044">
        <v>0</v>
      </c>
      <c r="D6044">
        <v>68.78</v>
      </c>
      <c r="E6044">
        <v>2.72</v>
      </c>
      <c r="F6044">
        <v>203.7299032</v>
      </c>
      <c r="G6044">
        <v>10.210000000000001</v>
      </c>
      <c r="N6044" s="8"/>
    </row>
    <row r="6045" spans="1:14" x14ac:dyDescent="0.25">
      <c r="A6045" s="8">
        <v>40473</v>
      </c>
      <c r="B6045">
        <v>680943.03</v>
      </c>
      <c r="C6045">
        <v>0</v>
      </c>
      <c r="D6045">
        <v>69.459999999999994</v>
      </c>
      <c r="E6045">
        <v>2.7250000000000001</v>
      </c>
      <c r="F6045">
        <v>203.77706449999999</v>
      </c>
      <c r="G6045">
        <v>10.210000000000001</v>
      </c>
      <c r="N6045" s="8"/>
    </row>
    <row r="6046" spans="1:14" x14ac:dyDescent="0.25">
      <c r="A6046" s="8">
        <v>40480</v>
      </c>
      <c r="B6046">
        <v>610076.31999999995</v>
      </c>
      <c r="C6046">
        <v>0</v>
      </c>
      <c r="D6046">
        <v>65.88</v>
      </c>
      <c r="E6046">
        <v>2.7160000000000002</v>
      </c>
      <c r="F6046">
        <v>203.82422579999999</v>
      </c>
      <c r="G6046">
        <v>10.210000000000001</v>
      </c>
      <c r="N6046" s="8"/>
    </row>
    <row r="6047" spans="1:14" x14ac:dyDescent="0.25">
      <c r="A6047" s="8">
        <v>40487</v>
      </c>
      <c r="B6047">
        <v>605960.19999999995</v>
      </c>
      <c r="C6047">
        <v>0</v>
      </c>
      <c r="D6047">
        <v>62.52</v>
      </c>
      <c r="E6047">
        <v>2.6890000000000001</v>
      </c>
      <c r="F6047">
        <v>203.87138709999999</v>
      </c>
      <c r="G6047">
        <v>10.210000000000001</v>
      </c>
      <c r="N6047" s="8"/>
    </row>
    <row r="6048" spans="1:14" x14ac:dyDescent="0.25">
      <c r="A6048" s="8">
        <v>40494</v>
      </c>
      <c r="B6048">
        <v>595421.23</v>
      </c>
      <c r="C6048">
        <v>0</v>
      </c>
      <c r="D6048">
        <v>59.98</v>
      </c>
      <c r="E6048">
        <v>2.7280000000000002</v>
      </c>
      <c r="F6048">
        <v>203.91854839999999</v>
      </c>
      <c r="G6048">
        <v>10.210000000000001</v>
      </c>
      <c r="N6048" s="8"/>
    </row>
    <row r="6049" spans="1:14" x14ac:dyDescent="0.25">
      <c r="A6049" s="8">
        <v>40501</v>
      </c>
      <c r="B6049">
        <v>589467.35</v>
      </c>
      <c r="C6049">
        <v>0</v>
      </c>
      <c r="D6049">
        <v>54.96</v>
      </c>
      <c r="E6049">
        <v>2.7709999999999999</v>
      </c>
      <c r="F6049">
        <v>203.8191286</v>
      </c>
      <c r="G6049">
        <v>10.210000000000001</v>
      </c>
      <c r="N6049" s="8"/>
    </row>
    <row r="6050" spans="1:14" x14ac:dyDescent="0.25">
      <c r="A6050" s="8">
        <v>40508</v>
      </c>
      <c r="B6050">
        <v>633520.34</v>
      </c>
      <c r="C6050">
        <v>1</v>
      </c>
      <c r="D6050">
        <v>54.76</v>
      </c>
      <c r="E6050">
        <v>2.7349999999999999</v>
      </c>
      <c r="F6050">
        <v>203.69527859999999</v>
      </c>
      <c r="G6050">
        <v>10.210000000000001</v>
      </c>
      <c r="N6050" s="8"/>
    </row>
    <row r="6051" spans="1:14" x14ac:dyDescent="0.25">
      <c r="A6051" s="8">
        <v>40515</v>
      </c>
      <c r="B6051">
        <v>557543.62</v>
      </c>
      <c r="C6051">
        <v>0</v>
      </c>
      <c r="D6051">
        <v>44.56</v>
      </c>
      <c r="E6051">
        <v>2.7080000000000002</v>
      </c>
      <c r="F6051">
        <v>203.57142859999999</v>
      </c>
      <c r="G6051">
        <v>10.210000000000001</v>
      </c>
      <c r="N6051" s="8"/>
    </row>
    <row r="6052" spans="1:14" x14ac:dyDescent="0.25">
      <c r="A6052" s="8">
        <v>40522</v>
      </c>
      <c r="B6052">
        <v>598679.02</v>
      </c>
      <c r="C6052">
        <v>0</v>
      </c>
      <c r="D6052">
        <v>52.52</v>
      </c>
      <c r="E6052">
        <v>2.843</v>
      </c>
      <c r="F6052">
        <v>203.44757860000001</v>
      </c>
      <c r="G6052">
        <v>10.210000000000001</v>
      </c>
      <c r="N6052" s="8"/>
    </row>
    <row r="6053" spans="1:14" x14ac:dyDescent="0.25">
      <c r="A6053" s="8">
        <v>40529</v>
      </c>
      <c r="B6053">
        <v>615761.77</v>
      </c>
      <c r="C6053">
        <v>0</v>
      </c>
      <c r="D6053">
        <v>56.51</v>
      </c>
      <c r="E6053">
        <v>2.8690000000000002</v>
      </c>
      <c r="F6053">
        <v>203.3996521</v>
      </c>
      <c r="G6053">
        <v>10.210000000000001</v>
      </c>
      <c r="N6053" s="8"/>
    </row>
    <row r="6054" spans="1:14" x14ac:dyDescent="0.25">
      <c r="A6054" s="8">
        <v>40536</v>
      </c>
      <c r="B6054">
        <v>656637.63</v>
      </c>
      <c r="C6054">
        <v>0</v>
      </c>
      <c r="D6054">
        <v>57.15</v>
      </c>
      <c r="E6054">
        <v>2.8860000000000001</v>
      </c>
      <c r="F6054">
        <v>203.40866819999999</v>
      </c>
      <c r="G6054">
        <v>10.210000000000001</v>
      </c>
      <c r="N6054" s="8"/>
    </row>
    <row r="6055" spans="1:14" x14ac:dyDescent="0.25">
      <c r="A6055" s="8">
        <v>40543</v>
      </c>
      <c r="B6055">
        <v>534740.30000000005</v>
      </c>
      <c r="C6055">
        <v>1</v>
      </c>
      <c r="D6055">
        <v>48.61</v>
      </c>
      <c r="E6055">
        <v>2.9430000000000001</v>
      </c>
      <c r="F6055">
        <v>203.41768429999999</v>
      </c>
      <c r="G6055">
        <v>10.210000000000001</v>
      </c>
      <c r="N6055" s="8"/>
    </row>
    <row r="6056" spans="1:14" x14ac:dyDescent="0.25">
      <c r="A6056" s="8">
        <v>40550</v>
      </c>
      <c r="B6056">
        <v>611796.61</v>
      </c>
      <c r="C6056">
        <v>0</v>
      </c>
      <c r="D6056">
        <v>40.47</v>
      </c>
      <c r="E6056">
        <v>2.976</v>
      </c>
      <c r="F6056">
        <v>203.42670050000001</v>
      </c>
      <c r="G6056">
        <v>10.398</v>
      </c>
      <c r="N6056" s="8"/>
    </row>
    <row r="6057" spans="1:14" x14ac:dyDescent="0.25">
      <c r="A6057" s="8">
        <v>40557</v>
      </c>
      <c r="B6057">
        <v>614940.06999999995</v>
      </c>
      <c r="C6057">
        <v>0</v>
      </c>
      <c r="D6057">
        <v>43.45</v>
      </c>
      <c r="E6057">
        <v>2.9830000000000001</v>
      </c>
      <c r="F6057">
        <v>203.48406449999999</v>
      </c>
      <c r="G6057">
        <v>10.398</v>
      </c>
      <c r="N6057" s="8"/>
    </row>
    <row r="6058" spans="1:14" x14ac:dyDescent="0.25">
      <c r="A6058" s="8">
        <v>40564</v>
      </c>
      <c r="B6058">
        <v>601004.79</v>
      </c>
      <c r="C6058">
        <v>0</v>
      </c>
      <c r="D6058">
        <v>53.05</v>
      </c>
      <c r="E6058">
        <v>3.016</v>
      </c>
      <c r="F6058">
        <v>203.83151609999999</v>
      </c>
      <c r="G6058">
        <v>10.398</v>
      </c>
      <c r="N6058" s="8"/>
    </row>
    <row r="6059" spans="1:14" x14ac:dyDescent="0.25">
      <c r="A6059" s="8">
        <v>40571</v>
      </c>
      <c r="B6059">
        <v>562558.27</v>
      </c>
      <c r="C6059">
        <v>0</v>
      </c>
      <c r="D6059">
        <v>44.98</v>
      </c>
      <c r="E6059">
        <v>3.01</v>
      </c>
      <c r="F6059">
        <v>204.17896769999999</v>
      </c>
      <c r="G6059">
        <v>10.398</v>
      </c>
      <c r="N6059" s="8"/>
    </row>
    <row r="6060" spans="1:14" x14ac:dyDescent="0.25">
      <c r="A6060" s="8">
        <v>40578</v>
      </c>
      <c r="B6060">
        <v>651521.77</v>
      </c>
      <c r="C6060">
        <v>0</v>
      </c>
      <c r="D6060">
        <v>33.21</v>
      </c>
      <c r="E6060">
        <v>2.9889999999999999</v>
      </c>
      <c r="F6060">
        <v>204.52641940000001</v>
      </c>
      <c r="G6060">
        <v>10.398</v>
      </c>
      <c r="N6060" s="8"/>
    </row>
    <row r="6061" spans="1:14" x14ac:dyDescent="0.25">
      <c r="A6061" s="8">
        <v>40585</v>
      </c>
      <c r="B6061">
        <v>635650.98</v>
      </c>
      <c r="C6061">
        <v>1</v>
      </c>
      <c r="D6061">
        <v>40.65</v>
      </c>
      <c r="E6061">
        <v>3.0219999999999998</v>
      </c>
      <c r="F6061">
        <v>204.87387100000001</v>
      </c>
      <c r="G6061">
        <v>10.398</v>
      </c>
      <c r="N6061" s="8"/>
    </row>
    <row r="6062" spans="1:14" x14ac:dyDescent="0.25">
      <c r="A6062" s="8">
        <v>40592</v>
      </c>
      <c r="B6062">
        <v>626627.77</v>
      </c>
      <c r="C6062">
        <v>0</v>
      </c>
      <c r="D6062">
        <v>59.15</v>
      </c>
      <c r="E6062">
        <v>3.0449999999999999</v>
      </c>
      <c r="F6062">
        <v>205.1683214</v>
      </c>
      <c r="G6062">
        <v>10.398</v>
      </c>
      <c r="N6062" s="8"/>
    </row>
    <row r="6063" spans="1:14" x14ac:dyDescent="0.25">
      <c r="A6063" s="8">
        <v>40599</v>
      </c>
      <c r="B6063">
        <v>592340.01</v>
      </c>
      <c r="C6063">
        <v>0</v>
      </c>
      <c r="D6063">
        <v>58.37</v>
      </c>
      <c r="E6063">
        <v>3.0649999999999999</v>
      </c>
      <c r="F6063">
        <v>205.44157139999999</v>
      </c>
      <c r="G6063">
        <v>10.398</v>
      </c>
      <c r="N6063" s="8"/>
    </row>
    <row r="6064" spans="1:14" x14ac:dyDescent="0.25">
      <c r="A6064" s="8">
        <v>40606</v>
      </c>
      <c r="B6064">
        <v>616345.25</v>
      </c>
      <c r="C6064">
        <v>0</v>
      </c>
      <c r="D6064">
        <v>60.26</v>
      </c>
      <c r="E6064">
        <v>3.2879999999999998</v>
      </c>
      <c r="F6064">
        <v>205.71482140000001</v>
      </c>
      <c r="G6064">
        <v>10.398</v>
      </c>
      <c r="N6064" s="8"/>
    </row>
    <row r="6065" spans="1:14" x14ac:dyDescent="0.25">
      <c r="A6065" s="8">
        <v>40613</v>
      </c>
      <c r="B6065">
        <v>629026.75</v>
      </c>
      <c r="C6065">
        <v>0</v>
      </c>
      <c r="D6065">
        <v>60.24</v>
      </c>
      <c r="E6065">
        <v>3.4590000000000001</v>
      </c>
      <c r="F6065">
        <v>205.9880714</v>
      </c>
      <c r="G6065">
        <v>10.398</v>
      </c>
      <c r="N6065" s="8"/>
    </row>
    <row r="6066" spans="1:14" x14ac:dyDescent="0.25">
      <c r="A6066" s="8">
        <v>40620</v>
      </c>
      <c r="B6066">
        <v>635171.05000000005</v>
      </c>
      <c r="C6066">
        <v>0</v>
      </c>
      <c r="D6066">
        <v>68.98</v>
      </c>
      <c r="E6066">
        <v>3.488</v>
      </c>
      <c r="F6066">
        <v>206.22592399999999</v>
      </c>
      <c r="G6066">
        <v>10.398</v>
      </c>
      <c r="N6066" s="8"/>
    </row>
    <row r="6067" spans="1:14" x14ac:dyDescent="0.25">
      <c r="A6067" s="8">
        <v>40627</v>
      </c>
      <c r="B6067">
        <v>585989.1</v>
      </c>
      <c r="C6067">
        <v>0</v>
      </c>
      <c r="D6067">
        <v>65.53</v>
      </c>
      <c r="E6067">
        <v>3.4729999999999999</v>
      </c>
      <c r="F6067">
        <v>206.44961749999999</v>
      </c>
      <c r="G6067">
        <v>10.398</v>
      </c>
      <c r="N6067" s="8"/>
    </row>
    <row r="6068" spans="1:14" x14ac:dyDescent="0.25">
      <c r="A6068" s="8">
        <v>40634</v>
      </c>
      <c r="B6068">
        <v>611585.54</v>
      </c>
      <c r="C6068">
        <v>0</v>
      </c>
      <c r="D6068">
        <v>67.790000000000006</v>
      </c>
      <c r="E6068">
        <v>3.524</v>
      </c>
      <c r="F6068">
        <v>206.67331110000001</v>
      </c>
      <c r="G6068">
        <v>10.581</v>
      </c>
      <c r="N6068" s="8"/>
    </row>
    <row r="6069" spans="1:14" x14ac:dyDescent="0.25">
      <c r="A6069" s="8">
        <v>40641</v>
      </c>
      <c r="B6069">
        <v>650418.75</v>
      </c>
      <c r="C6069">
        <v>0</v>
      </c>
      <c r="D6069">
        <v>70.349999999999994</v>
      </c>
      <c r="E6069">
        <v>3.6219999999999999</v>
      </c>
      <c r="F6069">
        <v>206.8970046</v>
      </c>
      <c r="G6069">
        <v>10.581</v>
      </c>
      <c r="N6069" s="8"/>
    </row>
    <row r="6070" spans="1:14" x14ac:dyDescent="0.25">
      <c r="A6070" s="8">
        <v>40648</v>
      </c>
      <c r="B6070">
        <v>635758.03</v>
      </c>
      <c r="C6070">
        <v>0</v>
      </c>
      <c r="D6070">
        <v>65.010000000000005</v>
      </c>
      <c r="E6070">
        <v>3.7429999999999999</v>
      </c>
      <c r="F6070">
        <v>207.1015429</v>
      </c>
      <c r="G6070">
        <v>10.581</v>
      </c>
      <c r="N6070" s="8"/>
    </row>
    <row r="6071" spans="1:14" x14ac:dyDescent="0.25">
      <c r="A6071" s="8">
        <v>40655</v>
      </c>
      <c r="B6071">
        <v>638280.67000000004</v>
      </c>
      <c r="C6071">
        <v>0</v>
      </c>
      <c r="D6071">
        <v>74.489999999999995</v>
      </c>
      <c r="E6071">
        <v>3.8069999999999999</v>
      </c>
      <c r="F6071">
        <v>207.25819290000001</v>
      </c>
      <c r="G6071">
        <v>10.581</v>
      </c>
      <c r="N6071" s="8"/>
    </row>
    <row r="6072" spans="1:14" x14ac:dyDescent="0.25">
      <c r="A6072" s="8">
        <v>40662</v>
      </c>
      <c r="B6072">
        <v>611464.21</v>
      </c>
      <c r="C6072">
        <v>0</v>
      </c>
      <c r="D6072">
        <v>71.34</v>
      </c>
      <c r="E6072">
        <v>3.81</v>
      </c>
      <c r="F6072">
        <v>207.4148429</v>
      </c>
      <c r="G6072">
        <v>10.581</v>
      </c>
      <c r="N6072" s="8"/>
    </row>
    <row r="6073" spans="1:14" x14ac:dyDescent="0.25">
      <c r="A6073" s="8">
        <v>40669</v>
      </c>
      <c r="B6073">
        <v>649148.74</v>
      </c>
      <c r="C6073">
        <v>0</v>
      </c>
      <c r="D6073">
        <v>66.77</v>
      </c>
      <c r="E6073">
        <v>3.9060000000000001</v>
      </c>
      <c r="F6073">
        <v>207.57149290000001</v>
      </c>
      <c r="G6073">
        <v>10.581</v>
      </c>
      <c r="N6073" s="8"/>
    </row>
    <row r="6074" spans="1:14" x14ac:dyDescent="0.25">
      <c r="A6074" s="8">
        <v>40676</v>
      </c>
      <c r="B6074">
        <v>684655.91</v>
      </c>
      <c r="C6074">
        <v>0</v>
      </c>
      <c r="D6074">
        <v>76.03</v>
      </c>
      <c r="E6074">
        <v>3.899</v>
      </c>
      <c r="F6074">
        <v>207.72814289999999</v>
      </c>
      <c r="G6074">
        <v>10.581</v>
      </c>
      <c r="N6074" s="8"/>
    </row>
    <row r="6075" spans="1:14" x14ac:dyDescent="0.25">
      <c r="A6075" s="8">
        <v>40683</v>
      </c>
      <c r="B6075">
        <v>648330.18000000005</v>
      </c>
      <c r="C6075">
        <v>0</v>
      </c>
      <c r="D6075">
        <v>74.209999999999994</v>
      </c>
      <c r="E6075">
        <v>3.907</v>
      </c>
      <c r="F6075">
        <v>207.52006220000001</v>
      </c>
      <c r="G6075">
        <v>10.581</v>
      </c>
      <c r="N6075" s="8"/>
    </row>
    <row r="6076" spans="1:14" x14ac:dyDescent="0.25">
      <c r="A6076" s="8">
        <v>40690</v>
      </c>
      <c r="B6076">
        <v>578209.63</v>
      </c>
      <c r="C6076">
        <v>0</v>
      </c>
      <c r="D6076">
        <v>80.89</v>
      </c>
      <c r="E6076">
        <v>3.786</v>
      </c>
      <c r="F6076">
        <v>207.3119816</v>
      </c>
      <c r="G6076">
        <v>10.581</v>
      </c>
      <c r="N6076" s="8"/>
    </row>
    <row r="6077" spans="1:14" x14ac:dyDescent="0.25">
      <c r="A6077" s="8">
        <v>40697</v>
      </c>
      <c r="B6077">
        <v>630972.15</v>
      </c>
      <c r="C6077">
        <v>0</v>
      </c>
      <c r="D6077">
        <v>83.49</v>
      </c>
      <c r="E6077">
        <v>3.6989999999999998</v>
      </c>
      <c r="F6077">
        <v>207.10390090000001</v>
      </c>
      <c r="G6077">
        <v>10.581</v>
      </c>
      <c r="N6077" s="8"/>
    </row>
    <row r="6078" spans="1:14" x14ac:dyDescent="0.25">
      <c r="A6078" s="8">
        <v>40704</v>
      </c>
      <c r="B6078">
        <v>643041.71</v>
      </c>
      <c r="C6078">
        <v>0</v>
      </c>
      <c r="D6078">
        <v>85.81</v>
      </c>
      <c r="E6078">
        <v>3.6480000000000001</v>
      </c>
      <c r="F6078">
        <v>206.8958203</v>
      </c>
      <c r="G6078">
        <v>10.581</v>
      </c>
      <c r="N6078" s="8"/>
    </row>
    <row r="6079" spans="1:14" x14ac:dyDescent="0.25">
      <c r="A6079" s="8">
        <v>40711</v>
      </c>
      <c r="B6079">
        <v>665781.74</v>
      </c>
      <c r="C6079">
        <v>0</v>
      </c>
      <c r="D6079">
        <v>88.49</v>
      </c>
      <c r="E6079">
        <v>3.637</v>
      </c>
      <c r="F6079">
        <v>206.8560238</v>
      </c>
      <c r="G6079">
        <v>10.581</v>
      </c>
      <c r="N6079" s="8"/>
    </row>
    <row r="6080" spans="1:14" x14ac:dyDescent="0.25">
      <c r="A6080" s="8">
        <v>40718</v>
      </c>
      <c r="B6080">
        <v>604925.07999999996</v>
      </c>
      <c r="C6080">
        <v>0</v>
      </c>
      <c r="D6080">
        <v>88.3</v>
      </c>
      <c r="E6080">
        <v>3.5939999999999999</v>
      </c>
      <c r="F6080">
        <v>206.9424405</v>
      </c>
      <c r="G6080">
        <v>10.581</v>
      </c>
      <c r="N6080" s="8"/>
    </row>
    <row r="6081" spans="1:14" x14ac:dyDescent="0.25">
      <c r="A6081" s="8">
        <v>40725</v>
      </c>
      <c r="B6081">
        <v>586781.78</v>
      </c>
      <c r="C6081">
        <v>0</v>
      </c>
      <c r="D6081">
        <v>91.36</v>
      </c>
      <c r="E6081">
        <v>3.524</v>
      </c>
      <c r="F6081">
        <v>207.02885710000001</v>
      </c>
      <c r="G6081">
        <v>10.641</v>
      </c>
      <c r="N6081" s="8"/>
    </row>
    <row r="6082" spans="1:14" x14ac:dyDescent="0.25">
      <c r="A6082" s="8">
        <v>40732</v>
      </c>
      <c r="B6082">
        <v>651147.82999999996</v>
      </c>
      <c r="C6082">
        <v>0</v>
      </c>
      <c r="D6082">
        <v>87.02</v>
      </c>
      <c r="E6082">
        <v>3.48</v>
      </c>
      <c r="F6082">
        <v>207.11527380000001</v>
      </c>
      <c r="G6082">
        <v>10.641</v>
      </c>
      <c r="N6082" s="8"/>
    </row>
    <row r="6083" spans="1:14" x14ac:dyDescent="0.25">
      <c r="A6083" s="8">
        <v>40739</v>
      </c>
      <c r="B6083">
        <v>631827.38</v>
      </c>
      <c r="C6083">
        <v>0</v>
      </c>
      <c r="D6083">
        <v>84.67</v>
      </c>
      <c r="E6083">
        <v>3.5750000000000002</v>
      </c>
      <c r="F6083">
        <v>207.19406910000001</v>
      </c>
      <c r="G6083">
        <v>10.641</v>
      </c>
      <c r="N6083" s="8"/>
    </row>
    <row r="6084" spans="1:14" x14ac:dyDescent="0.25">
      <c r="A6084" s="8">
        <v>40746</v>
      </c>
      <c r="B6084">
        <v>597354.39</v>
      </c>
      <c r="C6084">
        <v>0</v>
      </c>
      <c r="D6084">
        <v>88.58</v>
      </c>
      <c r="E6084">
        <v>3.6509999999999998</v>
      </c>
      <c r="F6084">
        <v>207.25381110000001</v>
      </c>
      <c r="G6084">
        <v>10.641</v>
      </c>
      <c r="N6084" s="8"/>
    </row>
    <row r="6085" spans="1:14" x14ac:dyDescent="0.25">
      <c r="A6085" s="8">
        <v>40753</v>
      </c>
      <c r="B6085">
        <v>533917.52</v>
      </c>
      <c r="C6085">
        <v>0</v>
      </c>
      <c r="D6085">
        <v>83.43</v>
      </c>
      <c r="E6085">
        <v>3.6819999999999999</v>
      </c>
      <c r="F6085">
        <v>207.31355300000001</v>
      </c>
      <c r="G6085">
        <v>10.641</v>
      </c>
      <c r="N6085" s="8"/>
    </row>
    <row r="6086" spans="1:14" x14ac:dyDescent="0.25">
      <c r="A6086" s="8">
        <v>40760</v>
      </c>
      <c r="B6086">
        <v>605956.59</v>
      </c>
      <c r="C6086">
        <v>0</v>
      </c>
      <c r="D6086">
        <v>87.47</v>
      </c>
      <c r="E6086">
        <v>3.6840000000000002</v>
      </c>
      <c r="F6086">
        <v>207.37329489999999</v>
      </c>
      <c r="G6086">
        <v>10.641</v>
      </c>
      <c r="N6086" s="8"/>
    </row>
    <row r="6087" spans="1:14" x14ac:dyDescent="0.25">
      <c r="A6087" s="8">
        <v>40767</v>
      </c>
      <c r="B6087">
        <v>595626.56000000006</v>
      </c>
      <c r="C6087">
        <v>0</v>
      </c>
      <c r="D6087">
        <v>86.64</v>
      </c>
      <c r="E6087">
        <v>3.6379999999999999</v>
      </c>
      <c r="F6087">
        <v>207.43303689999999</v>
      </c>
      <c r="G6087">
        <v>10.641</v>
      </c>
      <c r="N6087" s="8"/>
    </row>
    <row r="6088" spans="1:14" x14ac:dyDescent="0.25">
      <c r="A6088" s="8">
        <v>40774</v>
      </c>
      <c r="B6088">
        <v>663396.31999999995</v>
      </c>
      <c r="C6088">
        <v>0</v>
      </c>
      <c r="D6088">
        <v>82.08</v>
      </c>
      <c r="E6088">
        <v>3.5539999999999998</v>
      </c>
      <c r="F6088">
        <v>207.4953088</v>
      </c>
      <c r="G6088">
        <v>10.641</v>
      </c>
      <c r="N6088" s="8"/>
    </row>
    <row r="6089" spans="1:14" x14ac:dyDescent="0.25">
      <c r="A6089" s="8">
        <v>40781</v>
      </c>
      <c r="B6089">
        <v>561573.07999999996</v>
      </c>
      <c r="C6089">
        <v>0</v>
      </c>
      <c r="D6089">
        <v>87.43</v>
      </c>
      <c r="E6089">
        <v>3.5230000000000001</v>
      </c>
      <c r="F6089">
        <v>207.5580023</v>
      </c>
      <c r="G6089">
        <v>10.641</v>
      </c>
      <c r="N6089" s="8"/>
    </row>
    <row r="6090" spans="1:14" x14ac:dyDescent="0.25">
      <c r="A6090" s="8">
        <v>40788</v>
      </c>
      <c r="B6090">
        <v>594224.9</v>
      </c>
      <c r="C6090">
        <v>0</v>
      </c>
      <c r="D6090">
        <v>87.84</v>
      </c>
      <c r="E6090">
        <v>3.5329999999999999</v>
      </c>
      <c r="F6090">
        <v>207.62069589999999</v>
      </c>
      <c r="G6090">
        <v>10.641</v>
      </c>
      <c r="N6090" s="8"/>
    </row>
    <row r="6091" spans="1:14" x14ac:dyDescent="0.25">
      <c r="A6091" s="8">
        <v>40795</v>
      </c>
      <c r="B6091">
        <v>649128.23</v>
      </c>
      <c r="C6091">
        <v>1</v>
      </c>
      <c r="D6091">
        <v>79.290000000000006</v>
      </c>
      <c r="E6091">
        <v>3.5459999999999998</v>
      </c>
      <c r="F6091">
        <v>207.68338940000001</v>
      </c>
      <c r="G6091">
        <v>10.641</v>
      </c>
      <c r="N6091" s="8"/>
    </row>
    <row r="6092" spans="1:14" x14ac:dyDescent="0.25">
      <c r="A6092" s="8">
        <v>40802</v>
      </c>
      <c r="B6092">
        <v>618877.13</v>
      </c>
      <c r="C6092">
        <v>0</v>
      </c>
      <c r="D6092">
        <v>77.17</v>
      </c>
      <c r="E6092">
        <v>3.5259999999999998</v>
      </c>
      <c r="F6092">
        <v>207.8527143</v>
      </c>
      <c r="G6092">
        <v>10.641</v>
      </c>
      <c r="N6092" s="8"/>
    </row>
    <row r="6093" spans="1:14" x14ac:dyDescent="0.25">
      <c r="A6093" s="8">
        <v>40809</v>
      </c>
      <c r="B6093">
        <v>586108.13</v>
      </c>
      <c r="C6093">
        <v>0</v>
      </c>
      <c r="D6093">
        <v>78.98</v>
      </c>
      <c r="E6093">
        <v>3.4670000000000001</v>
      </c>
      <c r="F6093">
        <v>208.1642143</v>
      </c>
      <c r="G6093">
        <v>10.641</v>
      </c>
      <c r="N6093" s="8"/>
    </row>
    <row r="6094" spans="1:14" x14ac:dyDescent="0.25">
      <c r="A6094" s="8">
        <v>40816</v>
      </c>
      <c r="B6094">
        <v>555183.72</v>
      </c>
      <c r="C6094">
        <v>0</v>
      </c>
      <c r="D6094">
        <v>78.97</v>
      </c>
      <c r="E6094">
        <v>3.355</v>
      </c>
      <c r="F6094">
        <v>208.47571429999999</v>
      </c>
      <c r="G6094">
        <v>10.641</v>
      </c>
      <c r="N6094" s="8"/>
    </row>
    <row r="6095" spans="1:14" x14ac:dyDescent="0.25">
      <c r="A6095" s="8">
        <v>40823</v>
      </c>
      <c r="B6095">
        <v>642828.62</v>
      </c>
      <c r="C6095">
        <v>0</v>
      </c>
      <c r="D6095">
        <v>74.17</v>
      </c>
      <c r="E6095">
        <v>3.2850000000000001</v>
      </c>
      <c r="F6095">
        <v>208.78721429999999</v>
      </c>
      <c r="G6095">
        <v>10.148</v>
      </c>
      <c r="N6095" s="8"/>
    </row>
    <row r="6096" spans="1:14" x14ac:dyDescent="0.25">
      <c r="A6096" s="8">
        <v>40830</v>
      </c>
      <c r="B6096">
        <v>590984.56000000006</v>
      </c>
      <c r="C6096">
        <v>0</v>
      </c>
      <c r="D6096">
        <v>68.09</v>
      </c>
      <c r="E6096">
        <v>3.274</v>
      </c>
      <c r="F6096">
        <v>209.0752166</v>
      </c>
      <c r="G6096">
        <v>10.148</v>
      </c>
      <c r="N6096" s="8"/>
    </row>
    <row r="6097" spans="1:14" x14ac:dyDescent="0.25">
      <c r="A6097" s="8">
        <v>40837</v>
      </c>
      <c r="B6097">
        <v>594625.96</v>
      </c>
      <c r="C6097">
        <v>0</v>
      </c>
      <c r="D6097">
        <v>70.3</v>
      </c>
      <c r="E6097">
        <v>3.3530000000000002</v>
      </c>
      <c r="F6097">
        <v>209.22223270000001</v>
      </c>
      <c r="G6097">
        <v>10.148</v>
      </c>
      <c r="N6097" s="8"/>
    </row>
    <row r="6098" spans="1:14" x14ac:dyDescent="0.25">
      <c r="A6098" s="8">
        <v>40844</v>
      </c>
      <c r="B6098">
        <v>572516.56999999995</v>
      </c>
      <c r="C6098">
        <v>0</v>
      </c>
      <c r="D6098">
        <v>66.819999999999993</v>
      </c>
      <c r="E6098">
        <v>3.3719999999999999</v>
      </c>
      <c r="F6098">
        <v>209.36924880000001</v>
      </c>
      <c r="G6098">
        <v>10.148</v>
      </c>
      <c r="N6098" s="8"/>
    </row>
    <row r="6099" spans="1:14" x14ac:dyDescent="0.25">
      <c r="A6099" s="8">
        <v>40851</v>
      </c>
      <c r="B6099">
        <v>641905.37</v>
      </c>
      <c r="C6099">
        <v>0</v>
      </c>
      <c r="D6099">
        <v>59.08</v>
      </c>
      <c r="E6099">
        <v>3.3319999999999999</v>
      </c>
      <c r="F6099">
        <v>209.516265</v>
      </c>
      <c r="G6099">
        <v>10.148</v>
      </c>
      <c r="N6099" s="8"/>
    </row>
    <row r="6100" spans="1:14" x14ac:dyDescent="0.25">
      <c r="A6100" s="8">
        <v>40858</v>
      </c>
      <c r="B6100">
        <v>615975.5</v>
      </c>
      <c r="C6100">
        <v>0</v>
      </c>
      <c r="D6100">
        <v>51.26</v>
      </c>
      <c r="E6100">
        <v>3.2970000000000002</v>
      </c>
      <c r="F6100">
        <v>209.66328110000001</v>
      </c>
      <c r="G6100">
        <v>10.148</v>
      </c>
      <c r="N6100" s="8"/>
    </row>
    <row r="6101" spans="1:14" x14ac:dyDescent="0.25">
      <c r="A6101" s="8">
        <v>40865</v>
      </c>
      <c r="B6101">
        <v>628115.61</v>
      </c>
      <c r="C6101">
        <v>0</v>
      </c>
      <c r="D6101">
        <v>57.75</v>
      </c>
      <c r="E6101">
        <v>3.3079999999999998</v>
      </c>
      <c r="F6101">
        <v>209.86510709999999</v>
      </c>
      <c r="G6101">
        <v>10.148</v>
      </c>
      <c r="N6101" s="8"/>
    </row>
    <row r="6102" spans="1:14" x14ac:dyDescent="0.25">
      <c r="A6102" s="8">
        <v>40872</v>
      </c>
      <c r="B6102">
        <v>669965.22</v>
      </c>
      <c r="C6102">
        <v>1</v>
      </c>
      <c r="D6102">
        <v>55.7</v>
      </c>
      <c r="E6102">
        <v>3.2360000000000002</v>
      </c>
      <c r="F6102">
        <v>210.08885710000001</v>
      </c>
      <c r="G6102">
        <v>10.148</v>
      </c>
      <c r="N6102" s="8"/>
    </row>
    <row r="6103" spans="1:14" x14ac:dyDescent="0.25">
      <c r="A6103" s="8">
        <v>40879</v>
      </c>
      <c r="B6103">
        <v>585028.26</v>
      </c>
      <c r="C6103">
        <v>0</v>
      </c>
      <c r="D6103">
        <v>47.49</v>
      </c>
      <c r="E6103">
        <v>3.1720000000000002</v>
      </c>
      <c r="F6103">
        <v>210.31260710000001</v>
      </c>
      <c r="G6103">
        <v>10.148</v>
      </c>
      <c r="N6103" s="8"/>
    </row>
    <row r="6104" spans="1:14" x14ac:dyDescent="0.25">
      <c r="A6104" s="8">
        <v>40886</v>
      </c>
      <c r="B6104">
        <v>617898.06999999995</v>
      </c>
      <c r="C6104">
        <v>0</v>
      </c>
      <c r="D6104">
        <v>34.229999999999997</v>
      </c>
      <c r="E6104">
        <v>3.1579999999999999</v>
      </c>
      <c r="F6104">
        <v>210.5363571</v>
      </c>
      <c r="G6104">
        <v>10.148</v>
      </c>
      <c r="N6104" s="8"/>
    </row>
    <row r="6105" spans="1:14" x14ac:dyDescent="0.25">
      <c r="A6105" s="8">
        <v>40893</v>
      </c>
      <c r="B6105">
        <v>665007.07999999996</v>
      </c>
      <c r="C6105">
        <v>0</v>
      </c>
      <c r="D6105">
        <v>43.78</v>
      </c>
      <c r="E6105">
        <v>3.1589999999999998</v>
      </c>
      <c r="F6105">
        <v>210.73653920000001</v>
      </c>
      <c r="G6105">
        <v>10.148</v>
      </c>
      <c r="N6105" s="8"/>
    </row>
    <row r="6106" spans="1:14" x14ac:dyDescent="0.25">
      <c r="A6106" s="8">
        <v>40900</v>
      </c>
      <c r="B6106">
        <v>676290.46</v>
      </c>
      <c r="C6106">
        <v>0</v>
      </c>
      <c r="D6106">
        <v>42.63</v>
      </c>
      <c r="E6106">
        <v>3.1120000000000001</v>
      </c>
      <c r="F6106">
        <v>210.90529720000001</v>
      </c>
      <c r="G6106">
        <v>10.148</v>
      </c>
      <c r="N6106" s="8"/>
    </row>
    <row r="6107" spans="1:14" x14ac:dyDescent="0.25">
      <c r="A6107" s="8">
        <v>40907</v>
      </c>
      <c r="B6107">
        <v>505405.85</v>
      </c>
      <c r="C6107">
        <v>1</v>
      </c>
      <c r="D6107">
        <v>41.83</v>
      </c>
      <c r="E6107">
        <v>3.129</v>
      </c>
      <c r="F6107">
        <v>211.0740553</v>
      </c>
      <c r="G6107">
        <v>10.148</v>
      </c>
      <c r="N6107" s="8"/>
    </row>
    <row r="6108" spans="1:14" x14ac:dyDescent="0.25">
      <c r="A6108" s="8">
        <v>40914</v>
      </c>
      <c r="B6108">
        <v>670993.01</v>
      </c>
      <c r="C6108">
        <v>0</v>
      </c>
      <c r="D6108">
        <v>47.59</v>
      </c>
      <c r="E6108">
        <v>3.157</v>
      </c>
      <c r="F6108">
        <v>211.24281339999999</v>
      </c>
      <c r="G6108">
        <v>9.6530000000000005</v>
      </c>
      <c r="N6108" s="8"/>
    </row>
    <row r="6109" spans="1:14" x14ac:dyDescent="0.25">
      <c r="A6109" s="8">
        <v>40921</v>
      </c>
      <c r="B6109">
        <v>663529.64</v>
      </c>
      <c r="C6109">
        <v>0</v>
      </c>
      <c r="D6109">
        <v>43.68</v>
      </c>
      <c r="E6109">
        <v>3.2610000000000001</v>
      </c>
      <c r="F6109">
        <v>211.41157140000001</v>
      </c>
      <c r="G6109">
        <v>9.6530000000000005</v>
      </c>
      <c r="N6109" s="8"/>
    </row>
    <row r="6110" spans="1:14" x14ac:dyDescent="0.25">
      <c r="A6110" s="8">
        <v>40928</v>
      </c>
      <c r="B6110">
        <v>619225.65</v>
      </c>
      <c r="C6110">
        <v>0</v>
      </c>
      <c r="D6110">
        <v>52.72</v>
      </c>
      <c r="E6110">
        <v>3.2679999999999998</v>
      </c>
      <c r="F6110">
        <v>211.49978110000001</v>
      </c>
      <c r="G6110">
        <v>9.6530000000000005</v>
      </c>
      <c r="N6110" s="8"/>
    </row>
    <row r="6111" spans="1:14" x14ac:dyDescent="0.25">
      <c r="A6111" s="8">
        <v>40935</v>
      </c>
      <c r="B6111">
        <v>587685.38</v>
      </c>
      <c r="C6111">
        <v>0</v>
      </c>
      <c r="D6111">
        <v>52.1</v>
      </c>
      <c r="E6111">
        <v>3.29</v>
      </c>
      <c r="F6111">
        <v>211.5879908</v>
      </c>
      <c r="G6111">
        <v>9.6530000000000005</v>
      </c>
      <c r="N6111" s="8"/>
    </row>
    <row r="6112" spans="1:14" x14ac:dyDescent="0.25">
      <c r="A6112" s="8">
        <v>40942</v>
      </c>
      <c r="B6112">
        <v>629176.71</v>
      </c>
      <c r="C6112">
        <v>0</v>
      </c>
      <c r="D6112">
        <v>51.92</v>
      </c>
      <c r="E6112">
        <v>3.36</v>
      </c>
      <c r="F6112">
        <v>211.67620049999999</v>
      </c>
      <c r="G6112">
        <v>9.6530000000000005</v>
      </c>
      <c r="N6112" s="8"/>
    </row>
    <row r="6113" spans="1:14" x14ac:dyDescent="0.25">
      <c r="A6113" s="8">
        <v>40949</v>
      </c>
      <c r="B6113">
        <v>662198.65</v>
      </c>
      <c r="C6113">
        <v>1</v>
      </c>
      <c r="D6113">
        <v>46.54</v>
      </c>
      <c r="E6113">
        <v>3.4089999999999998</v>
      </c>
      <c r="F6113">
        <v>211.76441009999999</v>
      </c>
      <c r="G6113">
        <v>9.6530000000000005</v>
      </c>
      <c r="N6113" s="8"/>
    </row>
    <row r="6114" spans="1:14" x14ac:dyDescent="0.25">
      <c r="A6114" s="8">
        <v>40956</v>
      </c>
      <c r="B6114">
        <v>660632.05000000005</v>
      </c>
      <c r="C6114">
        <v>0</v>
      </c>
      <c r="D6114">
        <v>49.38</v>
      </c>
      <c r="E6114">
        <v>3.51</v>
      </c>
      <c r="F6114">
        <v>211.91683499999999</v>
      </c>
      <c r="G6114">
        <v>9.6530000000000005</v>
      </c>
      <c r="N6114" s="8"/>
    </row>
    <row r="6115" spans="1:14" x14ac:dyDescent="0.25">
      <c r="A6115" s="8">
        <v>40963</v>
      </c>
      <c r="B6115">
        <v>613042.97</v>
      </c>
      <c r="C6115">
        <v>0</v>
      </c>
      <c r="D6115">
        <v>53.53</v>
      </c>
      <c r="E6115">
        <v>3.5550000000000002</v>
      </c>
      <c r="F6115">
        <v>212.1174212</v>
      </c>
      <c r="G6115">
        <v>9.6530000000000005</v>
      </c>
      <c r="N6115" s="8"/>
    </row>
    <row r="6116" spans="1:14" x14ac:dyDescent="0.25">
      <c r="A6116" s="8">
        <v>40970</v>
      </c>
      <c r="B6116">
        <v>693249.98</v>
      </c>
      <c r="C6116">
        <v>0</v>
      </c>
      <c r="D6116">
        <v>56.43</v>
      </c>
      <c r="E6116">
        <v>3.63</v>
      </c>
      <c r="F6116">
        <v>212.3180074</v>
      </c>
      <c r="G6116">
        <v>9.6530000000000005</v>
      </c>
      <c r="N6116" s="8"/>
    </row>
    <row r="6117" spans="1:14" x14ac:dyDescent="0.25">
      <c r="A6117" s="8">
        <v>40977</v>
      </c>
      <c r="B6117">
        <v>636677.67000000004</v>
      </c>
      <c r="C6117">
        <v>0</v>
      </c>
      <c r="D6117">
        <v>54.52</v>
      </c>
      <c r="E6117">
        <v>3.669</v>
      </c>
      <c r="F6117">
        <v>212.5185936</v>
      </c>
      <c r="G6117">
        <v>9.6530000000000005</v>
      </c>
      <c r="N6117" s="8"/>
    </row>
    <row r="6118" spans="1:14" x14ac:dyDescent="0.25">
      <c r="A6118" s="8">
        <v>40984</v>
      </c>
      <c r="B6118">
        <v>661707.02</v>
      </c>
      <c r="C6118">
        <v>0</v>
      </c>
      <c r="D6118">
        <v>57.88</v>
      </c>
      <c r="E6118">
        <v>3.734</v>
      </c>
      <c r="F6118">
        <v>212.66515670000001</v>
      </c>
      <c r="G6118">
        <v>9.6530000000000005</v>
      </c>
      <c r="N6118" s="8"/>
    </row>
    <row r="6119" spans="1:14" x14ac:dyDescent="0.25">
      <c r="A6119" s="8">
        <v>40991</v>
      </c>
      <c r="B6119">
        <v>610940.93999999994</v>
      </c>
      <c r="C6119">
        <v>0</v>
      </c>
      <c r="D6119">
        <v>56.28</v>
      </c>
      <c r="E6119">
        <v>3.7869999999999999</v>
      </c>
      <c r="F6119">
        <v>212.7396889</v>
      </c>
      <c r="G6119">
        <v>9.6530000000000005</v>
      </c>
      <c r="N6119" s="8"/>
    </row>
    <row r="6120" spans="1:14" x14ac:dyDescent="0.25">
      <c r="A6120" s="8">
        <v>40998</v>
      </c>
      <c r="B6120">
        <v>623258.4</v>
      </c>
      <c r="C6120">
        <v>0</v>
      </c>
      <c r="D6120">
        <v>69.88</v>
      </c>
      <c r="E6120">
        <v>3.8450000000000002</v>
      </c>
      <c r="F6120">
        <v>212.81422119999999</v>
      </c>
      <c r="G6120">
        <v>9.6530000000000005</v>
      </c>
      <c r="N6120" s="8"/>
    </row>
    <row r="6121" spans="1:14" x14ac:dyDescent="0.25">
      <c r="A6121" s="8">
        <v>41005</v>
      </c>
      <c r="B6121">
        <v>658468.27</v>
      </c>
      <c r="C6121">
        <v>0</v>
      </c>
      <c r="D6121">
        <v>64.7</v>
      </c>
      <c r="E6121">
        <v>3.891</v>
      </c>
      <c r="F6121">
        <v>212.88875350000001</v>
      </c>
      <c r="G6121">
        <v>9.5749999999999993</v>
      </c>
      <c r="N6121" s="8"/>
    </row>
    <row r="6122" spans="1:14" x14ac:dyDescent="0.25">
      <c r="A6122" s="8">
        <v>41012</v>
      </c>
      <c r="B6122">
        <v>665687.92000000004</v>
      </c>
      <c r="C6122">
        <v>0</v>
      </c>
      <c r="D6122">
        <v>70.180000000000007</v>
      </c>
      <c r="E6122">
        <v>3.891</v>
      </c>
      <c r="F6122">
        <v>212.9632857</v>
      </c>
      <c r="G6122">
        <v>9.5749999999999993</v>
      </c>
      <c r="N6122" s="8"/>
    </row>
    <row r="6123" spans="1:14" x14ac:dyDescent="0.25">
      <c r="A6123" s="8">
        <v>41019</v>
      </c>
      <c r="B6123">
        <v>638144.98</v>
      </c>
      <c r="C6123">
        <v>0</v>
      </c>
      <c r="D6123">
        <v>67.28</v>
      </c>
      <c r="E6123">
        <v>3.8769999999999998</v>
      </c>
      <c r="F6123">
        <v>213.01305239999999</v>
      </c>
      <c r="G6123">
        <v>9.5749999999999993</v>
      </c>
      <c r="N6123" s="8"/>
    </row>
    <row r="6124" spans="1:14" x14ac:dyDescent="0.25">
      <c r="A6124" s="8">
        <v>41026</v>
      </c>
      <c r="B6124">
        <v>593138.59</v>
      </c>
      <c r="C6124">
        <v>0</v>
      </c>
      <c r="D6124">
        <v>78.27</v>
      </c>
      <c r="E6124">
        <v>3.8140000000000001</v>
      </c>
      <c r="F6124">
        <v>213.06281899999999</v>
      </c>
      <c r="G6124">
        <v>9.5749999999999993</v>
      </c>
      <c r="N6124" s="8"/>
    </row>
    <row r="6125" spans="1:14" x14ac:dyDescent="0.25">
      <c r="A6125" s="8">
        <v>41033</v>
      </c>
      <c r="B6125">
        <v>637964.19999999995</v>
      </c>
      <c r="C6125">
        <v>0</v>
      </c>
      <c r="D6125">
        <v>77.47</v>
      </c>
      <c r="E6125">
        <v>3.7490000000000001</v>
      </c>
      <c r="F6125">
        <v>213.11258570000001</v>
      </c>
      <c r="G6125">
        <v>9.5749999999999993</v>
      </c>
      <c r="N6125" s="8"/>
    </row>
    <row r="6126" spans="1:14" x14ac:dyDescent="0.25">
      <c r="A6126" s="8">
        <v>41040</v>
      </c>
      <c r="B6126">
        <v>640159.04</v>
      </c>
      <c r="C6126">
        <v>0</v>
      </c>
      <c r="D6126">
        <v>67.59</v>
      </c>
      <c r="E6126">
        <v>3.6880000000000002</v>
      </c>
      <c r="F6126">
        <v>213.1623524</v>
      </c>
      <c r="G6126">
        <v>9.5749999999999993</v>
      </c>
      <c r="N6126" s="8"/>
    </row>
    <row r="6127" spans="1:14" x14ac:dyDescent="0.25">
      <c r="A6127" s="8">
        <v>41047</v>
      </c>
      <c r="B6127">
        <v>648541.81000000006</v>
      </c>
      <c r="C6127">
        <v>0</v>
      </c>
      <c r="D6127">
        <v>72.06</v>
      </c>
      <c r="E6127">
        <v>3.63</v>
      </c>
      <c r="F6127">
        <v>213.17536179999999</v>
      </c>
      <c r="G6127">
        <v>9.5749999999999993</v>
      </c>
      <c r="N6127" s="8"/>
    </row>
    <row r="6128" spans="1:14" x14ac:dyDescent="0.25">
      <c r="A6128" s="8">
        <v>41054</v>
      </c>
      <c r="B6128">
        <v>597406.39</v>
      </c>
      <c r="C6128">
        <v>0</v>
      </c>
      <c r="D6128">
        <v>82.41</v>
      </c>
      <c r="E6128">
        <v>3.5609999999999999</v>
      </c>
      <c r="F6128">
        <v>213.17366820000001</v>
      </c>
      <c r="G6128">
        <v>9.5749999999999993</v>
      </c>
      <c r="N6128" s="8"/>
    </row>
    <row r="6129" spans="1:14" x14ac:dyDescent="0.25">
      <c r="A6129" s="8">
        <v>41061</v>
      </c>
      <c r="B6129">
        <v>605078.62</v>
      </c>
      <c r="C6129">
        <v>0</v>
      </c>
      <c r="D6129">
        <v>80.89</v>
      </c>
      <c r="E6129">
        <v>3.5009999999999999</v>
      </c>
      <c r="F6129">
        <v>213.17197469999999</v>
      </c>
      <c r="G6129">
        <v>9.5749999999999993</v>
      </c>
      <c r="N6129" s="8"/>
    </row>
    <row r="6130" spans="1:14" x14ac:dyDescent="0.25">
      <c r="A6130" s="8">
        <v>41068</v>
      </c>
      <c r="B6130">
        <v>643032.51</v>
      </c>
      <c r="C6130">
        <v>0</v>
      </c>
      <c r="D6130">
        <v>85.73</v>
      </c>
      <c r="E6130">
        <v>3.452</v>
      </c>
      <c r="F6130">
        <v>213.17028110000001</v>
      </c>
      <c r="G6130">
        <v>9.5749999999999993</v>
      </c>
      <c r="N6130" s="8"/>
    </row>
    <row r="6131" spans="1:14" x14ac:dyDescent="0.25">
      <c r="A6131" s="8">
        <v>41075</v>
      </c>
      <c r="B6131">
        <v>634815.1</v>
      </c>
      <c r="C6131">
        <v>0</v>
      </c>
      <c r="D6131">
        <v>87.75</v>
      </c>
      <c r="E6131">
        <v>3.3929999999999998</v>
      </c>
      <c r="F6131">
        <v>213.17869519999999</v>
      </c>
      <c r="G6131">
        <v>9.5749999999999993</v>
      </c>
      <c r="N6131" s="8"/>
    </row>
    <row r="6132" spans="1:14" x14ac:dyDescent="0.25">
      <c r="A6132" s="8">
        <v>41082</v>
      </c>
      <c r="B6132">
        <v>613270.79</v>
      </c>
      <c r="C6132">
        <v>0</v>
      </c>
      <c r="D6132">
        <v>87.51</v>
      </c>
      <c r="E6132">
        <v>3.3460000000000001</v>
      </c>
      <c r="F6132">
        <v>213.21237859999999</v>
      </c>
      <c r="G6132">
        <v>9.5749999999999993</v>
      </c>
      <c r="N6132" s="8"/>
    </row>
    <row r="6133" spans="1:14" x14ac:dyDescent="0.25">
      <c r="A6133" s="8">
        <v>41089</v>
      </c>
      <c r="B6133">
        <v>593128.13</v>
      </c>
      <c r="C6133">
        <v>0</v>
      </c>
      <c r="D6133">
        <v>89.85</v>
      </c>
      <c r="E6133">
        <v>3.286</v>
      </c>
      <c r="F6133">
        <v>213.2460619</v>
      </c>
      <c r="G6133">
        <v>9.5749999999999993</v>
      </c>
      <c r="N6133" s="8"/>
    </row>
    <row r="6134" spans="1:14" x14ac:dyDescent="0.25">
      <c r="A6134" s="8">
        <v>41096</v>
      </c>
      <c r="B6134">
        <v>645618.59</v>
      </c>
      <c r="C6134">
        <v>0</v>
      </c>
      <c r="D6134">
        <v>82.68</v>
      </c>
      <c r="E6134">
        <v>3.2269999999999999</v>
      </c>
      <c r="F6134">
        <v>213.27974520000001</v>
      </c>
      <c r="G6134">
        <v>9.2850000000000001</v>
      </c>
      <c r="N6134" s="8"/>
    </row>
    <row r="6135" spans="1:14" x14ac:dyDescent="0.25">
      <c r="A6135" s="8">
        <v>41103</v>
      </c>
      <c r="B6135">
        <v>627634.04</v>
      </c>
      <c r="C6135">
        <v>0</v>
      </c>
      <c r="D6135">
        <v>78.819999999999993</v>
      </c>
      <c r="E6135">
        <v>3.2559999999999998</v>
      </c>
      <c r="F6135">
        <v>213.31342860000001</v>
      </c>
      <c r="G6135">
        <v>9.2850000000000001</v>
      </c>
      <c r="N6135" s="8"/>
    </row>
    <row r="6136" spans="1:14" x14ac:dyDescent="0.25">
      <c r="A6136" s="8">
        <v>41110</v>
      </c>
      <c r="B6136">
        <v>596554.05000000005</v>
      </c>
      <c r="C6136">
        <v>0</v>
      </c>
      <c r="D6136">
        <v>83.83</v>
      </c>
      <c r="E6136">
        <v>3.3109999999999999</v>
      </c>
      <c r="F6136">
        <v>213.3219124</v>
      </c>
      <c r="G6136">
        <v>9.2850000000000001</v>
      </c>
      <c r="N6136" s="8"/>
    </row>
    <row r="6137" spans="1:14" x14ac:dyDescent="0.25">
      <c r="A6137" s="8">
        <v>41117</v>
      </c>
      <c r="B6137">
        <v>572447.52</v>
      </c>
      <c r="C6137">
        <v>0</v>
      </c>
      <c r="D6137">
        <v>82.01</v>
      </c>
      <c r="E6137">
        <v>3.407</v>
      </c>
      <c r="F6137">
        <v>213.33039629999999</v>
      </c>
      <c r="G6137">
        <v>9.2850000000000001</v>
      </c>
      <c r="N6137" s="8"/>
    </row>
    <row r="6138" spans="1:14" x14ac:dyDescent="0.25">
      <c r="A6138" s="8">
        <v>41124</v>
      </c>
      <c r="B6138">
        <v>614378.93999999994</v>
      </c>
      <c r="C6138">
        <v>0</v>
      </c>
      <c r="D6138">
        <v>85.06</v>
      </c>
      <c r="E6138">
        <v>3.4169999999999998</v>
      </c>
      <c r="F6138">
        <v>213.33888020000001</v>
      </c>
      <c r="G6138">
        <v>9.2850000000000001</v>
      </c>
      <c r="N6138" s="8"/>
    </row>
    <row r="6139" spans="1:14" x14ac:dyDescent="0.25">
      <c r="A6139" s="8">
        <v>41131</v>
      </c>
      <c r="B6139">
        <v>643558.78</v>
      </c>
      <c r="C6139">
        <v>0</v>
      </c>
      <c r="D6139">
        <v>86.36</v>
      </c>
      <c r="E6139">
        <v>3.4940000000000002</v>
      </c>
      <c r="F6139">
        <v>213.34736409999999</v>
      </c>
      <c r="G6139">
        <v>9.2850000000000001</v>
      </c>
      <c r="N6139" s="8"/>
    </row>
    <row r="6140" spans="1:14" x14ac:dyDescent="0.25">
      <c r="A6140" s="8">
        <v>41138</v>
      </c>
      <c r="B6140">
        <v>640210.85</v>
      </c>
      <c r="C6140">
        <v>0</v>
      </c>
      <c r="D6140">
        <v>85.66</v>
      </c>
      <c r="E6140">
        <v>3.5710000000000002</v>
      </c>
      <c r="F6140">
        <v>213.42269590000001</v>
      </c>
      <c r="G6140">
        <v>9.2850000000000001</v>
      </c>
      <c r="N6140" s="8"/>
    </row>
    <row r="6141" spans="1:14" x14ac:dyDescent="0.25">
      <c r="A6141" s="8">
        <v>41145</v>
      </c>
      <c r="B6141">
        <v>598234.64</v>
      </c>
      <c r="C6141">
        <v>0</v>
      </c>
      <c r="D6141">
        <v>81.650000000000006</v>
      </c>
      <c r="E6141">
        <v>3.62</v>
      </c>
      <c r="F6141">
        <v>213.54816360000001</v>
      </c>
      <c r="G6141">
        <v>9.2850000000000001</v>
      </c>
      <c r="N6141" s="8"/>
    </row>
    <row r="6142" spans="1:14" x14ac:dyDescent="0.25">
      <c r="A6142" s="8">
        <v>41152</v>
      </c>
      <c r="B6142">
        <v>593141.29</v>
      </c>
      <c r="C6142">
        <v>0</v>
      </c>
      <c r="D6142">
        <v>81.12</v>
      </c>
      <c r="E6142">
        <v>3.6379999999999999</v>
      </c>
      <c r="F6142">
        <v>213.67363130000001</v>
      </c>
      <c r="G6142">
        <v>9.2850000000000001</v>
      </c>
      <c r="N6142" s="8"/>
    </row>
    <row r="6143" spans="1:14" x14ac:dyDescent="0.25">
      <c r="A6143" s="8">
        <v>41159</v>
      </c>
      <c r="B6143">
        <v>663814.18000000005</v>
      </c>
      <c r="C6143">
        <v>1</v>
      </c>
      <c r="D6143">
        <v>84.99</v>
      </c>
      <c r="E6143">
        <v>3.73</v>
      </c>
      <c r="F6143">
        <v>213.79909910000001</v>
      </c>
      <c r="G6143">
        <v>9.2850000000000001</v>
      </c>
      <c r="N6143" s="8"/>
    </row>
    <row r="6144" spans="1:14" x14ac:dyDescent="0.25">
      <c r="A6144" s="8">
        <v>41166</v>
      </c>
      <c r="B6144">
        <v>625196.93999999994</v>
      </c>
      <c r="C6144">
        <v>0</v>
      </c>
      <c r="D6144">
        <v>73.03</v>
      </c>
      <c r="E6144">
        <v>3.7170000000000001</v>
      </c>
      <c r="F6144">
        <v>213.9332167</v>
      </c>
      <c r="G6144">
        <v>9.2850000000000001</v>
      </c>
      <c r="N6144" s="8"/>
    </row>
    <row r="6145" spans="1:14" x14ac:dyDescent="0.25">
      <c r="A6145" s="8">
        <v>41173</v>
      </c>
      <c r="B6145">
        <v>601990.02</v>
      </c>
      <c r="C6145">
        <v>0</v>
      </c>
      <c r="D6145">
        <v>75.87</v>
      </c>
      <c r="E6145">
        <v>3.7210000000000001</v>
      </c>
      <c r="F6145">
        <v>214.11923329999999</v>
      </c>
      <c r="G6145">
        <v>9.2850000000000001</v>
      </c>
      <c r="N6145" s="8"/>
    </row>
    <row r="6146" spans="1:14" x14ac:dyDescent="0.25">
      <c r="A6146" s="8">
        <v>41180</v>
      </c>
      <c r="B6146">
        <v>577792.31999999995</v>
      </c>
      <c r="C6146">
        <v>0</v>
      </c>
      <c r="D6146">
        <v>77.55</v>
      </c>
      <c r="E6146">
        <v>3.6659999999999999</v>
      </c>
      <c r="F6146">
        <v>214.30525</v>
      </c>
      <c r="G6146">
        <v>9.2850000000000001</v>
      </c>
      <c r="N6146" s="8"/>
    </row>
    <row r="6147" spans="1:14" x14ac:dyDescent="0.25">
      <c r="A6147" s="8">
        <v>41187</v>
      </c>
      <c r="B6147">
        <v>642614.89</v>
      </c>
      <c r="C6147">
        <v>0</v>
      </c>
      <c r="D6147">
        <v>74.09</v>
      </c>
      <c r="E6147">
        <v>3.617</v>
      </c>
      <c r="F6147">
        <v>214.49126670000001</v>
      </c>
      <c r="G6147">
        <v>8.8390000000000004</v>
      </c>
      <c r="N6147" s="8"/>
    </row>
    <row r="6148" spans="1:14" x14ac:dyDescent="0.25">
      <c r="A6148" s="8">
        <v>41194</v>
      </c>
      <c r="B6148">
        <v>619369.72</v>
      </c>
      <c r="C6148">
        <v>0</v>
      </c>
      <c r="D6148">
        <v>71.14</v>
      </c>
      <c r="E6148">
        <v>3.601</v>
      </c>
      <c r="F6148">
        <v>214.6772833</v>
      </c>
      <c r="G6148">
        <v>8.8390000000000004</v>
      </c>
      <c r="N6148" s="8"/>
    </row>
    <row r="6149" spans="1:14" x14ac:dyDescent="0.25">
      <c r="A6149" s="8">
        <v>41201</v>
      </c>
      <c r="B6149">
        <v>623919.23</v>
      </c>
      <c r="C6149">
        <v>0</v>
      </c>
      <c r="D6149">
        <v>71.25</v>
      </c>
      <c r="E6149">
        <v>3.5939999999999999</v>
      </c>
      <c r="F6149">
        <v>214.72124880000001</v>
      </c>
      <c r="G6149">
        <v>8.8390000000000004</v>
      </c>
      <c r="N6149" s="8"/>
    </row>
    <row r="6150" spans="1:14" x14ac:dyDescent="0.25">
      <c r="A6150" s="8">
        <v>41208</v>
      </c>
      <c r="B6150">
        <v>587603.55000000005</v>
      </c>
      <c r="C6150">
        <v>0</v>
      </c>
      <c r="D6150">
        <v>69.17</v>
      </c>
      <c r="E6150">
        <v>3.5059999999999998</v>
      </c>
      <c r="F6150">
        <v>214.74153920000001</v>
      </c>
      <c r="G6150">
        <v>8.8390000000000004</v>
      </c>
      <c r="N6150" s="8"/>
    </row>
    <row r="6151" spans="1:14" x14ac:dyDescent="0.25">
      <c r="A6151" s="8">
        <v>40214</v>
      </c>
      <c r="B6151">
        <v>281090.95</v>
      </c>
      <c r="C6151">
        <v>0</v>
      </c>
      <c r="D6151">
        <v>31.53</v>
      </c>
      <c r="E6151">
        <v>2.6659999999999999</v>
      </c>
      <c r="F6151">
        <v>126.4420645</v>
      </c>
      <c r="G6151">
        <v>8.1189999999999998</v>
      </c>
      <c r="N6151" s="8"/>
    </row>
    <row r="6152" spans="1:14" x14ac:dyDescent="0.25">
      <c r="A6152" s="8">
        <v>40221</v>
      </c>
      <c r="B6152">
        <v>286857.13</v>
      </c>
      <c r="C6152">
        <v>1</v>
      </c>
      <c r="D6152">
        <v>33.159999999999997</v>
      </c>
      <c r="E6152">
        <v>2.6709999999999998</v>
      </c>
      <c r="F6152">
        <v>126.49625810000001</v>
      </c>
      <c r="G6152">
        <v>8.1189999999999998</v>
      </c>
      <c r="N6152" s="8"/>
    </row>
    <row r="6153" spans="1:14" x14ac:dyDescent="0.25">
      <c r="A6153" s="8">
        <v>40228</v>
      </c>
      <c r="B6153">
        <v>267956.3</v>
      </c>
      <c r="C6153">
        <v>0</v>
      </c>
      <c r="D6153">
        <v>35.700000000000003</v>
      </c>
      <c r="E6153">
        <v>2.6539999999999999</v>
      </c>
      <c r="F6153">
        <v>126.5262857</v>
      </c>
      <c r="G6153">
        <v>8.1189999999999998</v>
      </c>
      <c r="N6153" s="8"/>
    </row>
    <row r="6154" spans="1:14" x14ac:dyDescent="0.25">
      <c r="A6154" s="8">
        <v>40235</v>
      </c>
      <c r="B6154">
        <v>273079.07</v>
      </c>
      <c r="C6154">
        <v>0</v>
      </c>
      <c r="D6154">
        <v>29.98</v>
      </c>
      <c r="E6154">
        <v>2.6669999999999998</v>
      </c>
      <c r="F6154">
        <v>126.5522857</v>
      </c>
      <c r="G6154">
        <v>8.1189999999999998</v>
      </c>
      <c r="N6154" s="8"/>
    </row>
    <row r="6155" spans="1:14" x14ac:dyDescent="0.25">
      <c r="A6155" s="8">
        <v>40242</v>
      </c>
      <c r="B6155">
        <v>284617.27</v>
      </c>
      <c r="C6155">
        <v>0</v>
      </c>
      <c r="D6155">
        <v>40.65</v>
      </c>
      <c r="E6155">
        <v>2.681</v>
      </c>
      <c r="F6155">
        <v>126.5782857</v>
      </c>
      <c r="G6155">
        <v>8.1189999999999998</v>
      </c>
      <c r="N6155" s="8"/>
    </row>
    <row r="6156" spans="1:14" x14ac:dyDescent="0.25">
      <c r="A6156" s="8">
        <v>40249</v>
      </c>
      <c r="B6156">
        <v>272190.83</v>
      </c>
      <c r="C6156">
        <v>0</v>
      </c>
      <c r="D6156">
        <v>37.619999999999997</v>
      </c>
      <c r="E6156">
        <v>2.7330000000000001</v>
      </c>
      <c r="F6156">
        <v>126.60428570000001</v>
      </c>
      <c r="G6156">
        <v>8.1189999999999998</v>
      </c>
      <c r="N6156" s="8"/>
    </row>
    <row r="6157" spans="1:14" x14ac:dyDescent="0.25">
      <c r="A6157" s="8">
        <v>40256</v>
      </c>
      <c r="B6157">
        <v>269624.2</v>
      </c>
      <c r="C6157">
        <v>0</v>
      </c>
      <c r="D6157">
        <v>42.49</v>
      </c>
      <c r="E6157">
        <v>2.782</v>
      </c>
      <c r="F6157">
        <v>126.6066452</v>
      </c>
      <c r="G6157">
        <v>8.1189999999999998</v>
      </c>
      <c r="N6157" s="8"/>
    </row>
    <row r="6158" spans="1:14" x14ac:dyDescent="0.25">
      <c r="A6158" s="8">
        <v>40263</v>
      </c>
      <c r="B6158">
        <v>276279.49</v>
      </c>
      <c r="C6158">
        <v>0</v>
      </c>
      <c r="D6158">
        <v>41.48</v>
      </c>
      <c r="E6158">
        <v>2.819</v>
      </c>
      <c r="F6158">
        <v>126.6050645</v>
      </c>
      <c r="G6158">
        <v>8.1189999999999998</v>
      </c>
      <c r="N6158" s="8"/>
    </row>
    <row r="6159" spans="1:14" x14ac:dyDescent="0.25">
      <c r="A6159" s="8">
        <v>40270</v>
      </c>
      <c r="B6159">
        <v>286197.5</v>
      </c>
      <c r="C6159">
        <v>0</v>
      </c>
      <c r="D6159">
        <v>42.15</v>
      </c>
      <c r="E6159">
        <v>2.8420000000000001</v>
      </c>
      <c r="F6159">
        <v>126.6034839</v>
      </c>
      <c r="G6159">
        <v>7.9720000000000004</v>
      </c>
      <c r="N6159" s="8"/>
    </row>
    <row r="6160" spans="1:14" x14ac:dyDescent="0.25">
      <c r="A6160" s="8">
        <v>40277</v>
      </c>
      <c r="B6160">
        <v>257361.3</v>
      </c>
      <c r="C6160">
        <v>0</v>
      </c>
      <c r="D6160">
        <v>38.97</v>
      </c>
      <c r="E6160">
        <v>2.8769999999999998</v>
      </c>
      <c r="F6160">
        <v>126.6019032</v>
      </c>
      <c r="G6160">
        <v>7.9720000000000004</v>
      </c>
      <c r="N6160" s="8"/>
    </row>
    <row r="6161" spans="1:14" x14ac:dyDescent="0.25">
      <c r="A6161" s="8">
        <v>40284</v>
      </c>
      <c r="B6161">
        <v>280048.74</v>
      </c>
      <c r="C6161">
        <v>0</v>
      </c>
      <c r="D6161">
        <v>50.39</v>
      </c>
      <c r="E6161">
        <v>2.915</v>
      </c>
      <c r="F6161">
        <v>126.5621</v>
      </c>
      <c r="G6161">
        <v>7.9720000000000004</v>
      </c>
      <c r="N6161" s="8"/>
    </row>
    <row r="6162" spans="1:14" x14ac:dyDescent="0.25">
      <c r="A6162" s="8">
        <v>40291</v>
      </c>
      <c r="B6162">
        <v>278287.03999999998</v>
      </c>
      <c r="C6162">
        <v>0</v>
      </c>
      <c r="D6162">
        <v>55.66</v>
      </c>
      <c r="E6162">
        <v>2.9359999999999999</v>
      </c>
      <c r="F6162">
        <v>126.4713333</v>
      </c>
      <c r="G6162">
        <v>7.9720000000000004</v>
      </c>
      <c r="N6162" s="8"/>
    </row>
    <row r="6163" spans="1:14" x14ac:dyDescent="0.25">
      <c r="A6163" s="8">
        <v>40298</v>
      </c>
      <c r="B6163">
        <v>272997.65000000002</v>
      </c>
      <c r="C6163">
        <v>0</v>
      </c>
      <c r="D6163">
        <v>48.33</v>
      </c>
      <c r="E6163">
        <v>2.9409999999999998</v>
      </c>
      <c r="F6163">
        <v>126.3805667</v>
      </c>
      <c r="G6163">
        <v>7.9720000000000004</v>
      </c>
      <c r="N6163" s="8"/>
    </row>
    <row r="6164" spans="1:14" x14ac:dyDescent="0.25">
      <c r="A6164" s="8">
        <v>40305</v>
      </c>
      <c r="B6164">
        <v>285379.86</v>
      </c>
      <c r="C6164">
        <v>0</v>
      </c>
      <c r="D6164">
        <v>44.42</v>
      </c>
      <c r="E6164">
        <v>2.948</v>
      </c>
      <c r="F6164">
        <v>126.2898</v>
      </c>
      <c r="G6164">
        <v>7.9720000000000004</v>
      </c>
      <c r="N6164" s="8"/>
    </row>
    <row r="6165" spans="1:14" x14ac:dyDescent="0.25">
      <c r="A6165" s="8">
        <v>40312</v>
      </c>
      <c r="B6165">
        <v>286515.92</v>
      </c>
      <c r="C6165">
        <v>0</v>
      </c>
      <c r="D6165">
        <v>50.15</v>
      </c>
      <c r="E6165">
        <v>2.9620000000000002</v>
      </c>
      <c r="F6165">
        <v>126.2085484</v>
      </c>
      <c r="G6165">
        <v>7.9720000000000004</v>
      </c>
      <c r="N6165" s="8"/>
    </row>
    <row r="6166" spans="1:14" x14ac:dyDescent="0.25">
      <c r="A6166" s="8">
        <v>40319</v>
      </c>
      <c r="B6166">
        <v>267065.34999999998</v>
      </c>
      <c r="C6166">
        <v>0</v>
      </c>
      <c r="D6166">
        <v>57.71</v>
      </c>
      <c r="E6166">
        <v>2.95</v>
      </c>
      <c r="F6166">
        <v>126.1843871</v>
      </c>
      <c r="G6166">
        <v>7.9720000000000004</v>
      </c>
      <c r="N6166" s="8"/>
    </row>
    <row r="6167" spans="1:14" x14ac:dyDescent="0.25">
      <c r="A6167" s="8">
        <v>40326</v>
      </c>
      <c r="B6167">
        <v>291891.01</v>
      </c>
      <c r="C6167">
        <v>0</v>
      </c>
      <c r="D6167">
        <v>53.11</v>
      </c>
      <c r="E6167">
        <v>2.9079999999999999</v>
      </c>
      <c r="F6167">
        <v>126.16022580000001</v>
      </c>
      <c r="G6167">
        <v>7.9720000000000004</v>
      </c>
      <c r="N6167" s="8"/>
    </row>
    <row r="6168" spans="1:14" x14ac:dyDescent="0.25">
      <c r="A6168" s="8">
        <v>40333</v>
      </c>
      <c r="B6168">
        <v>282351.82</v>
      </c>
      <c r="C6168">
        <v>0</v>
      </c>
      <c r="D6168">
        <v>59.85</v>
      </c>
      <c r="E6168">
        <v>2.871</v>
      </c>
      <c r="F6168">
        <v>126.1360645</v>
      </c>
      <c r="G6168">
        <v>7.9720000000000004</v>
      </c>
      <c r="N6168" s="8"/>
    </row>
    <row r="6169" spans="1:14" x14ac:dyDescent="0.25">
      <c r="A6169" s="8">
        <v>40340</v>
      </c>
      <c r="B6169">
        <v>296818.2</v>
      </c>
      <c r="C6169">
        <v>0</v>
      </c>
      <c r="D6169">
        <v>65.239999999999995</v>
      </c>
      <c r="E6169">
        <v>2.8410000000000002</v>
      </c>
      <c r="F6169">
        <v>126.1119032</v>
      </c>
      <c r="G6169">
        <v>7.9720000000000004</v>
      </c>
      <c r="N6169" s="8"/>
    </row>
    <row r="6170" spans="1:14" x14ac:dyDescent="0.25">
      <c r="A6170" s="8">
        <v>40347</v>
      </c>
      <c r="B6170">
        <v>293481.36</v>
      </c>
      <c r="C6170">
        <v>0</v>
      </c>
      <c r="D6170">
        <v>58.41</v>
      </c>
      <c r="E6170">
        <v>2.819</v>
      </c>
      <c r="F6170">
        <v>126.114</v>
      </c>
      <c r="G6170">
        <v>7.9720000000000004</v>
      </c>
      <c r="N6170" s="8"/>
    </row>
    <row r="6171" spans="1:14" x14ac:dyDescent="0.25">
      <c r="A6171" s="8">
        <v>40354</v>
      </c>
      <c r="B6171">
        <v>288247.24</v>
      </c>
      <c r="C6171">
        <v>0</v>
      </c>
      <c r="D6171">
        <v>71.83</v>
      </c>
      <c r="E6171">
        <v>2.82</v>
      </c>
      <c r="F6171">
        <v>126.1266</v>
      </c>
      <c r="G6171">
        <v>7.9720000000000004</v>
      </c>
      <c r="N6171" s="8"/>
    </row>
    <row r="6172" spans="1:14" x14ac:dyDescent="0.25">
      <c r="A6172" s="8">
        <v>40361</v>
      </c>
      <c r="B6172">
        <v>300628.19</v>
      </c>
      <c r="C6172">
        <v>0</v>
      </c>
      <c r="D6172">
        <v>78.819999999999993</v>
      </c>
      <c r="E6172">
        <v>2.8140000000000001</v>
      </c>
      <c r="F6172">
        <v>126.1392</v>
      </c>
      <c r="G6172">
        <v>7.8040000000000003</v>
      </c>
      <c r="N6172" s="8"/>
    </row>
    <row r="6173" spans="1:14" x14ac:dyDescent="0.25">
      <c r="A6173" s="8">
        <v>40368</v>
      </c>
      <c r="B6173">
        <v>280472.78000000003</v>
      </c>
      <c r="C6173">
        <v>0</v>
      </c>
      <c r="D6173">
        <v>71.33</v>
      </c>
      <c r="E6173">
        <v>2.802</v>
      </c>
      <c r="F6173">
        <v>126.15179999999999</v>
      </c>
      <c r="G6173">
        <v>7.8040000000000003</v>
      </c>
      <c r="N6173" s="8"/>
    </row>
    <row r="6174" spans="1:14" x14ac:dyDescent="0.25">
      <c r="A6174" s="8">
        <v>40375</v>
      </c>
      <c r="B6174">
        <v>297099.95</v>
      </c>
      <c r="C6174">
        <v>0</v>
      </c>
      <c r="D6174">
        <v>77.790000000000006</v>
      </c>
      <c r="E6174">
        <v>2.7909999999999999</v>
      </c>
      <c r="F6174">
        <v>126.1498065</v>
      </c>
      <c r="G6174">
        <v>7.8040000000000003</v>
      </c>
      <c r="N6174" s="8"/>
    </row>
    <row r="6175" spans="1:14" x14ac:dyDescent="0.25">
      <c r="A6175" s="8">
        <v>40382</v>
      </c>
      <c r="B6175">
        <v>292680.15999999997</v>
      </c>
      <c r="C6175">
        <v>0</v>
      </c>
      <c r="D6175">
        <v>82.27</v>
      </c>
      <c r="E6175">
        <v>2.7970000000000002</v>
      </c>
      <c r="F6175">
        <v>126.1283548</v>
      </c>
      <c r="G6175">
        <v>7.8040000000000003</v>
      </c>
      <c r="N6175" s="8"/>
    </row>
    <row r="6176" spans="1:14" x14ac:dyDescent="0.25">
      <c r="A6176" s="8">
        <v>40389</v>
      </c>
      <c r="B6176">
        <v>275020.96000000002</v>
      </c>
      <c r="C6176">
        <v>0</v>
      </c>
      <c r="D6176">
        <v>78.94</v>
      </c>
      <c r="E6176">
        <v>2.7970000000000002</v>
      </c>
      <c r="F6176">
        <v>126.1069032</v>
      </c>
      <c r="G6176">
        <v>7.8040000000000003</v>
      </c>
      <c r="N6176" s="8"/>
    </row>
    <row r="6177" spans="1:14" x14ac:dyDescent="0.25">
      <c r="A6177" s="8">
        <v>40396</v>
      </c>
      <c r="B6177">
        <v>296804.49</v>
      </c>
      <c r="C6177">
        <v>0</v>
      </c>
      <c r="D6177">
        <v>81.239999999999995</v>
      </c>
      <c r="E6177">
        <v>2.802</v>
      </c>
      <c r="F6177">
        <v>126.0854516</v>
      </c>
      <c r="G6177">
        <v>7.8040000000000003</v>
      </c>
      <c r="N6177" s="8"/>
    </row>
    <row r="6178" spans="1:14" x14ac:dyDescent="0.25">
      <c r="A6178" s="8">
        <v>40403</v>
      </c>
      <c r="B6178">
        <v>291028.09000000003</v>
      </c>
      <c r="C6178">
        <v>0</v>
      </c>
      <c r="D6178">
        <v>74.930000000000007</v>
      </c>
      <c r="E6178">
        <v>2.8370000000000002</v>
      </c>
      <c r="F6178">
        <v>126.06399999999999</v>
      </c>
      <c r="G6178">
        <v>7.8040000000000003</v>
      </c>
      <c r="N6178" s="8"/>
    </row>
    <row r="6179" spans="1:14" x14ac:dyDescent="0.25">
      <c r="A6179" s="8">
        <v>40410</v>
      </c>
      <c r="B6179">
        <v>284740.5</v>
      </c>
      <c r="C6179">
        <v>0</v>
      </c>
      <c r="D6179">
        <v>76.34</v>
      </c>
      <c r="E6179">
        <v>2.85</v>
      </c>
      <c r="F6179">
        <v>126.0766452</v>
      </c>
      <c r="G6179">
        <v>7.8040000000000003</v>
      </c>
      <c r="N6179" s="8"/>
    </row>
    <row r="6180" spans="1:14" x14ac:dyDescent="0.25">
      <c r="A6180" s="8">
        <v>40417</v>
      </c>
      <c r="B6180">
        <v>293155.08</v>
      </c>
      <c r="C6180">
        <v>0</v>
      </c>
      <c r="D6180">
        <v>75.31</v>
      </c>
      <c r="E6180">
        <v>2.8540000000000001</v>
      </c>
      <c r="F6180">
        <v>126.0892903</v>
      </c>
      <c r="G6180">
        <v>7.8040000000000003</v>
      </c>
      <c r="N6180" s="8"/>
    </row>
    <row r="6181" spans="1:14" x14ac:dyDescent="0.25">
      <c r="A6181" s="8">
        <v>40424</v>
      </c>
      <c r="B6181">
        <v>295880.12</v>
      </c>
      <c r="C6181">
        <v>0</v>
      </c>
      <c r="D6181">
        <v>65.709999999999994</v>
      </c>
      <c r="E6181">
        <v>2.8679999999999999</v>
      </c>
      <c r="F6181">
        <v>126.1019355</v>
      </c>
      <c r="G6181">
        <v>7.8040000000000003</v>
      </c>
      <c r="N6181" s="8"/>
    </row>
    <row r="6182" spans="1:14" x14ac:dyDescent="0.25">
      <c r="A6182" s="8">
        <v>40431</v>
      </c>
      <c r="B6182">
        <v>283455.13</v>
      </c>
      <c r="C6182">
        <v>1</v>
      </c>
      <c r="D6182">
        <v>65.739999999999995</v>
      </c>
      <c r="E6182">
        <v>2.87</v>
      </c>
      <c r="F6182">
        <v>126.1145806</v>
      </c>
      <c r="G6182">
        <v>7.8040000000000003</v>
      </c>
      <c r="N6182" s="8"/>
    </row>
    <row r="6183" spans="1:14" x14ac:dyDescent="0.25">
      <c r="A6183" s="8">
        <v>40438</v>
      </c>
      <c r="B6183">
        <v>279364.13</v>
      </c>
      <c r="C6183">
        <v>0</v>
      </c>
      <c r="D6183">
        <v>66.84</v>
      </c>
      <c r="E6183">
        <v>2.875</v>
      </c>
      <c r="F6183">
        <v>126.1454667</v>
      </c>
      <c r="G6183">
        <v>7.8040000000000003</v>
      </c>
      <c r="N6183" s="8"/>
    </row>
    <row r="6184" spans="1:14" x14ac:dyDescent="0.25">
      <c r="A6184" s="8">
        <v>40445</v>
      </c>
      <c r="B6184">
        <v>281313.78000000003</v>
      </c>
      <c r="C6184">
        <v>0</v>
      </c>
      <c r="D6184">
        <v>68.22</v>
      </c>
      <c r="E6184">
        <v>2.8719999999999999</v>
      </c>
      <c r="F6184">
        <v>126.1900333</v>
      </c>
      <c r="G6184">
        <v>7.8040000000000003</v>
      </c>
      <c r="N6184" s="8"/>
    </row>
    <row r="6185" spans="1:14" x14ac:dyDescent="0.25">
      <c r="A6185" s="8">
        <v>40452</v>
      </c>
      <c r="B6185">
        <v>300152.45</v>
      </c>
      <c r="C6185">
        <v>0</v>
      </c>
      <c r="D6185">
        <v>68.739999999999995</v>
      </c>
      <c r="E6185">
        <v>2.8530000000000002</v>
      </c>
      <c r="F6185">
        <v>126.2346</v>
      </c>
      <c r="G6185">
        <v>7.61</v>
      </c>
      <c r="N6185" s="8"/>
    </row>
    <row r="6186" spans="1:14" x14ac:dyDescent="0.25">
      <c r="A6186" s="8">
        <v>40459</v>
      </c>
      <c r="B6186">
        <v>279524.44</v>
      </c>
      <c r="C6186">
        <v>0</v>
      </c>
      <c r="D6186">
        <v>63.03</v>
      </c>
      <c r="E6186">
        <v>2.8410000000000002</v>
      </c>
      <c r="F6186">
        <v>126.2791667</v>
      </c>
      <c r="G6186">
        <v>7.61</v>
      </c>
      <c r="N6186" s="8"/>
    </row>
    <row r="6187" spans="1:14" x14ac:dyDescent="0.25">
      <c r="A6187" s="8">
        <v>40466</v>
      </c>
      <c r="B6187">
        <v>268708.43</v>
      </c>
      <c r="C6187">
        <v>0</v>
      </c>
      <c r="D6187">
        <v>54.12</v>
      </c>
      <c r="E6187">
        <v>2.8450000000000002</v>
      </c>
      <c r="F6187">
        <v>126.32667739999999</v>
      </c>
      <c r="G6187">
        <v>7.61</v>
      </c>
      <c r="N6187" s="8"/>
    </row>
    <row r="6188" spans="1:14" x14ac:dyDescent="0.25">
      <c r="A6188" s="8">
        <v>40473</v>
      </c>
      <c r="B6188">
        <v>270110.3</v>
      </c>
      <c r="C6188">
        <v>0</v>
      </c>
      <c r="D6188">
        <v>56.89</v>
      </c>
      <c r="E6188">
        <v>2.8490000000000002</v>
      </c>
      <c r="F6188">
        <v>126.3815484</v>
      </c>
      <c r="G6188">
        <v>7.61</v>
      </c>
      <c r="N6188" s="8"/>
    </row>
    <row r="6189" spans="1:14" x14ac:dyDescent="0.25">
      <c r="A6189" s="8">
        <v>40480</v>
      </c>
      <c r="B6189">
        <v>286497.49</v>
      </c>
      <c r="C6189">
        <v>0</v>
      </c>
      <c r="D6189">
        <v>45.12</v>
      </c>
      <c r="E6189">
        <v>2.8410000000000002</v>
      </c>
      <c r="F6189">
        <v>126.43641940000001</v>
      </c>
      <c r="G6189">
        <v>7.61</v>
      </c>
      <c r="N6189" s="8"/>
    </row>
    <row r="6190" spans="1:14" x14ac:dyDescent="0.25">
      <c r="A6190" s="8">
        <v>40487</v>
      </c>
      <c r="B6190">
        <v>270516.84000000003</v>
      </c>
      <c r="C6190">
        <v>0</v>
      </c>
      <c r="D6190">
        <v>49.96</v>
      </c>
      <c r="E6190">
        <v>2.831</v>
      </c>
      <c r="F6190">
        <v>126.4912903</v>
      </c>
      <c r="G6190">
        <v>7.61</v>
      </c>
      <c r="N6190" s="8"/>
    </row>
    <row r="6191" spans="1:14" x14ac:dyDescent="0.25">
      <c r="A6191" s="8">
        <v>40494</v>
      </c>
      <c r="B6191">
        <v>281909.78999999998</v>
      </c>
      <c r="C6191">
        <v>0</v>
      </c>
      <c r="D6191">
        <v>42.55</v>
      </c>
      <c r="E6191">
        <v>2.831</v>
      </c>
      <c r="F6191">
        <v>126.54616129999999</v>
      </c>
      <c r="G6191">
        <v>7.61</v>
      </c>
      <c r="N6191" s="8"/>
    </row>
    <row r="6192" spans="1:14" x14ac:dyDescent="0.25">
      <c r="A6192" s="8">
        <v>40501</v>
      </c>
      <c r="B6192">
        <v>284322.52</v>
      </c>
      <c r="C6192">
        <v>0</v>
      </c>
      <c r="D6192">
        <v>42</v>
      </c>
      <c r="E6192">
        <v>2.8420000000000001</v>
      </c>
      <c r="F6192">
        <v>126.60720000000001</v>
      </c>
      <c r="G6192">
        <v>7.61</v>
      </c>
      <c r="N6192" s="8"/>
    </row>
    <row r="6193" spans="1:14" x14ac:dyDescent="0.25">
      <c r="A6193" s="8">
        <v>40508</v>
      </c>
      <c r="B6193">
        <v>307646.5</v>
      </c>
      <c r="C6193">
        <v>1</v>
      </c>
      <c r="D6193">
        <v>28.22</v>
      </c>
      <c r="E6193">
        <v>2.83</v>
      </c>
      <c r="F6193">
        <v>126.66926669999999</v>
      </c>
      <c r="G6193">
        <v>7.61</v>
      </c>
      <c r="N6193" s="8"/>
    </row>
    <row r="6194" spans="1:14" x14ac:dyDescent="0.25">
      <c r="A6194" s="8">
        <v>40515</v>
      </c>
      <c r="B6194">
        <v>264214.12</v>
      </c>
      <c r="C6194">
        <v>0</v>
      </c>
      <c r="D6194">
        <v>25.8</v>
      </c>
      <c r="E6194">
        <v>2.8119999999999998</v>
      </c>
      <c r="F6194">
        <v>126.7313333</v>
      </c>
      <c r="G6194">
        <v>7.61</v>
      </c>
      <c r="N6194" s="8"/>
    </row>
    <row r="6195" spans="1:14" x14ac:dyDescent="0.25">
      <c r="A6195" s="8">
        <v>40522</v>
      </c>
      <c r="B6195">
        <v>278253.28000000003</v>
      </c>
      <c r="C6195">
        <v>0</v>
      </c>
      <c r="D6195">
        <v>36.78</v>
      </c>
      <c r="E6195">
        <v>2.8170000000000002</v>
      </c>
      <c r="F6195">
        <v>126.79340000000001</v>
      </c>
      <c r="G6195">
        <v>7.61</v>
      </c>
      <c r="N6195" s="8"/>
    </row>
    <row r="6196" spans="1:14" x14ac:dyDescent="0.25">
      <c r="A6196" s="8">
        <v>40529</v>
      </c>
      <c r="B6196">
        <v>278646.34999999998</v>
      </c>
      <c r="C6196">
        <v>0</v>
      </c>
      <c r="D6196">
        <v>35.21</v>
      </c>
      <c r="E6196">
        <v>2.8420000000000001</v>
      </c>
      <c r="F6196">
        <v>126.8794839</v>
      </c>
      <c r="G6196">
        <v>7.61</v>
      </c>
      <c r="N6196" s="8"/>
    </row>
    <row r="6197" spans="1:14" x14ac:dyDescent="0.25">
      <c r="A6197" s="8">
        <v>40536</v>
      </c>
      <c r="B6197">
        <v>365098.23999999999</v>
      </c>
      <c r="C6197">
        <v>0</v>
      </c>
      <c r="D6197">
        <v>34.9</v>
      </c>
      <c r="E6197">
        <v>2.8460000000000001</v>
      </c>
      <c r="F6197">
        <v>126.9835806</v>
      </c>
      <c r="G6197">
        <v>7.61</v>
      </c>
      <c r="N6197" s="8"/>
    </row>
    <row r="6198" spans="1:14" x14ac:dyDescent="0.25">
      <c r="A6198" s="8">
        <v>40543</v>
      </c>
      <c r="B6198">
        <v>241937.11</v>
      </c>
      <c r="C6198">
        <v>1</v>
      </c>
      <c r="D6198">
        <v>26.79</v>
      </c>
      <c r="E6198">
        <v>2.8679999999999999</v>
      </c>
      <c r="F6198">
        <v>127.0876774</v>
      </c>
      <c r="G6198">
        <v>7.61</v>
      </c>
      <c r="N6198" s="8"/>
    </row>
    <row r="6199" spans="1:14" x14ac:dyDescent="0.25">
      <c r="A6199" s="8">
        <v>40550</v>
      </c>
      <c r="B6199">
        <v>288320.38</v>
      </c>
      <c r="C6199">
        <v>0</v>
      </c>
      <c r="D6199">
        <v>16.940000000000001</v>
      </c>
      <c r="E6199">
        <v>2.891</v>
      </c>
      <c r="F6199">
        <v>127.1917742</v>
      </c>
      <c r="G6199">
        <v>7.2240000000000002</v>
      </c>
      <c r="N6199" s="8"/>
    </row>
    <row r="6200" spans="1:14" x14ac:dyDescent="0.25">
      <c r="A6200" s="8">
        <v>40557</v>
      </c>
      <c r="B6200">
        <v>292859.36</v>
      </c>
      <c r="C6200">
        <v>0</v>
      </c>
      <c r="D6200">
        <v>20.6</v>
      </c>
      <c r="E6200">
        <v>2.903</v>
      </c>
      <c r="F6200">
        <v>127.30093549999999</v>
      </c>
      <c r="G6200">
        <v>7.2240000000000002</v>
      </c>
      <c r="N6200" s="8"/>
    </row>
    <row r="6201" spans="1:14" x14ac:dyDescent="0.25">
      <c r="A6201" s="8">
        <v>40564</v>
      </c>
      <c r="B6201">
        <v>276157.8</v>
      </c>
      <c r="C6201">
        <v>0</v>
      </c>
      <c r="D6201">
        <v>34.799999999999997</v>
      </c>
      <c r="E6201">
        <v>2.9340000000000002</v>
      </c>
      <c r="F6201">
        <v>127.4404839</v>
      </c>
      <c r="G6201">
        <v>7.2240000000000002</v>
      </c>
      <c r="N6201" s="8"/>
    </row>
    <row r="6202" spans="1:14" x14ac:dyDescent="0.25">
      <c r="A6202" s="8">
        <v>40571</v>
      </c>
      <c r="B6202">
        <v>276011.40000000002</v>
      </c>
      <c r="C6202">
        <v>0</v>
      </c>
      <c r="D6202">
        <v>31.64</v>
      </c>
      <c r="E6202">
        <v>2.96</v>
      </c>
      <c r="F6202">
        <v>127.5800323</v>
      </c>
      <c r="G6202">
        <v>7.2240000000000002</v>
      </c>
      <c r="N6202" s="8"/>
    </row>
    <row r="6203" spans="1:14" x14ac:dyDescent="0.25">
      <c r="A6203" s="8">
        <v>40578</v>
      </c>
      <c r="B6203">
        <v>293953.08</v>
      </c>
      <c r="C6203">
        <v>0</v>
      </c>
      <c r="D6203">
        <v>23.35</v>
      </c>
      <c r="E6203">
        <v>2.9740000000000002</v>
      </c>
      <c r="F6203">
        <v>127.7195806</v>
      </c>
      <c r="G6203">
        <v>7.2240000000000002</v>
      </c>
      <c r="N6203" s="8"/>
    </row>
    <row r="6204" spans="1:14" x14ac:dyDescent="0.25">
      <c r="A6204" s="8">
        <v>40585</v>
      </c>
      <c r="B6204">
        <v>307486.73</v>
      </c>
      <c r="C6204">
        <v>1</v>
      </c>
      <c r="D6204">
        <v>30.83</v>
      </c>
      <c r="E6204">
        <v>3.0339999999999998</v>
      </c>
      <c r="F6204">
        <v>127.859129</v>
      </c>
      <c r="G6204">
        <v>7.2240000000000002</v>
      </c>
      <c r="N6204" s="8"/>
    </row>
    <row r="6205" spans="1:14" x14ac:dyDescent="0.25">
      <c r="A6205" s="8">
        <v>40592</v>
      </c>
      <c r="B6205">
        <v>280785.76</v>
      </c>
      <c r="C6205">
        <v>0</v>
      </c>
      <c r="D6205">
        <v>40.85</v>
      </c>
      <c r="E6205">
        <v>3.0619999999999998</v>
      </c>
      <c r="F6205">
        <v>127.99525</v>
      </c>
      <c r="G6205">
        <v>7.2240000000000002</v>
      </c>
      <c r="N6205" s="8"/>
    </row>
    <row r="6206" spans="1:14" x14ac:dyDescent="0.25">
      <c r="A6206" s="8">
        <v>40599</v>
      </c>
      <c r="B6206">
        <v>279427.93</v>
      </c>
      <c r="C6206">
        <v>0</v>
      </c>
      <c r="D6206">
        <v>33.17</v>
      </c>
      <c r="E6206">
        <v>3.12</v>
      </c>
      <c r="F6206">
        <v>128.13</v>
      </c>
      <c r="G6206">
        <v>7.2240000000000002</v>
      </c>
      <c r="N6206" s="8"/>
    </row>
    <row r="6207" spans="1:14" x14ac:dyDescent="0.25">
      <c r="A6207" s="8">
        <v>40606</v>
      </c>
      <c r="B6207">
        <v>293984.53999999998</v>
      </c>
      <c r="C6207">
        <v>0</v>
      </c>
      <c r="D6207">
        <v>34.229999999999997</v>
      </c>
      <c r="E6207">
        <v>3.23</v>
      </c>
      <c r="F6207">
        <v>128.26474999999999</v>
      </c>
      <c r="G6207">
        <v>7.2240000000000002</v>
      </c>
      <c r="N6207" s="8"/>
    </row>
    <row r="6208" spans="1:14" x14ac:dyDescent="0.25">
      <c r="A6208" s="8">
        <v>40613</v>
      </c>
      <c r="B6208">
        <v>284496.14</v>
      </c>
      <c r="C6208">
        <v>0</v>
      </c>
      <c r="D6208">
        <v>41.28</v>
      </c>
      <c r="E6208">
        <v>3.3460000000000001</v>
      </c>
      <c r="F6208">
        <v>128.39949999999999</v>
      </c>
      <c r="G6208">
        <v>7.2240000000000002</v>
      </c>
      <c r="N6208" s="8"/>
    </row>
    <row r="6209" spans="1:14" x14ac:dyDescent="0.25">
      <c r="A6209" s="8">
        <v>40620</v>
      </c>
      <c r="B6209">
        <v>281699.68</v>
      </c>
      <c r="C6209">
        <v>0</v>
      </c>
      <c r="D6209">
        <v>44.69</v>
      </c>
      <c r="E6209">
        <v>3.407</v>
      </c>
      <c r="F6209">
        <v>128.5121935</v>
      </c>
      <c r="G6209">
        <v>7.2240000000000002</v>
      </c>
      <c r="N6209" s="8"/>
    </row>
    <row r="6210" spans="1:14" x14ac:dyDescent="0.25">
      <c r="A6210" s="8">
        <v>40627</v>
      </c>
      <c r="B6210">
        <v>285031.81</v>
      </c>
      <c r="C6210">
        <v>0</v>
      </c>
      <c r="D6210">
        <v>42.38</v>
      </c>
      <c r="E6210">
        <v>3.4350000000000001</v>
      </c>
      <c r="F6210">
        <v>128.61606449999999</v>
      </c>
      <c r="G6210">
        <v>7.2240000000000002</v>
      </c>
      <c r="N6210" s="8"/>
    </row>
    <row r="6211" spans="1:14" x14ac:dyDescent="0.25">
      <c r="A6211" s="8">
        <v>40634</v>
      </c>
      <c r="B6211">
        <v>281514.26</v>
      </c>
      <c r="C6211">
        <v>0</v>
      </c>
      <c r="D6211">
        <v>42.49</v>
      </c>
      <c r="E6211">
        <v>3.4870000000000001</v>
      </c>
      <c r="F6211">
        <v>128.71993549999999</v>
      </c>
      <c r="G6211">
        <v>6.9059999999999997</v>
      </c>
      <c r="N6211" s="8"/>
    </row>
    <row r="6212" spans="1:14" x14ac:dyDescent="0.25">
      <c r="A6212" s="8">
        <v>40641</v>
      </c>
      <c r="B6212">
        <v>292498.61</v>
      </c>
      <c r="C6212">
        <v>0</v>
      </c>
      <c r="D6212">
        <v>42.75</v>
      </c>
      <c r="E6212">
        <v>3.5470000000000002</v>
      </c>
      <c r="F6212">
        <v>128.82380649999999</v>
      </c>
      <c r="G6212">
        <v>6.9059999999999997</v>
      </c>
      <c r="N6212" s="8"/>
    </row>
    <row r="6213" spans="1:14" x14ac:dyDescent="0.25">
      <c r="A6213" s="8">
        <v>40648</v>
      </c>
      <c r="B6213">
        <v>289667.55</v>
      </c>
      <c r="C6213">
        <v>0</v>
      </c>
      <c r="D6213">
        <v>41.72</v>
      </c>
      <c r="E6213">
        <v>3.6160000000000001</v>
      </c>
      <c r="F6213">
        <v>128.9107333</v>
      </c>
      <c r="G6213">
        <v>6.9059999999999997</v>
      </c>
      <c r="N6213" s="8"/>
    </row>
    <row r="6214" spans="1:14" x14ac:dyDescent="0.25">
      <c r="A6214" s="8">
        <v>40655</v>
      </c>
      <c r="B6214">
        <v>280357.3</v>
      </c>
      <c r="C6214">
        <v>0</v>
      </c>
      <c r="D6214">
        <v>47.55</v>
      </c>
      <c r="E6214">
        <v>3.6549999999999998</v>
      </c>
      <c r="F6214">
        <v>128.95529999999999</v>
      </c>
      <c r="G6214">
        <v>6.9059999999999997</v>
      </c>
      <c r="N6214" s="8"/>
    </row>
    <row r="6215" spans="1:14" x14ac:dyDescent="0.25">
      <c r="A6215" s="8">
        <v>40662</v>
      </c>
      <c r="B6215">
        <v>281247.96999999997</v>
      </c>
      <c r="C6215">
        <v>0</v>
      </c>
      <c r="D6215">
        <v>43.85</v>
      </c>
      <c r="E6215">
        <v>3.6829999999999998</v>
      </c>
      <c r="F6215">
        <v>128.99986670000001</v>
      </c>
      <c r="G6215">
        <v>6.9059999999999997</v>
      </c>
      <c r="N6215" s="8"/>
    </row>
    <row r="6216" spans="1:14" x14ac:dyDescent="0.25">
      <c r="A6216" s="8">
        <v>40669</v>
      </c>
      <c r="B6216">
        <v>299354.67</v>
      </c>
      <c r="C6216">
        <v>0</v>
      </c>
      <c r="D6216">
        <v>47.75</v>
      </c>
      <c r="E6216">
        <v>3.7440000000000002</v>
      </c>
      <c r="F6216">
        <v>129.04443330000001</v>
      </c>
      <c r="G6216">
        <v>6.9059999999999997</v>
      </c>
      <c r="N6216" s="8"/>
    </row>
    <row r="6217" spans="1:14" x14ac:dyDescent="0.25">
      <c r="A6217" s="8">
        <v>40676</v>
      </c>
      <c r="B6217">
        <v>307095.31</v>
      </c>
      <c r="C6217">
        <v>0</v>
      </c>
      <c r="D6217">
        <v>52.4</v>
      </c>
      <c r="E6217">
        <v>3.77</v>
      </c>
      <c r="F6217">
        <v>129.089</v>
      </c>
      <c r="G6217">
        <v>6.9059999999999997</v>
      </c>
      <c r="N6217" s="8"/>
    </row>
    <row r="6218" spans="1:14" x14ac:dyDescent="0.25">
      <c r="A6218" s="8">
        <v>40683</v>
      </c>
      <c r="B6218">
        <v>303559.23</v>
      </c>
      <c r="C6218">
        <v>0</v>
      </c>
      <c r="D6218">
        <v>52.12</v>
      </c>
      <c r="E6218">
        <v>3.802</v>
      </c>
      <c r="F6218">
        <v>129.07567739999999</v>
      </c>
      <c r="G6218">
        <v>6.9059999999999997</v>
      </c>
      <c r="N6218" s="8"/>
    </row>
    <row r="6219" spans="1:14" x14ac:dyDescent="0.25">
      <c r="A6219" s="8">
        <v>40690</v>
      </c>
      <c r="B6219">
        <v>308442.49</v>
      </c>
      <c r="C6219">
        <v>0</v>
      </c>
      <c r="D6219">
        <v>54.62</v>
      </c>
      <c r="E6219">
        <v>3.778</v>
      </c>
      <c r="F6219">
        <v>129.06235480000001</v>
      </c>
      <c r="G6219">
        <v>6.9059999999999997</v>
      </c>
      <c r="N6219" s="8"/>
    </row>
    <row r="6220" spans="1:14" x14ac:dyDescent="0.25">
      <c r="A6220" s="8">
        <v>40697</v>
      </c>
      <c r="B6220">
        <v>308950.03999999998</v>
      </c>
      <c r="C6220">
        <v>0</v>
      </c>
      <c r="D6220">
        <v>52.76</v>
      </c>
      <c r="E6220">
        <v>3.7519999999999998</v>
      </c>
      <c r="F6220">
        <v>129.04903229999999</v>
      </c>
      <c r="G6220">
        <v>6.9059999999999997</v>
      </c>
      <c r="N6220" s="8"/>
    </row>
    <row r="6221" spans="1:14" x14ac:dyDescent="0.25">
      <c r="A6221" s="8">
        <v>40704</v>
      </c>
      <c r="B6221">
        <v>308770.42</v>
      </c>
      <c r="C6221">
        <v>0</v>
      </c>
      <c r="D6221">
        <v>61.39</v>
      </c>
      <c r="E6221">
        <v>3.7320000000000002</v>
      </c>
      <c r="F6221">
        <v>129.03570970000001</v>
      </c>
      <c r="G6221">
        <v>6.9059999999999997</v>
      </c>
      <c r="N6221" s="8"/>
    </row>
    <row r="6222" spans="1:14" x14ac:dyDescent="0.25">
      <c r="A6222" s="8">
        <v>40711</v>
      </c>
      <c r="B6222">
        <v>300255.87</v>
      </c>
      <c r="C6222">
        <v>0</v>
      </c>
      <c r="D6222">
        <v>63.35</v>
      </c>
      <c r="E6222">
        <v>3.7040000000000002</v>
      </c>
      <c r="F6222">
        <v>129.04320000000001</v>
      </c>
      <c r="G6222">
        <v>6.9059999999999997</v>
      </c>
      <c r="N6222" s="8"/>
    </row>
    <row r="6223" spans="1:14" x14ac:dyDescent="0.25">
      <c r="A6223" s="8">
        <v>40718</v>
      </c>
      <c r="B6223">
        <v>296765.59000000003</v>
      </c>
      <c r="C6223">
        <v>0</v>
      </c>
      <c r="D6223">
        <v>66.38</v>
      </c>
      <c r="E6223">
        <v>3.6680000000000001</v>
      </c>
      <c r="F6223">
        <v>129.06630000000001</v>
      </c>
      <c r="G6223">
        <v>6.9059999999999997</v>
      </c>
      <c r="N6223" s="8"/>
    </row>
    <row r="6224" spans="1:14" x14ac:dyDescent="0.25">
      <c r="A6224" s="8">
        <v>40725</v>
      </c>
      <c r="B6224">
        <v>315273.08</v>
      </c>
      <c r="C6224">
        <v>0</v>
      </c>
      <c r="D6224">
        <v>74.290000000000006</v>
      </c>
      <c r="E6224">
        <v>3.613</v>
      </c>
      <c r="F6224">
        <v>129.08940000000001</v>
      </c>
      <c r="G6224">
        <v>6.56</v>
      </c>
      <c r="N6224" s="8"/>
    </row>
    <row r="6225" spans="1:14" x14ac:dyDescent="0.25">
      <c r="A6225" s="8">
        <v>40732</v>
      </c>
      <c r="B6225">
        <v>295339.01</v>
      </c>
      <c r="C6225">
        <v>0</v>
      </c>
      <c r="D6225">
        <v>77.3</v>
      </c>
      <c r="E6225">
        <v>3.5630000000000002</v>
      </c>
      <c r="F6225">
        <v>129.11250000000001</v>
      </c>
      <c r="G6225">
        <v>6.56</v>
      </c>
      <c r="N6225" s="8"/>
    </row>
    <row r="6226" spans="1:14" x14ac:dyDescent="0.25">
      <c r="A6226" s="8">
        <v>40739</v>
      </c>
      <c r="B6226">
        <v>289201.21000000002</v>
      </c>
      <c r="C6226">
        <v>0</v>
      </c>
      <c r="D6226">
        <v>75.59</v>
      </c>
      <c r="E6226">
        <v>3.5529999999999999</v>
      </c>
      <c r="F6226">
        <v>129.13383870000001</v>
      </c>
      <c r="G6226">
        <v>6.56</v>
      </c>
      <c r="N6226" s="8"/>
    </row>
    <row r="6227" spans="1:14" x14ac:dyDescent="0.25">
      <c r="A6227" s="8">
        <v>40746</v>
      </c>
      <c r="B6227">
        <v>303108.81</v>
      </c>
      <c r="C6227">
        <v>0</v>
      </c>
      <c r="D6227">
        <v>78.5</v>
      </c>
      <c r="E6227">
        <v>3.5630000000000002</v>
      </c>
      <c r="F6227">
        <v>129.1507742</v>
      </c>
      <c r="G6227">
        <v>6.56</v>
      </c>
      <c r="N6227" s="8"/>
    </row>
    <row r="6228" spans="1:14" x14ac:dyDescent="0.25">
      <c r="A6228" s="8">
        <v>40753</v>
      </c>
      <c r="B6228">
        <v>279677</v>
      </c>
      <c r="C6228">
        <v>0</v>
      </c>
      <c r="D6228">
        <v>77.62</v>
      </c>
      <c r="E6228">
        <v>3.5739999999999998</v>
      </c>
      <c r="F6228">
        <v>129.16770969999999</v>
      </c>
      <c r="G6228">
        <v>6.56</v>
      </c>
      <c r="N6228" s="8"/>
    </row>
    <row r="6229" spans="1:14" x14ac:dyDescent="0.25">
      <c r="A6229" s="8">
        <v>40760</v>
      </c>
      <c r="B6229">
        <v>298080.45</v>
      </c>
      <c r="C6229">
        <v>0</v>
      </c>
      <c r="D6229">
        <v>75.56</v>
      </c>
      <c r="E6229">
        <v>3.5950000000000002</v>
      </c>
      <c r="F6229">
        <v>129.18464520000001</v>
      </c>
      <c r="G6229">
        <v>6.56</v>
      </c>
      <c r="N6229" s="8"/>
    </row>
    <row r="6230" spans="1:14" x14ac:dyDescent="0.25">
      <c r="A6230" s="8">
        <v>40767</v>
      </c>
      <c r="B6230">
        <v>290399.65999999997</v>
      </c>
      <c r="C6230">
        <v>0</v>
      </c>
      <c r="D6230">
        <v>75.95</v>
      </c>
      <c r="E6230">
        <v>3.6059999999999999</v>
      </c>
      <c r="F6230">
        <v>129.2015806</v>
      </c>
      <c r="G6230">
        <v>6.56</v>
      </c>
      <c r="N6230" s="8"/>
    </row>
    <row r="6231" spans="1:14" x14ac:dyDescent="0.25">
      <c r="A6231" s="8">
        <v>40774</v>
      </c>
      <c r="B6231">
        <v>290909.69</v>
      </c>
      <c r="C6231">
        <v>0</v>
      </c>
      <c r="D6231">
        <v>76.680000000000007</v>
      </c>
      <c r="E6231">
        <v>3.5779999999999998</v>
      </c>
      <c r="F6231">
        <v>129.24058059999999</v>
      </c>
      <c r="G6231">
        <v>6.56</v>
      </c>
      <c r="N6231" s="8"/>
    </row>
    <row r="6232" spans="1:14" x14ac:dyDescent="0.25">
      <c r="A6232" s="8">
        <v>40781</v>
      </c>
      <c r="B6232">
        <v>324174.78999999998</v>
      </c>
      <c r="C6232">
        <v>0</v>
      </c>
      <c r="D6232">
        <v>81.53</v>
      </c>
      <c r="E6232">
        <v>3.57</v>
      </c>
      <c r="F6232">
        <v>129.28325810000001</v>
      </c>
      <c r="G6232">
        <v>6.56</v>
      </c>
      <c r="N6232" s="8"/>
    </row>
    <row r="6233" spans="1:14" x14ac:dyDescent="0.25">
      <c r="A6233" s="8">
        <v>40788</v>
      </c>
      <c r="B6233">
        <v>309543.52</v>
      </c>
      <c r="C6233">
        <v>0</v>
      </c>
      <c r="D6233">
        <v>77</v>
      </c>
      <c r="E6233">
        <v>3.58</v>
      </c>
      <c r="F6233">
        <v>129.32593550000001</v>
      </c>
      <c r="G6233">
        <v>6.56</v>
      </c>
      <c r="N6233" s="8"/>
    </row>
    <row r="6234" spans="1:14" x14ac:dyDescent="0.25">
      <c r="A6234" s="8">
        <v>40795</v>
      </c>
      <c r="B6234">
        <v>295811.25</v>
      </c>
      <c r="C6234">
        <v>1</v>
      </c>
      <c r="D6234">
        <v>70.19</v>
      </c>
      <c r="E6234">
        <v>3.6190000000000002</v>
      </c>
      <c r="F6234">
        <v>129.36861289999999</v>
      </c>
      <c r="G6234">
        <v>6.56</v>
      </c>
      <c r="N6234" s="8"/>
    </row>
    <row r="6235" spans="1:14" x14ac:dyDescent="0.25">
      <c r="A6235" s="8">
        <v>40802</v>
      </c>
      <c r="B6235">
        <v>303974.28000000003</v>
      </c>
      <c r="C6235">
        <v>0</v>
      </c>
      <c r="D6235">
        <v>67.540000000000006</v>
      </c>
      <c r="E6235">
        <v>3.641</v>
      </c>
      <c r="F6235">
        <v>129.4306</v>
      </c>
      <c r="G6235">
        <v>6.56</v>
      </c>
      <c r="N6235" s="8"/>
    </row>
    <row r="6236" spans="1:14" x14ac:dyDescent="0.25">
      <c r="A6236" s="8">
        <v>40809</v>
      </c>
      <c r="B6236">
        <v>307409.13</v>
      </c>
      <c r="C6236">
        <v>0</v>
      </c>
      <c r="D6236">
        <v>63.6</v>
      </c>
      <c r="E6236">
        <v>3.6480000000000001</v>
      </c>
      <c r="F6236">
        <v>129.51833329999999</v>
      </c>
      <c r="G6236">
        <v>6.56</v>
      </c>
      <c r="N6236" s="8"/>
    </row>
    <row r="6237" spans="1:14" x14ac:dyDescent="0.25">
      <c r="A6237" s="8">
        <v>40816</v>
      </c>
      <c r="B6237">
        <v>299757.75</v>
      </c>
      <c r="C6237">
        <v>0</v>
      </c>
      <c r="D6237">
        <v>68.28</v>
      </c>
      <c r="E6237">
        <v>3.6230000000000002</v>
      </c>
      <c r="F6237">
        <v>129.60606670000001</v>
      </c>
      <c r="G6237">
        <v>6.56</v>
      </c>
      <c r="N6237" s="8"/>
    </row>
    <row r="6238" spans="1:14" x14ac:dyDescent="0.25">
      <c r="A6238" s="8">
        <v>40823</v>
      </c>
      <c r="B6238">
        <v>312577.36</v>
      </c>
      <c r="C6238">
        <v>0</v>
      </c>
      <c r="D6238">
        <v>60.62</v>
      </c>
      <c r="E6238">
        <v>3.5920000000000001</v>
      </c>
      <c r="F6238">
        <v>129.69380000000001</v>
      </c>
      <c r="G6238">
        <v>6.0780000000000003</v>
      </c>
      <c r="N6238" s="8"/>
    </row>
    <row r="6239" spans="1:14" x14ac:dyDescent="0.25">
      <c r="A6239" s="8">
        <v>40830</v>
      </c>
      <c r="B6239">
        <v>293031.78000000003</v>
      </c>
      <c r="C6239">
        <v>0</v>
      </c>
      <c r="D6239">
        <v>51.74</v>
      </c>
      <c r="E6239">
        <v>3.5670000000000002</v>
      </c>
      <c r="F6239">
        <v>129.77064519999999</v>
      </c>
      <c r="G6239">
        <v>6.0780000000000003</v>
      </c>
      <c r="N6239" s="8"/>
    </row>
    <row r="6240" spans="1:14" x14ac:dyDescent="0.25">
      <c r="A6240" s="8">
        <v>40837</v>
      </c>
      <c r="B6240">
        <v>305969.81</v>
      </c>
      <c r="C6240">
        <v>0</v>
      </c>
      <c r="D6240">
        <v>54.66</v>
      </c>
      <c r="E6240">
        <v>3.5790000000000002</v>
      </c>
      <c r="F6240">
        <v>129.78216130000001</v>
      </c>
      <c r="G6240">
        <v>6.0780000000000003</v>
      </c>
      <c r="N6240" s="8"/>
    </row>
    <row r="6241" spans="1:14" x14ac:dyDescent="0.25">
      <c r="A6241" s="8">
        <v>40844</v>
      </c>
      <c r="B6241">
        <v>306336.07</v>
      </c>
      <c r="C6241">
        <v>0</v>
      </c>
      <c r="D6241">
        <v>47.41</v>
      </c>
      <c r="E6241">
        <v>3.5670000000000002</v>
      </c>
      <c r="F6241">
        <v>129.79367740000001</v>
      </c>
      <c r="G6241">
        <v>6.0780000000000003</v>
      </c>
      <c r="N6241" s="8"/>
    </row>
    <row r="6242" spans="1:14" x14ac:dyDescent="0.25">
      <c r="A6242" s="8">
        <v>40851</v>
      </c>
      <c r="B6242">
        <v>307126.34000000003</v>
      </c>
      <c r="C6242">
        <v>0</v>
      </c>
      <c r="D6242">
        <v>43.51</v>
      </c>
      <c r="E6242">
        <v>3.5379999999999998</v>
      </c>
      <c r="F6242">
        <v>129.8051935</v>
      </c>
      <c r="G6242">
        <v>6.0780000000000003</v>
      </c>
      <c r="N6242" s="8"/>
    </row>
    <row r="6243" spans="1:14" x14ac:dyDescent="0.25">
      <c r="A6243" s="8">
        <v>40858</v>
      </c>
      <c r="B6243">
        <v>312233.56</v>
      </c>
      <c r="C6243">
        <v>0</v>
      </c>
      <c r="D6243">
        <v>33.799999999999997</v>
      </c>
      <c r="E6243">
        <v>3.5129999999999999</v>
      </c>
      <c r="F6243">
        <v>129.81670969999999</v>
      </c>
      <c r="G6243">
        <v>6.0780000000000003</v>
      </c>
      <c r="N6243" s="8"/>
    </row>
    <row r="6244" spans="1:14" x14ac:dyDescent="0.25">
      <c r="A6244" s="8">
        <v>40865</v>
      </c>
      <c r="B6244">
        <v>310531.03999999998</v>
      </c>
      <c r="C6244">
        <v>0</v>
      </c>
      <c r="D6244">
        <v>40.65</v>
      </c>
      <c r="E6244">
        <v>3.4889999999999999</v>
      </c>
      <c r="F6244">
        <v>129.8268333</v>
      </c>
      <c r="G6244">
        <v>6.0780000000000003</v>
      </c>
      <c r="N6244" s="8"/>
    </row>
    <row r="6245" spans="1:14" x14ac:dyDescent="0.25">
      <c r="A6245" s="8">
        <v>40872</v>
      </c>
      <c r="B6245">
        <v>309129.01</v>
      </c>
      <c r="C6245">
        <v>1</v>
      </c>
      <c r="D6245">
        <v>38.89</v>
      </c>
      <c r="E6245">
        <v>3.4449999999999998</v>
      </c>
      <c r="F6245">
        <v>129.8364</v>
      </c>
      <c r="G6245">
        <v>6.0780000000000003</v>
      </c>
      <c r="N6245" s="8"/>
    </row>
    <row r="6246" spans="1:14" x14ac:dyDescent="0.25">
      <c r="A6246" s="8">
        <v>40879</v>
      </c>
      <c r="B6246">
        <v>284309.34000000003</v>
      </c>
      <c r="C6246">
        <v>0</v>
      </c>
      <c r="D6246">
        <v>33.94</v>
      </c>
      <c r="E6246">
        <v>3.3889999999999998</v>
      </c>
      <c r="F6246">
        <v>129.84596669999999</v>
      </c>
      <c r="G6246">
        <v>6.0780000000000003</v>
      </c>
      <c r="N6246" s="8"/>
    </row>
    <row r="6247" spans="1:14" x14ac:dyDescent="0.25">
      <c r="A6247" s="8">
        <v>40886</v>
      </c>
      <c r="B6247">
        <v>304300.90999999997</v>
      </c>
      <c r="C6247">
        <v>0</v>
      </c>
      <c r="D6247">
        <v>24.82</v>
      </c>
      <c r="E6247">
        <v>3.3410000000000002</v>
      </c>
      <c r="F6247">
        <v>129.85553329999999</v>
      </c>
      <c r="G6247">
        <v>6.0780000000000003</v>
      </c>
      <c r="N6247" s="8"/>
    </row>
    <row r="6248" spans="1:14" x14ac:dyDescent="0.25">
      <c r="A6248" s="8">
        <v>40893</v>
      </c>
      <c r="B6248">
        <v>311144.15999999997</v>
      </c>
      <c r="C6248">
        <v>0</v>
      </c>
      <c r="D6248">
        <v>27.85</v>
      </c>
      <c r="E6248">
        <v>3.282</v>
      </c>
      <c r="F6248">
        <v>129.8980645</v>
      </c>
      <c r="G6248">
        <v>6.0780000000000003</v>
      </c>
      <c r="N6248" s="8"/>
    </row>
    <row r="6249" spans="1:14" x14ac:dyDescent="0.25">
      <c r="A6249" s="8">
        <v>40900</v>
      </c>
      <c r="B6249">
        <v>376233.89</v>
      </c>
      <c r="C6249">
        <v>0</v>
      </c>
      <c r="D6249">
        <v>24.76</v>
      </c>
      <c r="E6249">
        <v>3.1859999999999999</v>
      </c>
      <c r="F6249">
        <v>129.98454839999999</v>
      </c>
      <c r="G6249">
        <v>6.0780000000000003</v>
      </c>
      <c r="N6249" s="8"/>
    </row>
    <row r="6250" spans="1:14" x14ac:dyDescent="0.25">
      <c r="A6250" s="8">
        <v>40907</v>
      </c>
      <c r="B6250">
        <v>263917.84999999998</v>
      </c>
      <c r="C6250">
        <v>1</v>
      </c>
      <c r="D6250">
        <v>31.53</v>
      </c>
      <c r="E6250">
        <v>3.1190000000000002</v>
      </c>
      <c r="F6250">
        <v>130.07103230000001</v>
      </c>
      <c r="G6250">
        <v>6.0780000000000003</v>
      </c>
      <c r="N6250" s="8"/>
    </row>
    <row r="6251" spans="1:14" x14ac:dyDescent="0.25">
      <c r="A6251" s="8">
        <v>40914</v>
      </c>
      <c r="B6251">
        <v>325327.93</v>
      </c>
      <c r="C6251">
        <v>0</v>
      </c>
      <c r="D6251">
        <v>33.799999999999997</v>
      </c>
      <c r="E6251">
        <v>3.08</v>
      </c>
      <c r="F6251">
        <v>130.15751610000001</v>
      </c>
      <c r="G6251">
        <v>5.774</v>
      </c>
      <c r="N6251" s="8"/>
    </row>
    <row r="6252" spans="1:14" x14ac:dyDescent="0.25">
      <c r="A6252" s="8">
        <v>40921</v>
      </c>
      <c r="B6252">
        <v>312361.88</v>
      </c>
      <c r="C6252">
        <v>0</v>
      </c>
      <c r="D6252">
        <v>25.61</v>
      </c>
      <c r="E6252">
        <v>3.056</v>
      </c>
      <c r="F6252">
        <v>130.244</v>
      </c>
      <c r="G6252">
        <v>5.774</v>
      </c>
      <c r="N6252" s="8"/>
    </row>
    <row r="6253" spans="1:14" x14ac:dyDescent="0.25">
      <c r="A6253" s="8">
        <v>40928</v>
      </c>
      <c r="B6253">
        <v>316948.39</v>
      </c>
      <c r="C6253">
        <v>0</v>
      </c>
      <c r="D6253">
        <v>32.71</v>
      </c>
      <c r="E6253">
        <v>3.0470000000000002</v>
      </c>
      <c r="F6253">
        <v>130.27922580000001</v>
      </c>
      <c r="G6253">
        <v>5.774</v>
      </c>
      <c r="N6253" s="8"/>
    </row>
    <row r="6254" spans="1:14" x14ac:dyDescent="0.25">
      <c r="A6254" s="8">
        <v>40935</v>
      </c>
      <c r="B6254">
        <v>308295.38</v>
      </c>
      <c r="C6254">
        <v>0</v>
      </c>
      <c r="D6254">
        <v>34.32</v>
      </c>
      <c r="E6254">
        <v>3.0579999999999998</v>
      </c>
      <c r="F6254">
        <v>130.31445160000001</v>
      </c>
      <c r="G6254">
        <v>5.774</v>
      </c>
      <c r="N6254" s="8"/>
    </row>
    <row r="6255" spans="1:14" x14ac:dyDescent="0.25">
      <c r="A6255" s="8">
        <v>40942</v>
      </c>
      <c r="B6255">
        <v>325986.05</v>
      </c>
      <c r="C6255">
        <v>0</v>
      </c>
      <c r="D6255">
        <v>31.39</v>
      </c>
      <c r="E6255">
        <v>3.077</v>
      </c>
      <c r="F6255">
        <v>130.34967739999999</v>
      </c>
      <c r="G6255">
        <v>5.774</v>
      </c>
      <c r="N6255" s="8"/>
    </row>
    <row r="6256" spans="1:14" x14ac:dyDescent="0.25">
      <c r="A6256" s="8">
        <v>40949</v>
      </c>
      <c r="B6256">
        <v>325377.96999999997</v>
      </c>
      <c r="C6256">
        <v>1</v>
      </c>
      <c r="D6256">
        <v>33.729999999999997</v>
      </c>
      <c r="E6256">
        <v>3.1160000000000001</v>
      </c>
      <c r="F6256">
        <v>130.3849032</v>
      </c>
      <c r="G6256">
        <v>5.774</v>
      </c>
      <c r="N6256" s="8"/>
    </row>
    <row r="6257" spans="1:14" x14ac:dyDescent="0.25">
      <c r="A6257" s="8">
        <v>40956</v>
      </c>
      <c r="B6257">
        <v>320691.21000000002</v>
      </c>
      <c r="C6257">
        <v>0</v>
      </c>
      <c r="D6257">
        <v>36.57</v>
      </c>
      <c r="E6257">
        <v>3.1190000000000002</v>
      </c>
      <c r="F6257">
        <v>130.45462069999999</v>
      </c>
      <c r="G6257">
        <v>5.774</v>
      </c>
      <c r="N6257" s="8"/>
    </row>
    <row r="6258" spans="1:14" x14ac:dyDescent="0.25">
      <c r="A6258" s="8">
        <v>40963</v>
      </c>
      <c r="B6258">
        <v>315641.8</v>
      </c>
      <c r="C6258">
        <v>0</v>
      </c>
      <c r="D6258">
        <v>35.380000000000003</v>
      </c>
      <c r="E6258">
        <v>3.145</v>
      </c>
      <c r="F6258">
        <v>130.55020690000001</v>
      </c>
      <c r="G6258">
        <v>5.774</v>
      </c>
      <c r="N6258" s="8"/>
    </row>
    <row r="6259" spans="1:14" x14ac:dyDescent="0.25">
      <c r="A6259" s="8">
        <v>40970</v>
      </c>
      <c r="B6259">
        <v>316687.21999999997</v>
      </c>
      <c r="C6259">
        <v>0</v>
      </c>
      <c r="D6259">
        <v>32.36</v>
      </c>
      <c r="E6259">
        <v>3.242</v>
      </c>
      <c r="F6259">
        <v>130.64579309999999</v>
      </c>
      <c r="G6259">
        <v>5.774</v>
      </c>
      <c r="N6259" s="8"/>
    </row>
    <row r="6260" spans="1:14" x14ac:dyDescent="0.25">
      <c r="A6260" s="8">
        <v>40977</v>
      </c>
      <c r="B6260">
        <v>303438.24</v>
      </c>
      <c r="C6260">
        <v>0</v>
      </c>
      <c r="D6260">
        <v>38.24</v>
      </c>
      <c r="E6260">
        <v>3.38</v>
      </c>
      <c r="F6260">
        <v>130.74137930000001</v>
      </c>
      <c r="G6260">
        <v>5.774</v>
      </c>
      <c r="N6260" s="8"/>
    </row>
    <row r="6261" spans="1:14" x14ac:dyDescent="0.25">
      <c r="A6261" s="8">
        <v>40984</v>
      </c>
      <c r="B6261">
        <v>331965.95</v>
      </c>
      <c r="C6261">
        <v>0</v>
      </c>
      <c r="D6261">
        <v>52.5</v>
      </c>
      <c r="E6261">
        <v>3.5289999999999999</v>
      </c>
      <c r="F6261">
        <v>130.82619349999999</v>
      </c>
      <c r="G6261">
        <v>5.774</v>
      </c>
      <c r="N6261" s="8"/>
    </row>
    <row r="6262" spans="1:14" x14ac:dyDescent="0.25">
      <c r="A6262" s="8">
        <v>40991</v>
      </c>
      <c r="B6262">
        <v>296947.06</v>
      </c>
      <c r="C6262">
        <v>0</v>
      </c>
      <c r="D6262">
        <v>47.83</v>
      </c>
      <c r="E6262">
        <v>3.6709999999999998</v>
      </c>
      <c r="F6262">
        <v>130.89664519999999</v>
      </c>
      <c r="G6262">
        <v>5.774</v>
      </c>
      <c r="N6262" s="8"/>
    </row>
    <row r="6263" spans="1:14" x14ac:dyDescent="0.25">
      <c r="A6263" s="8">
        <v>40998</v>
      </c>
      <c r="B6263">
        <v>310027.28999999998</v>
      </c>
      <c r="C6263">
        <v>0</v>
      </c>
      <c r="D6263">
        <v>53.2</v>
      </c>
      <c r="E6263">
        <v>3.734</v>
      </c>
      <c r="F6263">
        <v>130.96709680000001</v>
      </c>
      <c r="G6263">
        <v>5.774</v>
      </c>
      <c r="N6263" s="8"/>
    </row>
    <row r="6264" spans="1:14" x14ac:dyDescent="0.25">
      <c r="A6264" s="8">
        <v>41005</v>
      </c>
      <c r="B6264">
        <v>320021.09999999998</v>
      </c>
      <c r="C6264">
        <v>0</v>
      </c>
      <c r="D6264">
        <v>48.85</v>
      </c>
      <c r="E6264">
        <v>3.7930000000000001</v>
      </c>
      <c r="F6264">
        <v>131.03754839999999</v>
      </c>
      <c r="G6264">
        <v>5.6210000000000004</v>
      </c>
      <c r="N6264" s="8"/>
    </row>
    <row r="6265" spans="1:14" x14ac:dyDescent="0.25">
      <c r="A6265" s="8">
        <v>41012</v>
      </c>
      <c r="B6265">
        <v>311390.21999999997</v>
      </c>
      <c r="C6265">
        <v>0</v>
      </c>
      <c r="D6265">
        <v>51.7</v>
      </c>
      <c r="E6265">
        <v>3.8330000000000002</v>
      </c>
      <c r="F6265">
        <v>131.108</v>
      </c>
      <c r="G6265">
        <v>5.6210000000000004</v>
      </c>
      <c r="N6265" s="8"/>
    </row>
    <row r="6266" spans="1:14" x14ac:dyDescent="0.25">
      <c r="A6266" s="8">
        <v>41019</v>
      </c>
      <c r="B6266">
        <v>323233.8</v>
      </c>
      <c r="C6266">
        <v>0</v>
      </c>
      <c r="D6266">
        <v>50.24</v>
      </c>
      <c r="E6266">
        <v>3.8450000000000002</v>
      </c>
      <c r="F6266">
        <v>131.11733330000001</v>
      </c>
      <c r="G6266">
        <v>5.6210000000000004</v>
      </c>
      <c r="N6266" s="8"/>
    </row>
    <row r="6267" spans="1:14" x14ac:dyDescent="0.25">
      <c r="A6267" s="8">
        <v>41026</v>
      </c>
      <c r="B6267">
        <v>330338.36</v>
      </c>
      <c r="C6267">
        <v>0</v>
      </c>
      <c r="D6267">
        <v>64.8</v>
      </c>
      <c r="E6267">
        <v>3.8420000000000001</v>
      </c>
      <c r="F6267">
        <v>131.12666669999999</v>
      </c>
      <c r="G6267">
        <v>5.6210000000000004</v>
      </c>
      <c r="N6267" s="8"/>
    </row>
    <row r="6268" spans="1:14" x14ac:dyDescent="0.25">
      <c r="A6268" s="8">
        <v>41033</v>
      </c>
      <c r="B6268">
        <v>326053.28000000003</v>
      </c>
      <c r="C6268">
        <v>0</v>
      </c>
      <c r="D6268">
        <v>54.41</v>
      </c>
      <c r="E6268">
        <v>3.831</v>
      </c>
      <c r="F6268">
        <v>131.136</v>
      </c>
      <c r="G6268">
        <v>5.6210000000000004</v>
      </c>
      <c r="N6268" s="8"/>
    </row>
    <row r="6269" spans="1:14" x14ac:dyDescent="0.25">
      <c r="A6269" s="8">
        <v>41040</v>
      </c>
      <c r="B6269">
        <v>341381.08</v>
      </c>
      <c r="C6269">
        <v>0</v>
      </c>
      <c r="D6269">
        <v>56.47</v>
      </c>
      <c r="E6269">
        <v>3.8090000000000002</v>
      </c>
      <c r="F6269">
        <v>131.1453333</v>
      </c>
      <c r="G6269">
        <v>5.6210000000000004</v>
      </c>
      <c r="N6269" s="8"/>
    </row>
    <row r="6270" spans="1:14" x14ac:dyDescent="0.25">
      <c r="A6270" s="8">
        <v>41047</v>
      </c>
      <c r="B6270">
        <v>334042.43</v>
      </c>
      <c r="C6270">
        <v>0</v>
      </c>
      <c r="D6270">
        <v>65.17</v>
      </c>
      <c r="E6270">
        <v>3.8079999999999998</v>
      </c>
      <c r="F6270">
        <v>131.09832259999999</v>
      </c>
      <c r="G6270">
        <v>5.6210000000000004</v>
      </c>
      <c r="N6270" s="8"/>
    </row>
    <row r="6271" spans="1:14" x14ac:dyDescent="0.25">
      <c r="A6271" s="8">
        <v>41054</v>
      </c>
      <c r="B6271">
        <v>343268.29</v>
      </c>
      <c r="C6271">
        <v>0</v>
      </c>
      <c r="D6271">
        <v>62.39</v>
      </c>
      <c r="E6271">
        <v>3.8010000000000002</v>
      </c>
      <c r="F6271">
        <v>131.02877419999999</v>
      </c>
      <c r="G6271">
        <v>5.6210000000000004</v>
      </c>
      <c r="N6271" s="8"/>
    </row>
    <row r="6272" spans="1:14" x14ac:dyDescent="0.25">
      <c r="A6272" s="8">
        <v>41061</v>
      </c>
      <c r="B6272">
        <v>323410.94</v>
      </c>
      <c r="C6272">
        <v>0</v>
      </c>
      <c r="D6272">
        <v>61.11</v>
      </c>
      <c r="E6272">
        <v>3.7879999999999998</v>
      </c>
      <c r="F6272">
        <v>130.95922580000001</v>
      </c>
      <c r="G6272">
        <v>5.6210000000000004</v>
      </c>
      <c r="N6272" s="8"/>
    </row>
    <row r="6273" spans="1:14" x14ac:dyDescent="0.25">
      <c r="A6273" s="8">
        <v>41068</v>
      </c>
      <c r="B6273">
        <v>340238.38</v>
      </c>
      <c r="C6273">
        <v>0</v>
      </c>
      <c r="D6273">
        <v>68.400000000000006</v>
      </c>
      <c r="E6273">
        <v>3.7759999999999998</v>
      </c>
      <c r="F6273">
        <v>130.88967740000001</v>
      </c>
      <c r="G6273">
        <v>5.6210000000000004</v>
      </c>
      <c r="N6273" s="8"/>
    </row>
    <row r="6274" spans="1:14" x14ac:dyDescent="0.25">
      <c r="A6274" s="8">
        <v>41075</v>
      </c>
      <c r="B6274">
        <v>338400.82</v>
      </c>
      <c r="C6274">
        <v>0</v>
      </c>
      <c r="D6274">
        <v>65.97</v>
      </c>
      <c r="E6274">
        <v>3.7559999999999998</v>
      </c>
      <c r="F6274">
        <v>130.82953330000001</v>
      </c>
      <c r="G6274">
        <v>5.6210000000000004</v>
      </c>
      <c r="N6274" s="8"/>
    </row>
    <row r="6275" spans="1:14" x14ac:dyDescent="0.25">
      <c r="A6275" s="8">
        <v>41082</v>
      </c>
      <c r="B6275">
        <v>336241</v>
      </c>
      <c r="C6275">
        <v>0</v>
      </c>
      <c r="D6275">
        <v>72.89</v>
      </c>
      <c r="E6275">
        <v>3.7370000000000001</v>
      </c>
      <c r="F6275">
        <v>130.7929</v>
      </c>
      <c r="G6275">
        <v>5.6210000000000004</v>
      </c>
      <c r="N6275" s="8"/>
    </row>
    <row r="6276" spans="1:14" x14ac:dyDescent="0.25">
      <c r="A6276" s="8">
        <v>41089</v>
      </c>
      <c r="B6276">
        <v>338386.08</v>
      </c>
      <c r="C6276">
        <v>0</v>
      </c>
      <c r="D6276">
        <v>82</v>
      </c>
      <c r="E6276">
        <v>3.681</v>
      </c>
      <c r="F6276">
        <v>130.7562667</v>
      </c>
      <c r="G6276">
        <v>5.6210000000000004</v>
      </c>
      <c r="N6276" s="8"/>
    </row>
    <row r="6277" spans="1:14" x14ac:dyDescent="0.25">
      <c r="A6277" s="8">
        <v>41096</v>
      </c>
      <c r="B6277">
        <v>358461.58</v>
      </c>
      <c r="C6277">
        <v>0</v>
      </c>
      <c r="D6277">
        <v>79.23</v>
      </c>
      <c r="E6277">
        <v>3.63</v>
      </c>
      <c r="F6277">
        <v>130.7196333</v>
      </c>
      <c r="G6277">
        <v>5.407</v>
      </c>
      <c r="N6277" s="8"/>
    </row>
    <row r="6278" spans="1:14" x14ac:dyDescent="0.25">
      <c r="A6278" s="8">
        <v>41103</v>
      </c>
      <c r="B6278">
        <v>336479.49</v>
      </c>
      <c r="C6278">
        <v>0</v>
      </c>
      <c r="D6278">
        <v>83.68</v>
      </c>
      <c r="E6278">
        <v>3.5950000000000002</v>
      </c>
      <c r="F6278">
        <v>130.68299999999999</v>
      </c>
      <c r="G6278">
        <v>5.407</v>
      </c>
      <c r="N6278" s="8"/>
    </row>
    <row r="6279" spans="1:14" x14ac:dyDescent="0.25">
      <c r="A6279" s="8">
        <v>41110</v>
      </c>
      <c r="B6279">
        <v>337819.16</v>
      </c>
      <c r="C6279">
        <v>0</v>
      </c>
      <c r="D6279">
        <v>75.69</v>
      </c>
      <c r="E6279">
        <v>3.556</v>
      </c>
      <c r="F6279">
        <v>130.70129030000001</v>
      </c>
      <c r="G6279">
        <v>5.407</v>
      </c>
      <c r="N6279" s="8"/>
    </row>
    <row r="6280" spans="1:14" x14ac:dyDescent="0.25">
      <c r="A6280" s="8">
        <v>41117</v>
      </c>
      <c r="B6280">
        <v>319855.26</v>
      </c>
      <c r="C6280">
        <v>0</v>
      </c>
      <c r="D6280">
        <v>80.42</v>
      </c>
      <c r="E6280">
        <v>3.5369999999999999</v>
      </c>
      <c r="F6280">
        <v>130.7195806</v>
      </c>
      <c r="G6280">
        <v>5.407</v>
      </c>
      <c r="N6280" s="8"/>
    </row>
    <row r="6281" spans="1:14" x14ac:dyDescent="0.25">
      <c r="A6281" s="8">
        <v>41124</v>
      </c>
      <c r="B6281">
        <v>342385.38</v>
      </c>
      <c r="C6281">
        <v>0</v>
      </c>
      <c r="D6281">
        <v>81.99</v>
      </c>
      <c r="E6281">
        <v>3.512</v>
      </c>
      <c r="F6281">
        <v>130.73787100000001</v>
      </c>
      <c r="G6281">
        <v>5.407</v>
      </c>
      <c r="N6281" s="8"/>
    </row>
    <row r="6282" spans="1:14" x14ac:dyDescent="0.25">
      <c r="A6282" s="8">
        <v>41131</v>
      </c>
      <c r="B6282">
        <v>333594.81</v>
      </c>
      <c r="C6282">
        <v>0</v>
      </c>
      <c r="D6282">
        <v>81.69</v>
      </c>
      <c r="E6282">
        <v>3.5089999999999999</v>
      </c>
      <c r="F6282">
        <v>130.7561613</v>
      </c>
      <c r="G6282">
        <v>5.407</v>
      </c>
      <c r="N6282" s="8"/>
    </row>
    <row r="6283" spans="1:14" x14ac:dyDescent="0.25">
      <c r="A6283" s="8">
        <v>41138</v>
      </c>
      <c r="B6283">
        <v>327389.51</v>
      </c>
      <c r="C6283">
        <v>0</v>
      </c>
      <c r="D6283">
        <v>79.400000000000006</v>
      </c>
      <c r="E6283">
        <v>3.5449999999999999</v>
      </c>
      <c r="F6283">
        <v>130.79096770000001</v>
      </c>
      <c r="G6283">
        <v>5.407</v>
      </c>
      <c r="N6283" s="8"/>
    </row>
    <row r="6284" spans="1:14" x14ac:dyDescent="0.25">
      <c r="A6284" s="8">
        <v>41145</v>
      </c>
      <c r="B6284">
        <v>337985.74</v>
      </c>
      <c r="C6284">
        <v>0</v>
      </c>
      <c r="D6284">
        <v>77.37</v>
      </c>
      <c r="E6284">
        <v>3.5819999999999999</v>
      </c>
      <c r="F6284">
        <v>130.8381613</v>
      </c>
      <c r="G6284">
        <v>5.407</v>
      </c>
      <c r="N6284" s="8"/>
    </row>
    <row r="6285" spans="1:14" x14ac:dyDescent="0.25">
      <c r="A6285" s="8">
        <v>41152</v>
      </c>
      <c r="B6285">
        <v>339490.69</v>
      </c>
      <c r="C6285">
        <v>0</v>
      </c>
      <c r="D6285">
        <v>79.180000000000007</v>
      </c>
      <c r="E6285">
        <v>3.6240000000000001</v>
      </c>
      <c r="F6285">
        <v>130.88535479999999</v>
      </c>
      <c r="G6285">
        <v>5.407</v>
      </c>
      <c r="N6285" s="8"/>
    </row>
    <row r="6286" spans="1:14" x14ac:dyDescent="0.25">
      <c r="A6286" s="8">
        <v>41159</v>
      </c>
      <c r="B6286">
        <v>338737.33</v>
      </c>
      <c r="C6286">
        <v>1</v>
      </c>
      <c r="D6286">
        <v>70.650000000000006</v>
      </c>
      <c r="E6286">
        <v>3.6890000000000001</v>
      </c>
      <c r="F6286">
        <v>130.9325484</v>
      </c>
      <c r="G6286">
        <v>5.407</v>
      </c>
      <c r="N6286" s="8"/>
    </row>
    <row r="6287" spans="1:14" x14ac:dyDescent="0.25">
      <c r="A6287" s="8">
        <v>41166</v>
      </c>
      <c r="B6287">
        <v>347726.67</v>
      </c>
      <c r="C6287">
        <v>0</v>
      </c>
      <c r="D6287">
        <v>68.55</v>
      </c>
      <c r="E6287">
        <v>3.7490000000000001</v>
      </c>
      <c r="F6287">
        <v>130.97766669999999</v>
      </c>
      <c r="G6287">
        <v>5.407</v>
      </c>
      <c r="N6287" s="8"/>
    </row>
    <row r="6288" spans="1:14" x14ac:dyDescent="0.25">
      <c r="A6288" s="8">
        <v>41173</v>
      </c>
      <c r="B6288">
        <v>336017.6</v>
      </c>
      <c r="C6288">
        <v>0</v>
      </c>
      <c r="D6288">
        <v>67.959999999999994</v>
      </c>
      <c r="E6288">
        <v>3.8210000000000002</v>
      </c>
      <c r="F6288">
        <v>131.01033330000001</v>
      </c>
      <c r="G6288">
        <v>5.407</v>
      </c>
      <c r="N6288" s="8"/>
    </row>
    <row r="6289" spans="1:14" x14ac:dyDescent="0.25">
      <c r="A6289" s="8">
        <v>41180</v>
      </c>
      <c r="B6289">
        <v>355307.94</v>
      </c>
      <c r="C6289">
        <v>0</v>
      </c>
      <c r="D6289">
        <v>64.8</v>
      </c>
      <c r="E6289">
        <v>3.8210000000000002</v>
      </c>
      <c r="F6289">
        <v>131.04300000000001</v>
      </c>
      <c r="G6289">
        <v>5.407</v>
      </c>
      <c r="N6289" s="8"/>
    </row>
    <row r="6290" spans="1:14" x14ac:dyDescent="0.25">
      <c r="A6290" s="8">
        <v>41187</v>
      </c>
      <c r="B6290">
        <v>337390.44</v>
      </c>
      <c r="C6290">
        <v>0</v>
      </c>
      <c r="D6290">
        <v>61.79</v>
      </c>
      <c r="E6290">
        <v>3.8149999999999999</v>
      </c>
      <c r="F6290">
        <v>131.0756667</v>
      </c>
      <c r="G6290">
        <v>5.2169999999999996</v>
      </c>
      <c r="N6290" s="8"/>
    </row>
    <row r="6291" spans="1:14" x14ac:dyDescent="0.25">
      <c r="A6291" s="8">
        <v>41194</v>
      </c>
      <c r="B6291">
        <v>337796.13</v>
      </c>
      <c r="C6291">
        <v>0</v>
      </c>
      <c r="D6291">
        <v>55.1</v>
      </c>
      <c r="E6291">
        <v>3.7970000000000002</v>
      </c>
      <c r="F6291">
        <v>131.1083333</v>
      </c>
      <c r="G6291">
        <v>5.2169999999999996</v>
      </c>
      <c r="N6291" s="8"/>
    </row>
    <row r="6292" spans="1:14" x14ac:dyDescent="0.25">
      <c r="A6292" s="8">
        <v>41201</v>
      </c>
      <c r="B6292">
        <v>323766.77</v>
      </c>
      <c r="C6292">
        <v>0</v>
      </c>
      <c r="D6292">
        <v>52.06</v>
      </c>
      <c r="E6292">
        <v>3.7810000000000001</v>
      </c>
      <c r="F6292">
        <v>131.14996769999999</v>
      </c>
      <c r="G6292">
        <v>5.2169999999999996</v>
      </c>
      <c r="N6292" s="8"/>
    </row>
    <row r="6293" spans="1:14" x14ac:dyDescent="0.25">
      <c r="A6293" s="8">
        <v>41208</v>
      </c>
      <c r="B6293">
        <v>361067.07</v>
      </c>
      <c r="C6293">
        <v>0</v>
      </c>
      <c r="D6293">
        <v>46.97</v>
      </c>
      <c r="E6293">
        <v>3.7549999999999999</v>
      </c>
      <c r="F6293">
        <v>131.19309680000001</v>
      </c>
      <c r="G6293">
        <v>5.2169999999999996</v>
      </c>
      <c r="N6293" s="8"/>
    </row>
    <row r="6294" spans="1:14" x14ac:dyDescent="0.25">
      <c r="A6294" s="8">
        <v>40214</v>
      </c>
      <c r="B6294">
        <v>890689.51</v>
      </c>
      <c r="C6294">
        <v>0</v>
      </c>
      <c r="D6294">
        <v>27.31</v>
      </c>
      <c r="E6294">
        <v>2.7839999999999998</v>
      </c>
      <c r="F6294">
        <v>181.8711898</v>
      </c>
      <c r="G6294">
        <v>8.9920000000000009</v>
      </c>
      <c r="N6294" s="8"/>
    </row>
    <row r="6295" spans="1:14" x14ac:dyDescent="0.25">
      <c r="A6295" s="8">
        <v>40221</v>
      </c>
      <c r="B6295">
        <v>656988.64</v>
      </c>
      <c r="C6295">
        <v>1</v>
      </c>
      <c r="D6295">
        <v>27.73</v>
      </c>
      <c r="E6295">
        <v>2.7730000000000001</v>
      </c>
      <c r="F6295">
        <v>181.98231699999999</v>
      </c>
      <c r="G6295">
        <v>8.9920000000000009</v>
      </c>
      <c r="N6295" s="8"/>
    </row>
    <row r="6296" spans="1:14" x14ac:dyDescent="0.25">
      <c r="A6296" s="8">
        <v>40228</v>
      </c>
      <c r="B6296">
        <v>841264.04</v>
      </c>
      <c r="C6296">
        <v>0</v>
      </c>
      <c r="D6296">
        <v>31.27</v>
      </c>
      <c r="E6296">
        <v>2.7450000000000001</v>
      </c>
      <c r="F6296">
        <v>182.0347816</v>
      </c>
      <c r="G6296">
        <v>8.9920000000000009</v>
      </c>
      <c r="N6296" s="8"/>
    </row>
    <row r="6297" spans="1:14" x14ac:dyDescent="0.25">
      <c r="A6297" s="8">
        <v>40235</v>
      </c>
      <c r="B6297">
        <v>741891.65</v>
      </c>
      <c r="C6297">
        <v>0</v>
      </c>
      <c r="D6297">
        <v>34.89</v>
      </c>
      <c r="E6297">
        <v>2.754</v>
      </c>
      <c r="F6297">
        <v>182.0774691</v>
      </c>
      <c r="G6297">
        <v>8.9920000000000009</v>
      </c>
      <c r="N6297" s="8"/>
    </row>
    <row r="6298" spans="1:14" x14ac:dyDescent="0.25">
      <c r="A6298" s="8">
        <v>40242</v>
      </c>
      <c r="B6298">
        <v>777951.22</v>
      </c>
      <c r="C6298">
        <v>0</v>
      </c>
      <c r="D6298">
        <v>37.130000000000003</v>
      </c>
      <c r="E6298">
        <v>2.7770000000000001</v>
      </c>
      <c r="F6298">
        <v>182.1201566</v>
      </c>
      <c r="G6298">
        <v>8.9920000000000009</v>
      </c>
      <c r="N6298" s="8"/>
    </row>
    <row r="6299" spans="1:14" x14ac:dyDescent="0.25">
      <c r="A6299" s="8">
        <v>40249</v>
      </c>
      <c r="B6299">
        <v>765687.42</v>
      </c>
      <c r="C6299">
        <v>0</v>
      </c>
      <c r="D6299">
        <v>45.8</v>
      </c>
      <c r="E6299">
        <v>2.8180000000000001</v>
      </c>
      <c r="F6299">
        <v>182.1628441</v>
      </c>
      <c r="G6299">
        <v>8.9920000000000009</v>
      </c>
      <c r="N6299" s="8"/>
    </row>
    <row r="6300" spans="1:14" x14ac:dyDescent="0.25">
      <c r="A6300" s="8">
        <v>40256</v>
      </c>
      <c r="B6300">
        <v>773819.49</v>
      </c>
      <c r="C6300">
        <v>0</v>
      </c>
      <c r="D6300">
        <v>48.79</v>
      </c>
      <c r="E6300">
        <v>2.8439999999999999</v>
      </c>
      <c r="F6300">
        <v>182.0779857</v>
      </c>
      <c r="G6300">
        <v>8.9920000000000009</v>
      </c>
      <c r="N6300" s="8"/>
    </row>
    <row r="6301" spans="1:14" x14ac:dyDescent="0.25">
      <c r="A6301" s="8">
        <v>40263</v>
      </c>
      <c r="B6301">
        <v>782563.38</v>
      </c>
      <c r="C6301">
        <v>0</v>
      </c>
      <c r="D6301">
        <v>54.36</v>
      </c>
      <c r="E6301">
        <v>2.8540000000000001</v>
      </c>
      <c r="F6301">
        <v>181.97186970000001</v>
      </c>
      <c r="G6301">
        <v>8.9920000000000009</v>
      </c>
      <c r="N6301" s="8"/>
    </row>
    <row r="6302" spans="1:14" x14ac:dyDescent="0.25">
      <c r="A6302" s="8">
        <v>40270</v>
      </c>
      <c r="B6302">
        <v>877235.96</v>
      </c>
      <c r="C6302">
        <v>0</v>
      </c>
      <c r="D6302">
        <v>47.74</v>
      </c>
      <c r="E6302">
        <v>2.85</v>
      </c>
      <c r="F6302">
        <v>181.8657537</v>
      </c>
      <c r="G6302">
        <v>8.8989999999999991</v>
      </c>
      <c r="N6302" s="8"/>
    </row>
    <row r="6303" spans="1:14" x14ac:dyDescent="0.25">
      <c r="A6303" s="8">
        <v>40277</v>
      </c>
      <c r="B6303">
        <v>833782.7</v>
      </c>
      <c r="C6303">
        <v>0</v>
      </c>
      <c r="D6303">
        <v>65.45</v>
      </c>
      <c r="E6303">
        <v>2.8690000000000002</v>
      </c>
      <c r="F6303">
        <v>181.75963770000001</v>
      </c>
      <c r="G6303">
        <v>8.8989999999999991</v>
      </c>
      <c r="N6303" s="8"/>
    </row>
    <row r="6304" spans="1:14" x14ac:dyDescent="0.25">
      <c r="A6304" s="8">
        <v>40284</v>
      </c>
      <c r="B6304">
        <v>782221.96</v>
      </c>
      <c r="C6304">
        <v>0</v>
      </c>
      <c r="D6304">
        <v>54.28</v>
      </c>
      <c r="E6304">
        <v>2.899</v>
      </c>
      <c r="F6304">
        <v>181.6924769</v>
      </c>
      <c r="G6304">
        <v>8.8989999999999991</v>
      </c>
      <c r="N6304" s="8"/>
    </row>
    <row r="6305" spans="1:14" x14ac:dyDescent="0.25">
      <c r="A6305" s="8">
        <v>40291</v>
      </c>
      <c r="B6305">
        <v>749779.1</v>
      </c>
      <c r="C6305">
        <v>0</v>
      </c>
      <c r="D6305">
        <v>53.47</v>
      </c>
      <c r="E6305">
        <v>2.9020000000000001</v>
      </c>
      <c r="F6305">
        <v>181.6772564</v>
      </c>
      <c r="G6305">
        <v>8.8989999999999991</v>
      </c>
      <c r="N6305" s="8"/>
    </row>
    <row r="6306" spans="1:14" x14ac:dyDescent="0.25">
      <c r="A6306" s="8">
        <v>40298</v>
      </c>
      <c r="B6306">
        <v>737265.57</v>
      </c>
      <c r="C6306">
        <v>0</v>
      </c>
      <c r="D6306">
        <v>53.15</v>
      </c>
      <c r="E6306">
        <v>2.9209999999999998</v>
      </c>
      <c r="F6306">
        <v>181.66203590000001</v>
      </c>
      <c r="G6306">
        <v>8.8989999999999991</v>
      </c>
      <c r="N6306" s="8"/>
    </row>
    <row r="6307" spans="1:14" x14ac:dyDescent="0.25">
      <c r="A6307" s="8">
        <v>40305</v>
      </c>
      <c r="B6307">
        <v>812190.76</v>
      </c>
      <c r="C6307">
        <v>0</v>
      </c>
      <c r="D6307">
        <v>70.75</v>
      </c>
      <c r="E6307">
        <v>2.9660000000000002</v>
      </c>
      <c r="F6307">
        <v>181.64681540000001</v>
      </c>
      <c r="G6307">
        <v>8.8989999999999991</v>
      </c>
      <c r="N6307" s="8"/>
    </row>
    <row r="6308" spans="1:14" x14ac:dyDescent="0.25">
      <c r="A6308" s="8">
        <v>40312</v>
      </c>
      <c r="B6308">
        <v>758182.2</v>
      </c>
      <c r="C6308">
        <v>0</v>
      </c>
      <c r="D6308">
        <v>54.26</v>
      </c>
      <c r="E6308">
        <v>2.9820000000000002</v>
      </c>
      <c r="F6308">
        <v>181.6612792</v>
      </c>
      <c r="G6308">
        <v>8.8989999999999991</v>
      </c>
      <c r="N6308" s="8"/>
    </row>
    <row r="6309" spans="1:14" x14ac:dyDescent="0.25">
      <c r="A6309" s="8">
        <v>40319</v>
      </c>
      <c r="B6309">
        <v>747888.25</v>
      </c>
      <c r="C6309">
        <v>0</v>
      </c>
      <c r="D6309">
        <v>62.62</v>
      </c>
      <c r="E6309">
        <v>2.9580000000000002</v>
      </c>
      <c r="F6309">
        <v>181.85384859999999</v>
      </c>
      <c r="G6309">
        <v>8.8989999999999991</v>
      </c>
      <c r="N6309" s="8"/>
    </row>
    <row r="6310" spans="1:14" x14ac:dyDescent="0.25">
      <c r="A6310" s="8">
        <v>40326</v>
      </c>
      <c r="B6310">
        <v>801098.43</v>
      </c>
      <c r="C6310">
        <v>0</v>
      </c>
      <c r="D6310">
        <v>69.27</v>
      </c>
      <c r="E6310">
        <v>2.899</v>
      </c>
      <c r="F6310">
        <v>182.04641810000001</v>
      </c>
      <c r="G6310">
        <v>8.8989999999999991</v>
      </c>
      <c r="N6310" s="8"/>
    </row>
    <row r="6311" spans="1:14" x14ac:dyDescent="0.25">
      <c r="A6311" s="8">
        <v>40333</v>
      </c>
      <c r="B6311">
        <v>837548.62</v>
      </c>
      <c r="C6311">
        <v>0</v>
      </c>
      <c r="D6311">
        <v>75.930000000000007</v>
      </c>
      <c r="E6311">
        <v>2.847</v>
      </c>
      <c r="F6311">
        <v>182.2389876</v>
      </c>
      <c r="G6311">
        <v>8.8989999999999991</v>
      </c>
      <c r="N6311" s="8"/>
    </row>
    <row r="6312" spans="1:14" x14ac:dyDescent="0.25">
      <c r="A6312" s="8">
        <v>40340</v>
      </c>
      <c r="B6312">
        <v>794698.77</v>
      </c>
      <c r="C6312">
        <v>0</v>
      </c>
      <c r="D6312">
        <v>69.709999999999994</v>
      </c>
      <c r="E6312">
        <v>2.8090000000000002</v>
      </c>
      <c r="F6312">
        <v>182.43155709999999</v>
      </c>
      <c r="G6312">
        <v>8.8989999999999991</v>
      </c>
      <c r="N6312" s="8"/>
    </row>
    <row r="6313" spans="1:14" x14ac:dyDescent="0.25">
      <c r="A6313" s="8">
        <v>40347</v>
      </c>
      <c r="B6313">
        <v>815130.5</v>
      </c>
      <c r="C6313">
        <v>0</v>
      </c>
      <c r="D6313">
        <v>72.62</v>
      </c>
      <c r="E6313">
        <v>2.78</v>
      </c>
      <c r="F6313">
        <v>182.4424199</v>
      </c>
      <c r="G6313">
        <v>8.8989999999999991</v>
      </c>
      <c r="N6313" s="8"/>
    </row>
    <row r="6314" spans="1:14" x14ac:dyDescent="0.25">
      <c r="A6314" s="8">
        <v>40354</v>
      </c>
      <c r="B6314">
        <v>792299.15</v>
      </c>
      <c r="C6314">
        <v>0</v>
      </c>
      <c r="D6314">
        <v>79.319999999999993</v>
      </c>
      <c r="E6314">
        <v>2.8079999999999998</v>
      </c>
      <c r="F6314">
        <v>182.38059999999999</v>
      </c>
      <c r="G6314">
        <v>8.8989999999999991</v>
      </c>
      <c r="N6314" s="8"/>
    </row>
    <row r="6315" spans="1:14" x14ac:dyDescent="0.25">
      <c r="A6315" s="8">
        <v>40361</v>
      </c>
      <c r="B6315">
        <v>800147.84</v>
      </c>
      <c r="C6315">
        <v>0</v>
      </c>
      <c r="D6315">
        <v>76.61</v>
      </c>
      <c r="E6315">
        <v>2.8149999999999999</v>
      </c>
      <c r="F6315">
        <v>182.3187801</v>
      </c>
      <c r="G6315">
        <v>8.7430000000000003</v>
      </c>
      <c r="N6315" s="8"/>
    </row>
    <row r="6316" spans="1:14" x14ac:dyDescent="0.25">
      <c r="A6316" s="8">
        <v>40368</v>
      </c>
      <c r="B6316">
        <v>787062</v>
      </c>
      <c r="C6316">
        <v>0</v>
      </c>
      <c r="D6316">
        <v>82.45</v>
      </c>
      <c r="E6316">
        <v>2.7930000000000001</v>
      </c>
      <c r="F6316">
        <v>182.2569603</v>
      </c>
      <c r="G6316">
        <v>8.7430000000000003</v>
      </c>
      <c r="N6316" s="8"/>
    </row>
    <row r="6317" spans="1:14" x14ac:dyDescent="0.25">
      <c r="A6317" s="8">
        <v>40375</v>
      </c>
      <c r="B6317">
        <v>723708.99</v>
      </c>
      <c r="C6317">
        <v>0</v>
      </c>
      <c r="D6317">
        <v>77.84</v>
      </c>
      <c r="E6317">
        <v>2.7829999999999999</v>
      </c>
      <c r="F6317">
        <v>182.26044110000001</v>
      </c>
      <c r="G6317">
        <v>8.7430000000000003</v>
      </c>
      <c r="N6317" s="8"/>
    </row>
    <row r="6318" spans="1:14" x14ac:dyDescent="0.25">
      <c r="A6318" s="8">
        <v>40382</v>
      </c>
      <c r="B6318">
        <v>714601.11</v>
      </c>
      <c r="C6318">
        <v>0</v>
      </c>
      <c r="D6318">
        <v>81.459999999999994</v>
      </c>
      <c r="E6318">
        <v>2.7709999999999999</v>
      </c>
      <c r="F6318">
        <v>182.3509895</v>
      </c>
      <c r="G6318">
        <v>8.7430000000000003</v>
      </c>
      <c r="N6318" s="8"/>
    </row>
    <row r="6319" spans="1:14" x14ac:dyDescent="0.25">
      <c r="A6319" s="8">
        <v>40389</v>
      </c>
      <c r="B6319">
        <v>716859.27</v>
      </c>
      <c r="C6319">
        <v>0</v>
      </c>
      <c r="D6319">
        <v>79.78</v>
      </c>
      <c r="E6319">
        <v>2.7810000000000001</v>
      </c>
      <c r="F6319">
        <v>182.44153779999999</v>
      </c>
      <c r="G6319">
        <v>8.7430000000000003</v>
      </c>
      <c r="N6319" s="8"/>
    </row>
    <row r="6320" spans="1:14" x14ac:dyDescent="0.25">
      <c r="A6320" s="8">
        <v>40396</v>
      </c>
      <c r="B6320">
        <v>746517.32</v>
      </c>
      <c r="C6320">
        <v>0</v>
      </c>
      <c r="D6320">
        <v>77.17</v>
      </c>
      <c r="E6320">
        <v>2.7839999999999998</v>
      </c>
      <c r="F6320">
        <v>182.53208620000001</v>
      </c>
      <c r="G6320">
        <v>8.7430000000000003</v>
      </c>
      <c r="N6320" s="8"/>
    </row>
    <row r="6321" spans="1:14" x14ac:dyDescent="0.25">
      <c r="A6321" s="8">
        <v>40403</v>
      </c>
      <c r="B6321">
        <v>722262.21</v>
      </c>
      <c r="C6321">
        <v>0</v>
      </c>
      <c r="D6321">
        <v>78.44</v>
      </c>
      <c r="E6321">
        <v>2.8050000000000002</v>
      </c>
      <c r="F6321">
        <v>182.6226346</v>
      </c>
      <c r="G6321">
        <v>8.7430000000000003</v>
      </c>
      <c r="N6321" s="8"/>
    </row>
    <row r="6322" spans="1:14" x14ac:dyDescent="0.25">
      <c r="A6322" s="8">
        <v>40410</v>
      </c>
      <c r="B6322">
        <v>708568.29</v>
      </c>
      <c r="C6322">
        <v>0</v>
      </c>
      <c r="D6322">
        <v>76.010000000000005</v>
      </c>
      <c r="E6322">
        <v>2.7789999999999999</v>
      </c>
      <c r="F6322">
        <v>182.61652050000001</v>
      </c>
      <c r="G6322">
        <v>8.7430000000000003</v>
      </c>
      <c r="N6322" s="8"/>
    </row>
    <row r="6323" spans="1:14" x14ac:dyDescent="0.25">
      <c r="A6323" s="8">
        <v>40417</v>
      </c>
      <c r="B6323">
        <v>721744.33</v>
      </c>
      <c r="C6323">
        <v>0</v>
      </c>
      <c r="D6323">
        <v>71.36</v>
      </c>
      <c r="E6323">
        <v>2.7549999999999999</v>
      </c>
      <c r="F6323">
        <v>182.61040629999999</v>
      </c>
      <c r="G6323">
        <v>8.7430000000000003</v>
      </c>
      <c r="N6323" s="8"/>
    </row>
    <row r="6324" spans="1:14" x14ac:dyDescent="0.25">
      <c r="A6324" s="8">
        <v>40424</v>
      </c>
      <c r="B6324">
        <v>790144.7</v>
      </c>
      <c r="C6324">
        <v>0</v>
      </c>
      <c r="D6324">
        <v>78.37</v>
      </c>
      <c r="E6324">
        <v>2.7149999999999999</v>
      </c>
      <c r="F6324">
        <v>182.6042922</v>
      </c>
      <c r="G6324">
        <v>8.7430000000000003</v>
      </c>
      <c r="N6324" s="8"/>
    </row>
    <row r="6325" spans="1:14" x14ac:dyDescent="0.25">
      <c r="A6325" s="8">
        <v>40431</v>
      </c>
      <c r="B6325">
        <v>721460.22</v>
      </c>
      <c r="C6325">
        <v>1</v>
      </c>
      <c r="D6325">
        <v>70.87</v>
      </c>
      <c r="E6325">
        <v>2.6989999999999998</v>
      </c>
      <c r="F6325">
        <v>182.59817799999999</v>
      </c>
      <c r="G6325">
        <v>8.7430000000000003</v>
      </c>
      <c r="N6325" s="8"/>
    </row>
    <row r="6326" spans="1:14" x14ac:dyDescent="0.25">
      <c r="A6326" s="8">
        <v>40438</v>
      </c>
      <c r="B6326">
        <v>716987.58</v>
      </c>
      <c r="C6326">
        <v>0</v>
      </c>
      <c r="D6326">
        <v>66.55</v>
      </c>
      <c r="E6326">
        <v>2.706</v>
      </c>
      <c r="F6326">
        <v>182.62250900000001</v>
      </c>
      <c r="G6326">
        <v>8.7430000000000003</v>
      </c>
      <c r="N6326" s="8"/>
    </row>
    <row r="6327" spans="1:14" x14ac:dyDescent="0.25">
      <c r="A6327" s="8">
        <v>40445</v>
      </c>
      <c r="B6327">
        <v>678228.58</v>
      </c>
      <c r="C6327">
        <v>0</v>
      </c>
      <c r="D6327">
        <v>68.59</v>
      </c>
      <c r="E6327">
        <v>2.7130000000000001</v>
      </c>
      <c r="F6327">
        <v>182.6696737</v>
      </c>
      <c r="G6327">
        <v>8.7430000000000003</v>
      </c>
      <c r="N6327" s="8"/>
    </row>
    <row r="6328" spans="1:14" x14ac:dyDescent="0.25">
      <c r="A6328" s="8">
        <v>40452</v>
      </c>
      <c r="B6328">
        <v>690007.76</v>
      </c>
      <c r="C6328">
        <v>0</v>
      </c>
      <c r="D6328">
        <v>70.58</v>
      </c>
      <c r="E6328">
        <v>2.7069999999999999</v>
      </c>
      <c r="F6328">
        <v>182.71683849999999</v>
      </c>
      <c r="G6328">
        <v>8.7240000000000002</v>
      </c>
      <c r="N6328" s="8"/>
    </row>
    <row r="6329" spans="1:14" x14ac:dyDescent="0.25">
      <c r="A6329" s="8">
        <v>40459</v>
      </c>
      <c r="B6329">
        <v>745782.1</v>
      </c>
      <c r="C6329">
        <v>0</v>
      </c>
      <c r="D6329">
        <v>56.49</v>
      </c>
      <c r="E6329">
        <v>2.7639999999999998</v>
      </c>
      <c r="F6329">
        <v>182.76400319999999</v>
      </c>
      <c r="G6329">
        <v>8.7240000000000002</v>
      </c>
      <c r="N6329" s="8"/>
    </row>
    <row r="6330" spans="1:14" x14ac:dyDescent="0.25">
      <c r="A6330" s="8">
        <v>40466</v>
      </c>
      <c r="B6330">
        <v>715263.3</v>
      </c>
      <c r="C6330">
        <v>0</v>
      </c>
      <c r="D6330">
        <v>58.61</v>
      </c>
      <c r="E6330">
        <v>2.8679999999999999</v>
      </c>
      <c r="F6330">
        <v>182.81062030000001</v>
      </c>
      <c r="G6330">
        <v>8.7240000000000002</v>
      </c>
      <c r="N6330" s="8"/>
    </row>
    <row r="6331" spans="1:14" x14ac:dyDescent="0.25">
      <c r="A6331" s="8">
        <v>40473</v>
      </c>
      <c r="B6331">
        <v>730899.37</v>
      </c>
      <c r="C6331">
        <v>0</v>
      </c>
      <c r="D6331">
        <v>53.15</v>
      </c>
      <c r="E6331">
        <v>2.9169999999999998</v>
      </c>
      <c r="F6331">
        <v>182.85586850000001</v>
      </c>
      <c r="G6331">
        <v>8.7240000000000002</v>
      </c>
      <c r="N6331" s="8"/>
    </row>
    <row r="6332" spans="1:14" x14ac:dyDescent="0.25">
      <c r="A6332" s="8">
        <v>40480</v>
      </c>
      <c r="B6332">
        <v>732859.76</v>
      </c>
      <c r="C6332">
        <v>0</v>
      </c>
      <c r="D6332">
        <v>61.3</v>
      </c>
      <c r="E6332">
        <v>2.9209999999999998</v>
      </c>
      <c r="F6332">
        <v>182.90111659999999</v>
      </c>
      <c r="G6332">
        <v>8.7240000000000002</v>
      </c>
      <c r="N6332" s="8"/>
    </row>
    <row r="6333" spans="1:14" x14ac:dyDescent="0.25">
      <c r="A6333" s="8">
        <v>40487</v>
      </c>
      <c r="B6333">
        <v>764014.06</v>
      </c>
      <c r="C6333">
        <v>0</v>
      </c>
      <c r="D6333">
        <v>45.65</v>
      </c>
      <c r="E6333">
        <v>2.9169999999999998</v>
      </c>
      <c r="F6333">
        <v>182.9463648</v>
      </c>
      <c r="G6333">
        <v>8.7240000000000002</v>
      </c>
      <c r="N6333" s="8"/>
    </row>
    <row r="6334" spans="1:14" x14ac:dyDescent="0.25">
      <c r="A6334" s="8">
        <v>40494</v>
      </c>
      <c r="B6334">
        <v>765648.93</v>
      </c>
      <c r="C6334">
        <v>0</v>
      </c>
      <c r="D6334">
        <v>46.14</v>
      </c>
      <c r="E6334">
        <v>2.931</v>
      </c>
      <c r="F6334">
        <v>182.99161290000001</v>
      </c>
      <c r="G6334">
        <v>8.7240000000000002</v>
      </c>
      <c r="N6334" s="8"/>
    </row>
    <row r="6335" spans="1:14" x14ac:dyDescent="0.25">
      <c r="A6335" s="8">
        <v>40501</v>
      </c>
      <c r="B6335">
        <v>723987.85</v>
      </c>
      <c r="C6335">
        <v>0</v>
      </c>
      <c r="D6335">
        <v>50.02</v>
      </c>
      <c r="E6335">
        <v>3</v>
      </c>
      <c r="F6335">
        <v>182.89893850000001</v>
      </c>
      <c r="G6335">
        <v>8.7240000000000002</v>
      </c>
      <c r="N6335" s="8"/>
    </row>
    <row r="6336" spans="1:14" x14ac:dyDescent="0.25">
      <c r="A6336" s="8">
        <v>40508</v>
      </c>
      <c r="B6336">
        <v>1182500.1599999999</v>
      </c>
      <c r="C6336">
        <v>1</v>
      </c>
      <c r="D6336">
        <v>46.15</v>
      </c>
      <c r="E6336">
        <v>3.0390000000000001</v>
      </c>
      <c r="F6336">
        <v>182.7832769</v>
      </c>
      <c r="G6336">
        <v>8.7240000000000002</v>
      </c>
      <c r="N6336" s="8"/>
    </row>
    <row r="6337" spans="1:14" x14ac:dyDescent="0.25">
      <c r="A6337" s="8">
        <v>40515</v>
      </c>
      <c r="B6337">
        <v>879244.9</v>
      </c>
      <c r="C6337">
        <v>0</v>
      </c>
      <c r="D6337">
        <v>40.93</v>
      </c>
      <c r="E6337">
        <v>3.0459999999999998</v>
      </c>
      <c r="F6337">
        <v>182.66761539999999</v>
      </c>
      <c r="G6337">
        <v>8.7240000000000002</v>
      </c>
      <c r="N6337" s="8"/>
    </row>
    <row r="6338" spans="1:14" x14ac:dyDescent="0.25">
      <c r="A6338" s="8">
        <v>40522</v>
      </c>
      <c r="B6338">
        <v>1002364.34</v>
      </c>
      <c r="C6338">
        <v>0</v>
      </c>
      <c r="D6338">
        <v>30.54</v>
      </c>
      <c r="E6338">
        <v>3.109</v>
      </c>
      <c r="F6338">
        <v>182.55195380000001</v>
      </c>
      <c r="G6338">
        <v>8.7240000000000002</v>
      </c>
      <c r="N6338" s="8"/>
    </row>
    <row r="6339" spans="1:14" x14ac:dyDescent="0.25">
      <c r="A6339" s="8">
        <v>40529</v>
      </c>
      <c r="B6339">
        <v>1123282.8500000001</v>
      </c>
      <c r="C6339">
        <v>0</v>
      </c>
      <c r="D6339">
        <v>30.51</v>
      </c>
      <c r="E6339">
        <v>3.14</v>
      </c>
      <c r="F6339">
        <v>182.517732</v>
      </c>
      <c r="G6339">
        <v>8.7240000000000002</v>
      </c>
      <c r="N6339" s="8"/>
    </row>
    <row r="6340" spans="1:14" x14ac:dyDescent="0.25">
      <c r="A6340" s="8">
        <v>40536</v>
      </c>
      <c r="B6340">
        <v>1682862.03</v>
      </c>
      <c r="C6340">
        <v>0</v>
      </c>
      <c r="D6340">
        <v>30.59</v>
      </c>
      <c r="E6340">
        <v>3.141</v>
      </c>
      <c r="F6340">
        <v>182.54459</v>
      </c>
      <c r="G6340">
        <v>8.7240000000000002</v>
      </c>
      <c r="N6340" s="8"/>
    </row>
    <row r="6341" spans="1:14" x14ac:dyDescent="0.25">
      <c r="A6341" s="8">
        <v>40543</v>
      </c>
      <c r="B6341">
        <v>679156.2</v>
      </c>
      <c r="C6341">
        <v>1</v>
      </c>
      <c r="D6341">
        <v>29.67</v>
      </c>
      <c r="E6341">
        <v>3.1789999999999998</v>
      </c>
      <c r="F6341">
        <v>182.57144790000001</v>
      </c>
      <c r="G6341">
        <v>8.7240000000000002</v>
      </c>
      <c r="N6341" s="8"/>
    </row>
    <row r="6342" spans="1:14" x14ac:dyDescent="0.25">
      <c r="A6342" s="8">
        <v>40550</v>
      </c>
      <c r="B6342">
        <v>680254.35</v>
      </c>
      <c r="C6342">
        <v>0</v>
      </c>
      <c r="D6342">
        <v>34.32</v>
      </c>
      <c r="E6342">
        <v>3.1930000000000001</v>
      </c>
      <c r="F6342">
        <v>182.59830579999999</v>
      </c>
      <c r="G6342">
        <v>8.5489999999999995</v>
      </c>
      <c r="N6342" s="8"/>
    </row>
    <row r="6343" spans="1:14" x14ac:dyDescent="0.25">
      <c r="A6343" s="8">
        <v>40557</v>
      </c>
      <c r="B6343">
        <v>654018.94999999995</v>
      </c>
      <c r="C6343">
        <v>0</v>
      </c>
      <c r="D6343">
        <v>24.78</v>
      </c>
      <c r="E6343">
        <v>3.2050000000000001</v>
      </c>
      <c r="F6343">
        <v>182.65857819999999</v>
      </c>
      <c r="G6343">
        <v>8.5489999999999995</v>
      </c>
      <c r="N6343" s="8"/>
    </row>
    <row r="6344" spans="1:14" x14ac:dyDescent="0.25">
      <c r="A6344" s="8">
        <v>40564</v>
      </c>
      <c r="B6344">
        <v>644285.32999999996</v>
      </c>
      <c r="C6344">
        <v>0</v>
      </c>
      <c r="D6344">
        <v>30.55</v>
      </c>
      <c r="E6344">
        <v>3.2290000000000001</v>
      </c>
      <c r="F6344">
        <v>182.9193368</v>
      </c>
      <c r="G6344">
        <v>8.5489999999999995</v>
      </c>
      <c r="N6344" s="8"/>
    </row>
    <row r="6345" spans="1:14" x14ac:dyDescent="0.25">
      <c r="A6345" s="8">
        <v>40571</v>
      </c>
      <c r="B6345">
        <v>617207.57999999996</v>
      </c>
      <c r="C6345">
        <v>0</v>
      </c>
      <c r="D6345">
        <v>24.05</v>
      </c>
      <c r="E6345">
        <v>3.2370000000000001</v>
      </c>
      <c r="F6345">
        <v>183.18009549999999</v>
      </c>
      <c r="G6345">
        <v>8.5489999999999995</v>
      </c>
      <c r="N6345" s="8"/>
    </row>
    <row r="6346" spans="1:14" x14ac:dyDescent="0.25">
      <c r="A6346" s="8">
        <v>40578</v>
      </c>
      <c r="B6346">
        <v>759442.33</v>
      </c>
      <c r="C6346">
        <v>0</v>
      </c>
      <c r="D6346">
        <v>28.73</v>
      </c>
      <c r="E6346">
        <v>3.2309999999999999</v>
      </c>
      <c r="F6346">
        <v>183.44085419999999</v>
      </c>
      <c r="G6346">
        <v>8.5489999999999995</v>
      </c>
      <c r="N6346" s="8"/>
    </row>
    <row r="6347" spans="1:14" x14ac:dyDescent="0.25">
      <c r="A6347" s="8">
        <v>40585</v>
      </c>
      <c r="B6347">
        <v>766456</v>
      </c>
      <c r="C6347">
        <v>1</v>
      </c>
      <c r="D6347">
        <v>30.3</v>
      </c>
      <c r="E6347">
        <v>3.2389999999999999</v>
      </c>
      <c r="F6347">
        <v>183.70161289999999</v>
      </c>
      <c r="G6347">
        <v>8.5489999999999995</v>
      </c>
      <c r="N6347" s="8"/>
    </row>
    <row r="6348" spans="1:14" x14ac:dyDescent="0.25">
      <c r="A6348" s="8">
        <v>40592</v>
      </c>
      <c r="B6348">
        <v>802253.41</v>
      </c>
      <c r="C6348">
        <v>0</v>
      </c>
      <c r="D6348">
        <v>40.700000000000003</v>
      </c>
      <c r="E6348">
        <v>3.2450000000000001</v>
      </c>
      <c r="F6348">
        <v>183.93713529999999</v>
      </c>
      <c r="G6348">
        <v>8.5489999999999995</v>
      </c>
      <c r="N6348" s="8"/>
    </row>
    <row r="6349" spans="1:14" x14ac:dyDescent="0.25">
      <c r="A6349" s="8">
        <v>40599</v>
      </c>
      <c r="B6349">
        <v>733716.78</v>
      </c>
      <c r="C6349">
        <v>0</v>
      </c>
      <c r="D6349">
        <v>35.78</v>
      </c>
      <c r="E6349">
        <v>3.274</v>
      </c>
      <c r="F6349">
        <v>184.16256319999999</v>
      </c>
      <c r="G6349">
        <v>8.5489999999999995</v>
      </c>
      <c r="N6349" s="8"/>
    </row>
    <row r="6350" spans="1:14" x14ac:dyDescent="0.25">
      <c r="A6350" s="8">
        <v>40606</v>
      </c>
      <c r="B6350">
        <v>761880.36</v>
      </c>
      <c r="C6350">
        <v>0</v>
      </c>
      <c r="D6350">
        <v>38.65</v>
      </c>
      <c r="E6350">
        <v>3.4329999999999998</v>
      </c>
      <c r="F6350">
        <v>184.38799109999999</v>
      </c>
      <c r="G6350">
        <v>8.5489999999999995</v>
      </c>
      <c r="N6350" s="8"/>
    </row>
    <row r="6351" spans="1:14" x14ac:dyDescent="0.25">
      <c r="A6351" s="8">
        <v>40613</v>
      </c>
      <c r="B6351">
        <v>714014.73</v>
      </c>
      <c r="C6351">
        <v>0</v>
      </c>
      <c r="D6351">
        <v>45.01</v>
      </c>
      <c r="E6351">
        <v>3.5819999999999999</v>
      </c>
      <c r="F6351">
        <v>184.61341899999999</v>
      </c>
      <c r="G6351">
        <v>8.5489999999999995</v>
      </c>
      <c r="N6351" s="8"/>
    </row>
    <row r="6352" spans="1:14" x14ac:dyDescent="0.25">
      <c r="A6352" s="8">
        <v>40620</v>
      </c>
      <c r="B6352">
        <v>733564.77</v>
      </c>
      <c r="C6352">
        <v>0</v>
      </c>
      <c r="D6352">
        <v>46.66</v>
      </c>
      <c r="E6352">
        <v>3.6309999999999998</v>
      </c>
      <c r="F6352">
        <v>184.809719</v>
      </c>
      <c r="G6352">
        <v>8.5489999999999995</v>
      </c>
      <c r="N6352" s="8"/>
    </row>
    <row r="6353" spans="1:14" x14ac:dyDescent="0.25">
      <c r="A6353" s="8">
        <v>40627</v>
      </c>
      <c r="B6353">
        <v>719737.25</v>
      </c>
      <c r="C6353">
        <v>0</v>
      </c>
      <c r="D6353">
        <v>41.76</v>
      </c>
      <c r="E6353">
        <v>3.625</v>
      </c>
      <c r="F6353">
        <v>184.99436789999999</v>
      </c>
      <c r="G6353">
        <v>8.5489999999999995</v>
      </c>
      <c r="N6353" s="8"/>
    </row>
    <row r="6354" spans="1:14" x14ac:dyDescent="0.25">
      <c r="A6354" s="8">
        <v>40634</v>
      </c>
      <c r="B6354">
        <v>712425.76</v>
      </c>
      <c r="C6354">
        <v>0</v>
      </c>
      <c r="D6354">
        <v>37.270000000000003</v>
      </c>
      <c r="E6354">
        <v>3.6379999999999999</v>
      </c>
      <c r="F6354">
        <v>185.17901670000001</v>
      </c>
      <c r="G6354">
        <v>8.5210000000000008</v>
      </c>
      <c r="N6354" s="8"/>
    </row>
    <row r="6355" spans="1:14" x14ac:dyDescent="0.25">
      <c r="A6355" s="8">
        <v>40641</v>
      </c>
      <c r="B6355">
        <v>750182.71</v>
      </c>
      <c r="C6355">
        <v>0</v>
      </c>
      <c r="D6355">
        <v>48.71</v>
      </c>
      <c r="E6355">
        <v>3.72</v>
      </c>
      <c r="F6355">
        <v>185.36366559999999</v>
      </c>
      <c r="G6355">
        <v>8.5210000000000008</v>
      </c>
      <c r="N6355" s="8"/>
    </row>
    <row r="6356" spans="1:14" x14ac:dyDescent="0.25">
      <c r="A6356" s="8">
        <v>40648</v>
      </c>
      <c r="B6356">
        <v>765270.02</v>
      </c>
      <c r="C6356">
        <v>0</v>
      </c>
      <c r="D6356">
        <v>53.69</v>
      </c>
      <c r="E6356">
        <v>3.8210000000000002</v>
      </c>
      <c r="F6356">
        <v>185.5339821</v>
      </c>
      <c r="G6356">
        <v>8.5210000000000008</v>
      </c>
      <c r="N6356" s="8"/>
    </row>
    <row r="6357" spans="1:14" x14ac:dyDescent="0.25">
      <c r="A6357" s="8">
        <v>40655</v>
      </c>
      <c r="B6357">
        <v>813630.44</v>
      </c>
      <c r="C6357">
        <v>0</v>
      </c>
      <c r="D6357">
        <v>53.04</v>
      </c>
      <c r="E6357">
        <v>3.8919999999999999</v>
      </c>
      <c r="F6357">
        <v>185.6684673</v>
      </c>
      <c r="G6357">
        <v>8.5210000000000008</v>
      </c>
      <c r="N6357" s="8"/>
    </row>
    <row r="6358" spans="1:14" x14ac:dyDescent="0.25">
      <c r="A6358" s="8">
        <v>40662</v>
      </c>
      <c r="B6358">
        <v>786561.61</v>
      </c>
      <c r="C6358">
        <v>0</v>
      </c>
      <c r="D6358">
        <v>66.180000000000007</v>
      </c>
      <c r="E6358">
        <v>3.9620000000000002</v>
      </c>
      <c r="F6358">
        <v>185.8029526</v>
      </c>
      <c r="G6358">
        <v>8.5210000000000008</v>
      </c>
      <c r="N6358" s="8"/>
    </row>
    <row r="6359" spans="1:14" x14ac:dyDescent="0.25">
      <c r="A6359" s="8">
        <v>40669</v>
      </c>
      <c r="B6359">
        <v>810150.64</v>
      </c>
      <c r="C6359">
        <v>0</v>
      </c>
      <c r="D6359">
        <v>58.21</v>
      </c>
      <c r="E6359">
        <v>4.0460000000000003</v>
      </c>
      <c r="F6359">
        <v>185.9374378</v>
      </c>
      <c r="G6359">
        <v>8.5210000000000008</v>
      </c>
      <c r="N6359" s="8"/>
    </row>
    <row r="6360" spans="1:14" x14ac:dyDescent="0.25">
      <c r="A6360" s="8">
        <v>40676</v>
      </c>
      <c r="B6360">
        <v>793889.1</v>
      </c>
      <c r="C6360">
        <v>0</v>
      </c>
      <c r="D6360">
        <v>60.38</v>
      </c>
      <c r="E6360">
        <v>4.0659999999999998</v>
      </c>
      <c r="F6360">
        <v>186.07192309999999</v>
      </c>
      <c r="G6360">
        <v>8.5210000000000008</v>
      </c>
      <c r="N6360" s="8"/>
    </row>
    <row r="6361" spans="1:14" x14ac:dyDescent="0.25">
      <c r="A6361" s="8">
        <v>40683</v>
      </c>
      <c r="B6361">
        <v>727163.67</v>
      </c>
      <c r="C6361">
        <v>0</v>
      </c>
      <c r="D6361">
        <v>62.28</v>
      </c>
      <c r="E6361">
        <v>4.0620000000000003</v>
      </c>
      <c r="F6361">
        <v>185.96611540000001</v>
      </c>
      <c r="G6361">
        <v>8.5210000000000008</v>
      </c>
      <c r="N6361" s="8"/>
    </row>
    <row r="6362" spans="1:14" x14ac:dyDescent="0.25">
      <c r="A6362" s="8">
        <v>40690</v>
      </c>
      <c r="B6362">
        <v>817653.25</v>
      </c>
      <c r="C6362">
        <v>0</v>
      </c>
      <c r="D6362">
        <v>69.7</v>
      </c>
      <c r="E6362">
        <v>3.9849999999999999</v>
      </c>
      <c r="F6362">
        <v>185.86030769999999</v>
      </c>
      <c r="G6362">
        <v>8.5210000000000008</v>
      </c>
      <c r="N6362" s="8"/>
    </row>
    <row r="6363" spans="1:14" x14ac:dyDescent="0.25">
      <c r="A6363" s="8">
        <v>40697</v>
      </c>
      <c r="B6363">
        <v>877423.45</v>
      </c>
      <c r="C6363">
        <v>0</v>
      </c>
      <c r="D6363">
        <v>76.38</v>
      </c>
      <c r="E6363">
        <v>3.9220000000000002</v>
      </c>
      <c r="F6363">
        <v>185.75450000000001</v>
      </c>
      <c r="G6363">
        <v>8.5210000000000008</v>
      </c>
      <c r="N6363" s="8"/>
    </row>
    <row r="6364" spans="1:14" x14ac:dyDescent="0.25">
      <c r="A6364" s="8">
        <v>40704</v>
      </c>
      <c r="B6364">
        <v>814395.17</v>
      </c>
      <c r="C6364">
        <v>0</v>
      </c>
      <c r="D6364">
        <v>73.88</v>
      </c>
      <c r="E6364">
        <v>3.8809999999999998</v>
      </c>
      <c r="F6364">
        <v>185.64869229999999</v>
      </c>
      <c r="G6364">
        <v>8.5210000000000008</v>
      </c>
      <c r="N6364" s="8"/>
    </row>
    <row r="6365" spans="1:14" x14ac:dyDescent="0.25">
      <c r="A6365" s="8">
        <v>40711</v>
      </c>
      <c r="B6365">
        <v>811153.67</v>
      </c>
      <c r="C6365">
        <v>0</v>
      </c>
      <c r="D6365">
        <v>69.319999999999993</v>
      </c>
      <c r="E6365">
        <v>3.8420000000000001</v>
      </c>
      <c r="F6365">
        <v>185.67193330000001</v>
      </c>
      <c r="G6365">
        <v>8.5210000000000008</v>
      </c>
      <c r="N6365" s="8"/>
    </row>
    <row r="6366" spans="1:14" x14ac:dyDescent="0.25">
      <c r="A6366" s="8">
        <v>40718</v>
      </c>
      <c r="B6366">
        <v>762861.78</v>
      </c>
      <c r="C6366">
        <v>0</v>
      </c>
      <c r="D6366">
        <v>74.849999999999994</v>
      </c>
      <c r="E6366">
        <v>3.8039999999999998</v>
      </c>
      <c r="F6366">
        <v>185.79196089999999</v>
      </c>
      <c r="G6366">
        <v>8.5210000000000008</v>
      </c>
      <c r="N6366" s="8"/>
    </row>
    <row r="6367" spans="1:14" x14ac:dyDescent="0.25">
      <c r="A6367" s="8">
        <v>40725</v>
      </c>
      <c r="B6367">
        <v>791495.25</v>
      </c>
      <c r="C6367">
        <v>0</v>
      </c>
      <c r="D6367">
        <v>74.040000000000006</v>
      </c>
      <c r="E6367">
        <v>3.7480000000000002</v>
      </c>
      <c r="F6367">
        <v>185.91198850000001</v>
      </c>
      <c r="G6367">
        <v>8.625</v>
      </c>
      <c r="N6367" s="8"/>
    </row>
    <row r="6368" spans="1:14" x14ac:dyDescent="0.25">
      <c r="A6368" s="8">
        <v>40732</v>
      </c>
      <c r="B6368">
        <v>768718.11</v>
      </c>
      <c r="C6368">
        <v>0</v>
      </c>
      <c r="D6368">
        <v>77.489999999999995</v>
      </c>
      <c r="E6368">
        <v>3.7109999999999999</v>
      </c>
      <c r="F6368">
        <v>186.032016</v>
      </c>
      <c r="G6368">
        <v>8.625</v>
      </c>
      <c r="N6368" s="8"/>
    </row>
    <row r="6369" spans="1:14" x14ac:dyDescent="0.25">
      <c r="A6369" s="8">
        <v>40739</v>
      </c>
      <c r="B6369">
        <v>748435.2</v>
      </c>
      <c r="C6369">
        <v>0</v>
      </c>
      <c r="D6369">
        <v>78.47</v>
      </c>
      <c r="E6369">
        <v>3.76</v>
      </c>
      <c r="F6369">
        <v>186.13998079999999</v>
      </c>
      <c r="G6369">
        <v>8.625</v>
      </c>
      <c r="N6369" s="8"/>
    </row>
    <row r="6370" spans="1:14" x14ac:dyDescent="0.25">
      <c r="A6370" s="8">
        <v>40746</v>
      </c>
      <c r="B6370">
        <v>741625.25</v>
      </c>
      <c r="C6370">
        <v>0</v>
      </c>
      <c r="D6370">
        <v>82.33</v>
      </c>
      <c r="E6370">
        <v>3.8109999999999999</v>
      </c>
      <c r="F6370">
        <v>186.21778850000001</v>
      </c>
      <c r="G6370">
        <v>8.625</v>
      </c>
      <c r="N6370" s="8"/>
    </row>
    <row r="6371" spans="1:14" x14ac:dyDescent="0.25">
      <c r="A6371" s="8">
        <v>40753</v>
      </c>
      <c r="B6371">
        <v>704680.97</v>
      </c>
      <c r="C6371">
        <v>0</v>
      </c>
      <c r="D6371">
        <v>81.31</v>
      </c>
      <c r="E6371">
        <v>3.8290000000000002</v>
      </c>
      <c r="F6371">
        <v>186.29559620000001</v>
      </c>
      <c r="G6371">
        <v>8.625</v>
      </c>
      <c r="N6371" s="8"/>
    </row>
    <row r="6372" spans="1:14" x14ac:dyDescent="0.25">
      <c r="A6372" s="8">
        <v>40760</v>
      </c>
      <c r="B6372">
        <v>765996.92</v>
      </c>
      <c r="C6372">
        <v>0</v>
      </c>
      <c r="D6372">
        <v>78.22</v>
      </c>
      <c r="E6372">
        <v>3.8420000000000001</v>
      </c>
      <c r="F6372">
        <v>186.37340380000001</v>
      </c>
      <c r="G6372">
        <v>8.625</v>
      </c>
      <c r="N6372" s="8"/>
    </row>
    <row r="6373" spans="1:14" x14ac:dyDescent="0.25">
      <c r="A6373" s="8">
        <v>40767</v>
      </c>
      <c r="B6373">
        <v>724180.89</v>
      </c>
      <c r="C6373">
        <v>0</v>
      </c>
      <c r="D6373">
        <v>77</v>
      </c>
      <c r="E6373">
        <v>3.8119999999999998</v>
      </c>
      <c r="F6373">
        <v>186.4512115</v>
      </c>
      <c r="G6373">
        <v>8.625</v>
      </c>
      <c r="N6373" s="8"/>
    </row>
    <row r="6374" spans="1:14" x14ac:dyDescent="0.25">
      <c r="A6374" s="8">
        <v>40774</v>
      </c>
      <c r="B6374">
        <v>712362.72</v>
      </c>
      <c r="C6374">
        <v>0</v>
      </c>
      <c r="D6374">
        <v>72.98</v>
      </c>
      <c r="E6374">
        <v>3.7469999999999999</v>
      </c>
      <c r="F6374">
        <v>186.5093071</v>
      </c>
      <c r="G6374">
        <v>8.625</v>
      </c>
      <c r="N6374" s="8"/>
    </row>
    <row r="6375" spans="1:14" x14ac:dyDescent="0.25">
      <c r="A6375" s="8">
        <v>40781</v>
      </c>
      <c r="B6375">
        <v>833979.01</v>
      </c>
      <c r="C6375">
        <v>0</v>
      </c>
      <c r="D6375">
        <v>72.55</v>
      </c>
      <c r="E6375">
        <v>3.7040000000000002</v>
      </c>
      <c r="F6375">
        <v>186.5641172</v>
      </c>
      <c r="G6375">
        <v>8.625</v>
      </c>
      <c r="N6375" s="8"/>
    </row>
    <row r="6376" spans="1:14" x14ac:dyDescent="0.25">
      <c r="A6376" s="8">
        <v>40788</v>
      </c>
      <c r="B6376">
        <v>726482.39</v>
      </c>
      <c r="C6376">
        <v>0</v>
      </c>
      <c r="D6376">
        <v>70.63</v>
      </c>
      <c r="E6376">
        <v>3.7029999999999998</v>
      </c>
      <c r="F6376">
        <v>186.61892739999999</v>
      </c>
      <c r="G6376">
        <v>8.625</v>
      </c>
      <c r="N6376" s="8"/>
    </row>
    <row r="6377" spans="1:14" x14ac:dyDescent="0.25">
      <c r="A6377" s="8">
        <v>40795</v>
      </c>
      <c r="B6377">
        <v>746129.56</v>
      </c>
      <c r="C6377">
        <v>1</v>
      </c>
      <c r="D6377">
        <v>71.48</v>
      </c>
      <c r="E6377">
        <v>3.738</v>
      </c>
      <c r="F6377">
        <v>186.67373760000001</v>
      </c>
      <c r="G6377">
        <v>8.625</v>
      </c>
      <c r="N6377" s="8"/>
    </row>
    <row r="6378" spans="1:14" x14ac:dyDescent="0.25">
      <c r="A6378" s="8">
        <v>40802</v>
      </c>
      <c r="B6378">
        <v>711367.56</v>
      </c>
      <c r="C6378">
        <v>0</v>
      </c>
      <c r="D6378">
        <v>69.17</v>
      </c>
      <c r="E6378">
        <v>3.742</v>
      </c>
      <c r="F6378">
        <v>186.80240000000001</v>
      </c>
      <c r="G6378">
        <v>8.625</v>
      </c>
      <c r="N6378" s="8"/>
    </row>
    <row r="6379" spans="1:14" x14ac:dyDescent="0.25">
      <c r="A6379" s="8">
        <v>40809</v>
      </c>
      <c r="B6379">
        <v>714106.42</v>
      </c>
      <c r="C6379">
        <v>0</v>
      </c>
      <c r="D6379">
        <v>63.75</v>
      </c>
      <c r="E6379">
        <v>3.7109999999999999</v>
      </c>
      <c r="F6379">
        <v>187.02953210000001</v>
      </c>
      <c r="G6379">
        <v>8.625</v>
      </c>
      <c r="N6379" s="8"/>
    </row>
    <row r="6380" spans="1:14" x14ac:dyDescent="0.25">
      <c r="A6380" s="8">
        <v>40816</v>
      </c>
      <c r="B6380">
        <v>698986.34</v>
      </c>
      <c r="C6380">
        <v>0</v>
      </c>
      <c r="D6380">
        <v>70.66</v>
      </c>
      <c r="E6380">
        <v>3.645</v>
      </c>
      <c r="F6380">
        <v>187.25666409999999</v>
      </c>
      <c r="G6380">
        <v>8.625</v>
      </c>
      <c r="N6380" s="8"/>
    </row>
    <row r="6381" spans="1:14" x14ac:dyDescent="0.25">
      <c r="A6381" s="8">
        <v>40823</v>
      </c>
      <c r="B6381">
        <v>753447.05</v>
      </c>
      <c r="C6381">
        <v>0</v>
      </c>
      <c r="D6381">
        <v>55.82</v>
      </c>
      <c r="E6381">
        <v>3.5830000000000002</v>
      </c>
      <c r="F6381">
        <v>187.4837962</v>
      </c>
      <c r="G6381">
        <v>8.5229999999999997</v>
      </c>
      <c r="N6381" s="8"/>
    </row>
    <row r="6382" spans="1:14" x14ac:dyDescent="0.25">
      <c r="A6382" s="8">
        <v>40830</v>
      </c>
      <c r="B6382">
        <v>720946.99</v>
      </c>
      <c r="C6382">
        <v>0</v>
      </c>
      <c r="D6382">
        <v>63.82</v>
      </c>
      <c r="E6382">
        <v>3.5409999999999999</v>
      </c>
      <c r="F6382">
        <v>187.69174810000001</v>
      </c>
      <c r="G6382">
        <v>8.5229999999999997</v>
      </c>
      <c r="N6382" s="8"/>
    </row>
    <row r="6383" spans="1:14" x14ac:dyDescent="0.25">
      <c r="A6383" s="8">
        <v>40837</v>
      </c>
      <c r="B6383">
        <v>771686.40000000002</v>
      </c>
      <c r="C6383">
        <v>0</v>
      </c>
      <c r="D6383">
        <v>59.6</v>
      </c>
      <c r="E6383">
        <v>3.57</v>
      </c>
      <c r="F6383">
        <v>187.78461970000001</v>
      </c>
      <c r="G6383">
        <v>8.5229999999999997</v>
      </c>
      <c r="N6383" s="8"/>
    </row>
    <row r="6384" spans="1:14" x14ac:dyDescent="0.25">
      <c r="A6384" s="8">
        <v>40844</v>
      </c>
      <c r="B6384">
        <v>781694.57</v>
      </c>
      <c r="C6384">
        <v>0</v>
      </c>
      <c r="D6384">
        <v>51.78</v>
      </c>
      <c r="E6384">
        <v>3.569</v>
      </c>
      <c r="F6384">
        <v>187.8774913</v>
      </c>
      <c r="G6384">
        <v>8.5229999999999997</v>
      </c>
      <c r="N6384" s="8"/>
    </row>
    <row r="6385" spans="1:14" x14ac:dyDescent="0.25">
      <c r="A6385" s="8">
        <v>40851</v>
      </c>
      <c r="B6385">
        <v>833429.22</v>
      </c>
      <c r="C6385">
        <v>0</v>
      </c>
      <c r="D6385">
        <v>43.92</v>
      </c>
      <c r="E6385">
        <v>3.5510000000000002</v>
      </c>
      <c r="F6385">
        <v>187.9703629</v>
      </c>
      <c r="G6385">
        <v>8.5229999999999997</v>
      </c>
      <c r="N6385" s="8"/>
    </row>
    <row r="6386" spans="1:14" x14ac:dyDescent="0.25">
      <c r="A6386" s="8">
        <v>40858</v>
      </c>
      <c r="B6386">
        <v>808624.82</v>
      </c>
      <c r="C6386">
        <v>0</v>
      </c>
      <c r="D6386">
        <v>47.65</v>
      </c>
      <c r="E6386">
        <v>3.53</v>
      </c>
      <c r="F6386">
        <v>188.06323449999999</v>
      </c>
      <c r="G6386">
        <v>8.5229999999999997</v>
      </c>
      <c r="N6386" s="8"/>
    </row>
    <row r="6387" spans="1:14" x14ac:dyDescent="0.25">
      <c r="A6387" s="8">
        <v>40865</v>
      </c>
      <c r="B6387">
        <v>773603.77</v>
      </c>
      <c r="C6387">
        <v>0</v>
      </c>
      <c r="D6387">
        <v>51.34</v>
      </c>
      <c r="E6387">
        <v>3.53</v>
      </c>
      <c r="F6387">
        <v>188.1983654</v>
      </c>
      <c r="G6387">
        <v>8.5229999999999997</v>
      </c>
      <c r="N6387" s="8"/>
    </row>
    <row r="6388" spans="1:14" x14ac:dyDescent="0.25">
      <c r="A6388" s="8">
        <v>40872</v>
      </c>
      <c r="B6388">
        <v>1170672.94</v>
      </c>
      <c r="C6388">
        <v>1</v>
      </c>
      <c r="D6388">
        <v>48.71</v>
      </c>
      <c r="E6388">
        <v>3.492</v>
      </c>
      <c r="F6388">
        <v>188.35040000000001</v>
      </c>
      <c r="G6388">
        <v>8.5229999999999997</v>
      </c>
      <c r="N6388" s="8"/>
    </row>
    <row r="6389" spans="1:14" x14ac:dyDescent="0.25">
      <c r="A6389" s="8">
        <v>40879</v>
      </c>
      <c r="B6389">
        <v>875699.81</v>
      </c>
      <c r="C6389">
        <v>0</v>
      </c>
      <c r="D6389">
        <v>50.19</v>
      </c>
      <c r="E6389">
        <v>3.452</v>
      </c>
      <c r="F6389">
        <v>188.50243459999999</v>
      </c>
      <c r="G6389">
        <v>8.5229999999999997</v>
      </c>
      <c r="N6389" s="8"/>
    </row>
    <row r="6390" spans="1:14" x14ac:dyDescent="0.25">
      <c r="A6390" s="8">
        <v>40886</v>
      </c>
      <c r="B6390">
        <v>957155.31</v>
      </c>
      <c r="C6390">
        <v>0</v>
      </c>
      <c r="D6390">
        <v>46.57</v>
      </c>
      <c r="E6390">
        <v>3.415</v>
      </c>
      <c r="F6390">
        <v>188.65446919999999</v>
      </c>
      <c r="G6390">
        <v>8.5229999999999997</v>
      </c>
      <c r="N6390" s="8"/>
    </row>
    <row r="6391" spans="1:14" x14ac:dyDescent="0.25">
      <c r="A6391" s="8">
        <v>40893</v>
      </c>
      <c r="B6391">
        <v>1078905.68</v>
      </c>
      <c r="C6391">
        <v>0</v>
      </c>
      <c r="D6391">
        <v>39.93</v>
      </c>
      <c r="E6391">
        <v>3.4129999999999998</v>
      </c>
      <c r="F6391">
        <v>188.7979349</v>
      </c>
      <c r="G6391">
        <v>8.5229999999999997</v>
      </c>
      <c r="N6391" s="8"/>
    </row>
    <row r="6392" spans="1:14" x14ac:dyDescent="0.25">
      <c r="A6392" s="8">
        <v>40900</v>
      </c>
      <c r="B6392">
        <v>1521957.99</v>
      </c>
      <c r="C6392">
        <v>0</v>
      </c>
      <c r="D6392">
        <v>42.27</v>
      </c>
      <c r="E6392">
        <v>3.3889999999999998</v>
      </c>
      <c r="F6392">
        <v>188.9299752</v>
      </c>
      <c r="G6392">
        <v>8.5229999999999997</v>
      </c>
      <c r="N6392" s="8"/>
    </row>
    <row r="6393" spans="1:14" x14ac:dyDescent="0.25">
      <c r="A6393" s="8">
        <v>40907</v>
      </c>
      <c r="B6393">
        <v>869403.63</v>
      </c>
      <c r="C6393">
        <v>1</v>
      </c>
      <c r="D6393">
        <v>37.79</v>
      </c>
      <c r="E6393">
        <v>3.3889999999999998</v>
      </c>
      <c r="F6393">
        <v>189.0620155</v>
      </c>
      <c r="G6393">
        <v>8.5229999999999997</v>
      </c>
      <c r="N6393" s="8"/>
    </row>
    <row r="6394" spans="1:14" x14ac:dyDescent="0.25">
      <c r="A6394" s="8">
        <v>40914</v>
      </c>
      <c r="B6394">
        <v>714081.05</v>
      </c>
      <c r="C6394">
        <v>0</v>
      </c>
      <c r="D6394">
        <v>35.880000000000003</v>
      </c>
      <c r="E6394">
        <v>3.4220000000000002</v>
      </c>
      <c r="F6394">
        <v>189.1940558</v>
      </c>
      <c r="G6394">
        <v>8.4239999999999995</v>
      </c>
      <c r="N6394" s="8"/>
    </row>
    <row r="6395" spans="1:14" x14ac:dyDescent="0.25">
      <c r="A6395" s="8">
        <v>40921</v>
      </c>
      <c r="B6395">
        <v>676615.53</v>
      </c>
      <c r="C6395">
        <v>0</v>
      </c>
      <c r="D6395">
        <v>41.18</v>
      </c>
      <c r="E6395">
        <v>3.5129999999999999</v>
      </c>
      <c r="F6395">
        <v>189.32609619999999</v>
      </c>
      <c r="G6395">
        <v>8.4239999999999995</v>
      </c>
      <c r="N6395" s="8"/>
    </row>
    <row r="6396" spans="1:14" x14ac:dyDescent="0.25">
      <c r="A6396" s="8">
        <v>40928</v>
      </c>
      <c r="B6396">
        <v>700392.21</v>
      </c>
      <c r="C6396">
        <v>0</v>
      </c>
      <c r="D6396">
        <v>31.85</v>
      </c>
      <c r="E6396">
        <v>3.5329999999999999</v>
      </c>
      <c r="F6396">
        <v>189.4214733</v>
      </c>
      <c r="G6396">
        <v>8.4239999999999995</v>
      </c>
      <c r="N6396" s="8"/>
    </row>
    <row r="6397" spans="1:14" x14ac:dyDescent="0.25">
      <c r="A6397" s="8">
        <v>40935</v>
      </c>
      <c r="B6397">
        <v>624081.64</v>
      </c>
      <c r="C6397">
        <v>0</v>
      </c>
      <c r="D6397">
        <v>37.93</v>
      </c>
      <c r="E6397">
        <v>3.5670000000000002</v>
      </c>
      <c r="F6397">
        <v>189.5168505</v>
      </c>
      <c r="G6397">
        <v>8.4239999999999995</v>
      </c>
      <c r="N6397" s="8"/>
    </row>
    <row r="6398" spans="1:14" x14ac:dyDescent="0.25">
      <c r="A6398" s="8">
        <v>40942</v>
      </c>
      <c r="B6398">
        <v>757330.95</v>
      </c>
      <c r="C6398">
        <v>0</v>
      </c>
      <c r="D6398">
        <v>42.96</v>
      </c>
      <c r="E6398">
        <v>3.617</v>
      </c>
      <c r="F6398">
        <v>189.61222770000001</v>
      </c>
      <c r="G6398">
        <v>8.4239999999999995</v>
      </c>
      <c r="N6398" s="8"/>
    </row>
    <row r="6399" spans="1:14" x14ac:dyDescent="0.25">
      <c r="A6399" s="8">
        <v>40949</v>
      </c>
      <c r="B6399">
        <v>803657.12</v>
      </c>
      <c r="C6399">
        <v>1</v>
      </c>
      <c r="D6399">
        <v>37</v>
      </c>
      <c r="E6399">
        <v>3.64</v>
      </c>
      <c r="F6399">
        <v>189.70760480000001</v>
      </c>
      <c r="G6399">
        <v>8.4239999999999995</v>
      </c>
      <c r="N6399" s="8"/>
    </row>
    <row r="6400" spans="1:14" x14ac:dyDescent="0.25">
      <c r="A6400" s="8">
        <v>40956</v>
      </c>
      <c r="B6400">
        <v>858853.75</v>
      </c>
      <c r="C6400">
        <v>0</v>
      </c>
      <c r="D6400">
        <v>36.85</v>
      </c>
      <c r="E6400">
        <v>3.6949999999999998</v>
      </c>
      <c r="F6400">
        <v>189.84248339999999</v>
      </c>
      <c r="G6400">
        <v>8.4239999999999995</v>
      </c>
      <c r="N6400" s="8"/>
    </row>
    <row r="6401" spans="1:14" x14ac:dyDescent="0.25">
      <c r="A6401" s="8">
        <v>40963</v>
      </c>
      <c r="B6401">
        <v>753060.78</v>
      </c>
      <c r="C6401">
        <v>0</v>
      </c>
      <c r="D6401">
        <v>42.86</v>
      </c>
      <c r="E6401">
        <v>3.7389999999999999</v>
      </c>
      <c r="F6401">
        <v>190.0069881</v>
      </c>
      <c r="G6401">
        <v>8.4239999999999995</v>
      </c>
      <c r="N6401" s="8"/>
    </row>
    <row r="6402" spans="1:14" x14ac:dyDescent="0.25">
      <c r="A6402" s="8">
        <v>40970</v>
      </c>
      <c r="B6402">
        <v>782796.01</v>
      </c>
      <c r="C6402">
        <v>0</v>
      </c>
      <c r="D6402">
        <v>41.55</v>
      </c>
      <c r="E6402">
        <v>3.8159999999999998</v>
      </c>
      <c r="F6402">
        <v>190.17149269999999</v>
      </c>
      <c r="G6402">
        <v>8.4239999999999995</v>
      </c>
      <c r="N6402" s="8"/>
    </row>
    <row r="6403" spans="1:14" x14ac:dyDescent="0.25">
      <c r="A6403" s="8">
        <v>40977</v>
      </c>
      <c r="B6403">
        <v>776968.87</v>
      </c>
      <c r="C6403">
        <v>0</v>
      </c>
      <c r="D6403">
        <v>45.52</v>
      </c>
      <c r="E6403">
        <v>3.8479999999999999</v>
      </c>
      <c r="F6403">
        <v>190.3359973</v>
      </c>
      <c r="G6403">
        <v>8.4239999999999995</v>
      </c>
      <c r="N6403" s="8"/>
    </row>
    <row r="6404" spans="1:14" x14ac:dyDescent="0.25">
      <c r="A6404" s="8">
        <v>40984</v>
      </c>
      <c r="B6404">
        <v>788340.23</v>
      </c>
      <c r="C6404">
        <v>0</v>
      </c>
      <c r="D6404">
        <v>50.56</v>
      </c>
      <c r="E6404">
        <v>3.8620000000000001</v>
      </c>
      <c r="F6404">
        <v>190.4618964</v>
      </c>
      <c r="G6404">
        <v>8.4239999999999995</v>
      </c>
      <c r="N6404" s="8"/>
    </row>
    <row r="6405" spans="1:14" x14ac:dyDescent="0.25">
      <c r="A6405" s="8">
        <v>40991</v>
      </c>
      <c r="B6405">
        <v>791835.37</v>
      </c>
      <c r="C6405">
        <v>0</v>
      </c>
      <c r="D6405">
        <v>59.45</v>
      </c>
      <c r="E6405">
        <v>3.9</v>
      </c>
      <c r="F6405">
        <v>190.5363213</v>
      </c>
      <c r="G6405">
        <v>8.4239999999999995</v>
      </c>
      <c r="N6405" s="8"/>
    </row>
    <row r="6406" spans="1:14" x14ac:dyDescent="0.25">
      <c r="A6406" s="8">
        <v>40998</v>
      </c>
      <c r="B6406">
        <v>777254.06</v>
      </c>
      <c r="C6406">
        <v>0</v>
      </c>
      <c r="D6406">
        <v>50.04</v>
      </c>
      <c r="E6406">
        <v>3.9529999999999998</v>
      </c>
      <c r="F6406">
        <v>190.61074629999999</v>
      </c>
      <c r="G6406">
        <v>8.4239999999999995</v>
      </c>
      <c r="N6406" s="8"/>
    </row>
    <row r="6407" spans="1:14" x14ac:dyDescent="0.25">
      <c r="A6407" s="8">
        <v>41005</v>
      </c>
      <c r="B6407">
        <v>899479.43</v>
      </c>
      <c r="C6407">
        <v>0</v>
      </c>
      <c r="D6407">
        <v>49.73</v>
      </c>
      <c r="E6407">
        <v>3.996</v>
      </c>
      <c r="F6407">
        <v>190.68517120000001</v>
      </c>
      <c r="G6407">
        <v>8.5670000000000002</v>
      </c>
      <c r="N6407" s="8"/>
    </row>
    <row r="6408" spans="1:14" x14ac:dyDescent="0.25">
      <c r="A6408" s="8">
        <v>41012</v>
      </c>
      <c r="B6408">
        <v>781970.6</v>
      </c>
      <c r="C6408">
        <v>0</v>
      </c>
      <c r="D6408">
        <v>51.83</v>
      </c>
      <c r="E6408">
        <v>4.0439999999999996</v>
      </c>
      <c r="F6408">
        <v>190.7595962</v>
      </c>
      <c r="G6408">
        <v>8.5670000000000002</v>
      </c>
      <c r="N6408" s="8"/>
    </row>
    <row r="6409" spans="1:14" x14ac:dyDescent="0.25">
      <c r="A6409" s="8">
        <v>41019</v>
      </c>
      <c r="B6409">
        <v>776661.74</v>
      </c>
      <c r="C6409">
        <v>0</v>
      </c>
      <c r="D6409">
        <v>63.13</v>
      </c>
      <c r="E6409">
        <v>4.0270000000000001</v>
      </c>
      <c r="F6409">
        <v>190.81380129999999</v>
      </c>
      <c r="G6409">
        <v>8.5670000000000002</v>
      </c>
      <c r="N6409" s="8"/>
    </row>
    <row r="6410" spans="1:14" x14ac:dyDescent="0.25">
      <c r="A6410" s="8">
        <v>41026</v>
      </c>
      <c r="B6410">
        <v>711571.88</v>
      </c>
      <c r="C6410">
        <v>0</v>
      </c>
      <c r="D6410">
        <v>53.2</v>
      </c>
      <c r="E6410">
        <v>4.0039999999999996</v>
      </c>
      <c r="F6410">
        <v>190.86800640000001</v>
      </c>
      <c r="G6410">
        <v>8.5670000000000002</v>
      </c>
      <c r="N6410" s="8"/>
    </row>
    <row r="6411" spans="1:14" x14ac:dyDescent="0.25">
      <c r="A6411" s="8">
        <v>41033</v>
      </c>
      <c r="B6411">
        <v>782300.68</v>
      </c>
      <c r="C6411">
        <v>0</v>
      </c>
      <c r="D6411">
        <v>55.21</v>
      </c>
      <c r="E6411">
        <v>3.9510000000000001</v>
      </c>
      <c r="F6411">
        <v>190.9222115</v>
      </c>
      <c r="G6411">
        <v>8.5670000000000002</v>
      </c>
      <c r="N6411" s="8"/>
    </row>
    <row r="6412" spans="1:14" x14ac:dyDescent="0.25">
      <c r="A6412" s="8">
        <v>41040</v>
      </c>
      <c r="B6412">
        <v>770487.37</v>
      </c>
      <c r="C6412">
        <v>0</v>
      </c>
      <c r="D6412">
        <v>61.24</v>
      </c>
      <c r="E6412">
        <v>3.8889999999999998</v>
      </c>
      <c r="F6412">
        <v>190.97641669999999</v>
      </c>
      <c r="G6412">
        <v>8.5670000000000002</v>
      </c>
      <c r="N6412" s="8"/>
    </row>
    <row r="6413" spans="1:14" x14ac:dyDescent="0.25">
      <c r="A6413" s="8">
        <v>41047</v>
      </c>
      <c r="B6413">
        <v>800842.28</v>
      </c>
      <c r="C6413">
        <v>0</v>
      </c>
      <c r="D6413">
        <v>66.3</v>
      </c>
      <c r="E6413">
        <v>3.8479999999999999</v>
      </c>
      <c r="F6413">
        <v>190.99644789999999</v>
      </c>
      <c r="G6413">
        <v>8.5670000000000002</v>
      </c>
      <c r="N6413" s="8"/>
    </row>
    <row r="6414" spans="1:14" x14ac:dyDescent="0.25">
      <c r="A6414" s="8">
        <v>41054</v>
      </c>
      <c r="B6414">
        <v>817741.17</v>
      </c>
      <c r="C6414">
        <v>0</v>
      </c>
      <c r="D6414">
        <v>67.209999999999994</v>
      </c>
      <c r="E6414">
        <v>3.798</v>
      </c>
      <c r="F6414">
        <v>191.00280960000001</v>
      </c>
      <c r="G6414">
        <v>8.5670000000000002</v>
      </c>
      <c r="N6414" s="8"/>
    </row>
    <row r="6415" spans="1:14" x14ac:dyDescent="0.25">
      <c r="A6415" s="8">
        <v>41061</v>
      </c>
      <c r="B6415">
        <v>837144.63</v>
      </c>
      <c r="C6415">
        <v>0</v>
      </c>
      <c r="D6415">
        <v>74.48</v>
      </c>
      <c r="E6415">
        <v>3.742</v>
      </c>
      <c r="F6415">
        <v>191.0091712</v>
      </c>
      <c r="G6415">
        <v>8.5670000000000002</v>
      </c>
      <c r="N6415" s="8"/>
    </row>
    <row r="6416" spans="1:14" x14ac:dyDescent="0.25">
      <c r="A6416" s="8">
        <v>41068</v>
      </c>
      <c r="B6416">
        <v>795133</v>
      </c>
      <c r="C6416">
        <v>0</v>
      </c>
      <c r="D6416">
        <v>64.3</v>
      </c>
      <c r="E6416">
        <v>3.6890000000000001</v>
      </c>
      <c r="F6416">
        <v>191.01553290000001</v>
      </c>
      <c r="G6416">
        <v>8.5670000000000002</v>
      </c>
      <c r="N6416" s="8"/>
    </row>
    <row r="6417" spans="1:14" x14ac:dyDescent="0.25">
      <c r="A6417" s="8">
        <v>41075</v>
      </c>
      <c r="B6417">
        <v>821498.18</v>
      </c>
      <c r="C6417">
        <v>0</v>
      </c>
      <c r="D6417">
        <v>71.930000000000007</v>
      </c>
      <c r="E6417">
        <v>3.62</v>
      </c>
      <c r="F6417">
        <v>191.02997310000001</v>
      </c>
      <c r="G6417">
        <v>8.5670000000000002</v>
      </c>
      <c r="N6417" s="8"/>
    </row>
    <row r="6418" spans="1:14" x14ac:dyDescent="0.25">
      <c r="A6418" s="8">
        <v>41082</v>
      </c>
      <c r="B6418">
        <v>822569.16</v>
      </c>
      <c r="C6418">
        <v>0</v>
      </c>
      <c r="D6418">
        <v>74.22</v>
      </c>
      <c r="E6418">
        <v>3.5640000000000001</v>
      </c>
      <c r="F6418">
        <v>191.06460960000001</v>
      </c>
      <c r="G6418">
        <v>8.5670000000000002</v>
      </c>
      <c r="N6418" s="8"/>
    </row>
    <row r="6419" spans="1:14" x14ac:dyDescent="0.25">
      <c r="A6419" s="8">
        <v>41089</v>
      </c>
      <c r="B6419">
        <v>773367.71</v>
      </c>
      <c r="C6419">
        <v>0</v>
      </c>
      <c r="D6419">
        <v>75.22</v>
      </c>
      <c r="E6419">
        <v>3.5059999999999998</v>
      </c>
      <c r="F6419">
        <v>191.09924620000001</v>
      </c>
      <c r="G6419">
        <v>8.5670000000000002</v>
      </c>
      <c r="N6419" s="8"/>
    </row>
    <row r="6420" spans="1:14" x14ac:dyDescent="0.25">
      <c r="A6420" s="8">
        <v>41096</v>
      </c>
      <c r="B6420">
        <v>843361.1</v>
      </c>
      <c r="C6420">
        <v>0</v>
      </c>
      <c r="D6420">
        <v>82.99</v>
      </c>
      <c r="E6420">
        <v>3.4750000000000001</v>
      </c>
      <c r="F6420">
        <v>191.13388269999999</v>
      </c>
      <c r="G6420">
        <v>8.6839999999999993</v>
      </c>
      <c r="N6420" s="8"/>
    </row>
    <row r="6421" spans="1:14" x14ac:dyDescent="0.25">
      <c r="A6421" s="8">
        <v>41103</v>
      </c>
      <c r="B6421">
        <v>749817.08</v>
      </c>
      <c r="C6421">
        <v>0</v>
      </c>
      <c r="D6421">
        <v>79.97</v>
      </c>
      <c r="E6421">
        <v>3.5230000000000001</v>
      </c>
      <c r="F6421">
        <v>191.16851919999999</v>
      </c>
      <c r="G6421">
        <v>8.6839999999999993</v>
      </c>
      <c r="N6421" s="8"/>
    </row>
    <row r="6422" spans="1:14" x14ac:dyDescent="0.25">
      <c r="A6422" s="8">
        <v>41110</v>
      </c>
      <c r="B6422">
        <v>737613.65</v>
      </c>
      <c r="C6422">
        <v>0</v>
      </c>
      <c r="D6422">
        <v>78.89</v>
      </c>
      <c r="E6422">
        <v>3.5670000000000002</v>
      </c>
      <c r="F6422">
        <v>191.16704279999999</v>
      </c>
      <c r="G6422">
        <v>8.6839999999999993</v>
      </c>
      <c r="N6422" s="8"/>
    </row>
    <row r="6423" spans="1:14" x14ac:dyDescent="0.25">
      <c r="A6423" s="8">
        <v>41117</v>
      </c>
      <c r="B6423">
        <v>711671.58</v>
      </c>
      <c r="C6423">
        <v>0</v>
      </c>
      <c r="D6423">
        <v>77.2</v>
      </c>
      <c r="E6423">
        <v>3.6469999999999998</v>
      </c>
      <c r="F6423">
        <v>191.16556639999999</v>
      </c>
      <c r="G6423">
        <v>8.6839999999999993</v>
      </c>
      <c r="N6423" s="8"/>
    </row>
    <row r="6424" spans="1:14" x14ac:dyDescent="0.25">
      <c r="A6424" s="8">
        <v>41124</v>
      </c>
      <c r="B6424">
        <v>725729.51</v>
      </c>
      <c r="C6424">
        <v>0</v>
      </c>
      <c r="D6424">
        <v>76.58</v>
      </c>
      <c r="E6424">
        <v>3.6539999999999999</v>
      </c>
      <c r="F6424">
        <v>191.16408999999999</v>
      </c>
      <c r="G6424">
        <v>8.6839999999999993</v>
      </c>
      <c r="N6424" s="8"/>
    </row>
    <row r="6425" spans="1:14" x14ac:dyDescent="0.25">
      <c r="A6425" s="8">
        <v>41131</v>
      </c>
      <c r="B6425">
        <v>733037.32</v>
      </c>
      <c r="C6425">
        <v>0</v>
      </c>
      <c r="D6425">
        <v>78.650000000000006</v>
      </c>
      <c r="E6425">
        <v>3.722</v>
      </c>
      <c r="F6425">
        <v>191.16261349999999</v>
      </c>
      <c r="G6425">
        <v>8.6839999999999993</v>
      </c>
      <c r="N6425" s="8"/>
    </row>
    <row r="6426" spans="1:14" x14ac:dyDescent="0.25">
      <c r="A6426" s="8">
        <v>41138</v>
      </c>
      <c r="B6426">
        <v>722496.93</v>
      </c>
      <c r="C6426">
        <v>0</v>
      </c>
      <c r="D6426">
        <v>75.709999999999994</v>
      </c>
      <c r="E6426">
        <v>3.8069999999999999</v>
      </c>
      <c r="F6426">
        <v>191.22849189999999</v>
      </c>
      <c r="G6426">
        <v>8.6839999999999993</v>
      </c>
      <c r="N6426" s="8"/>
    </row>
    <row r="6427" spans="1:14" x14ac:dyDescent="0.25">
      <c r="A6427" s="8">
        <v>41145</v>
      </c>
      <c r="B6427">
        <v>718232.26</v>
      </c>
      <c r="C6427">
        <v>0</v>
      </c>
      <c r="D6427">
        <v>72.62</v>
      </c>
      <c r="E6427">
        <v>3.8340000000000001</v>
      </c>
      <c r="F6427">
        <v>191.3448865</v>
      </c>
      <c r="G6427">
        <v>8.6839999999999993</v>
      </c>
      <c r="N6427" s="8"/>
    </row>
    <row r="6428" spans="1:14" x14ac:dyDescent="0.25">
      <c r="A6428" s="8">
        <v>41152</v>
      </c>
      <c r="B6428">
        <v>734297.87</v>
      </c>
      <c r="C6428">
        <v>0</v>
      </c>
      <c r="D6428">
        <v>75.09</v>
      </c>
      <c r="E6428">
        <v>3.867</v>
      </c>
      <c r="F6428">
        <v>191.46128100000001</v>
      </c>
      <c r="G6428">
        <v>8.6839999999999993</v>
      </c>
      <c r="N6428" s="8"/>
    </row>
    <row r="6429" spans="1:14" x14ac:dyDescent="0.25">
      <c r="A6429" s="8">
        <v>41159</v>
      </c>
      <c r="B6429">
        <v>766512.66</v>
      </c>
      <c r="C6429">
        <v>1</v>
      </c>
      <c r="D6429">
        <v>75.7</v>
      </c>
      <c r="E6429">
        <v>3.911</v>
      </c>
      <c r="F6429">
        <v>191.57767559999999</v>
      </c>
      <c r="G6429">
        <v>8.6839999999999993</v>
      </c>
      <c r="N6429" s="8"/>
    </row>
    <row r="6430" spans="1:14" x14ac:dyDescent="0.25">
      <c r="A6430" s="8">
        <v>41166</v>
      </c>
      <c r="B6430">
        <v>702238.27</v>
      </c>
      <c r="C6430">
        <v>0</v>
      </c>
      <c r="D6430">
        <v>67.87</v>
      </c>
      <c r="E6430">
        <v>3.948</v>
      </c>
      <c r="F6430">
        <v>191.69985</v>
      </c>
      <c r="G6430">
        <v>8.6839999999999993</v>
      </c>
      <c r="N6430" s="8"/>
    </row>
    <row r="6431" spans="1:14" x14ac:dyDescent="0.25">
      <c r="A6431" s="8">
        <v>41173</v>
      </c>
      <c r="B6431">
        <v>723086.2</v>
      </c>
      <c r="C6431">
        <v>0</v>
      </c>
      <c r="D6431">
        <v>65.319999999999993</v>
      </c>
      <c r="E6431">
        <v>4.0380000000000003</v>
      </c>
      <c r="F6431">
        <v>191.85670379999999</v>
      </c>
      <c r="G6431">
        <v>8.6839999999999993</v>
      </c>
      <c r="N6431" s="8"/>
    </row>
    <row r="6432" spans="1:14" x14ac:dyDescent="0.25">
      <c r="A6432" s="8">
        <v>41180</v>
      </c>
      <c r="B6432">
        <v>713173.95</v>
      </c>
      <c r="C6432">
        <v>0</v>
      </c>
      <c r="D6432">
        <v>64.88</v>
      </c>
      <c r="E6432">
        <v>3.9969999999999999</v>
      </c>
      <c r="F6432">
        <v>192.01355770000001</v>
      </c>
      <c r="G6432">
        <v>8.6839999999999993</v>
      </c>
      <c r="N6432" s="8"/>
    </row>
    <row r="6433" spans="1:14" x14ac:dyDescent="0.25">
      <c r="A6433" s="8">
        <v>41187</v>
      </c>
      <c r="B6433">
        <v>733455.07</v>
      </c>
      <c r="C6433">
        <v>0</v>
      </c>
      <c r="D6433">
        <v>64.89</v>
      </c>
      <c r="E6433">
        <v>3.9849999999999999</v>
      </c>
      <c r="F6433">
        <v>192.1704115</v>
      </c>
      <c r="G6433">
        <v>8.6669999999999998</v>
      </c>
      <c r="N6433" s="8"/>
    </row>
    <row r="6434" spans="1:14" x14ac:dyDescent="0.25">
      <c r="A6434" s="8">
        <v>41194</v>
      </c>
      <c r="B6434">
        <v>734464.36</v>
      </c>
      <c r="C6434">
        <v>0</v>
      </c>
      <c r="D6434">
        <v>54.47</v>
      </c>
      <c r="E6434">
        <v>4</v>
      </c>
      <c r="F6434">
        <v>192.32726539999999</v>
      </c>
      <c r="G6434">
        <v>8.6669999999999998</v>
      </c>
      <c r="N6434" s="8"/>
    </row>
    <row r="6435" spans="1:14" x14ac:dyDescent="0.25">
      <c r="A6435" s="8">
        <v>41201</v>
      </c>
      <c r="B6435">
        <v>718125.53</v>
      </c>
      <c r="C6435">
        <v>0</v>
      </c>
      <c r="D6435">
        <v>56.47</v>
      </c>
      <c r="E6435">
        <v>3.9689999999999999</v>
      </c>
      <c r="F6435">
        <v>192.3308542</v>
      </c>
      <c r="G6435">
        <v>8.6669999999999998</v>
      </c>
      <c r="N6435" s="8"/>
    </row>
    <row r="6436" spans="1:14" x14ac:dyDescent="0.25">
      <c r="A6436" s="8">
        <v>41208</v>
      </c>
      <c r="B6436">
        <v>760281.43</v>
      </c>
      <c r="C6436">
        <v>0</v>
      </c>
      <c r="D6436">
        <v>58.85</v>
      </c>
      <c r="E6436">
        <v>3.8820000000000001</v>
      </c>
      <c r="F6436">
        <v>192.3088989</v>
      </c>
      <c r="G6436">
        <v>8.6669999999999998</v>
      </c>
      <c r="N6436" s="8"/>
    </row>
    <row r="6437" spans="1:14" x14ac:dyDescent="0.25">
      <c r="A6437" s="8"/>
      <c r="N6437" s="8"/>
    </row>
    <row r="6438" spans="1:14" x14ac:dyDescent="0.25">
      <c r="A6438" s="8"/>
      <c r="N6438" s="8"/>
    </row>
  </sheetData>
  <conditionalFormatting sqref="K2:K54">
    <cfRule type="cellIs" dxfId="11" priority="3" operator="lessThan">
      <formula>40308</formula>
    </cfRule>
  </conditionalFormatting>
  <conditionalFormatting sqref="N1:N54 Q55">
    <cfRule type="dataBar" priority="2">
      <dataBar>
        <cfvo type="min"/>
        <cfvo type="max"/>
        <color rgb="FF638EC6"/>
      </dataBar>
      <extLst>
        <ext xmlns:x14="http://schemas.microsoft.com/office/spreadsheetml/2009/9/main" uri="{B025F937-C7B1-47D3-B67F-A62EFF666E3E}">
          <x14:id>{E8E5641F-473E-4A86-B155-22CFCFE9B0A9}</x14:id>
        </ext>
      </extLst>
    </cfRule>
  </conditionalFormatting>
  <conditionalFormatting sqref="O1">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2"/>
  <drawing r:id="rId3"/>
  <tableParts count="5">
    <tablePart r:id="rId4"/>
    <tablePart r:id="rId5"/>
    <tablePart r:id="rId6"/>
    <tablePart r:id="rId7"/>
    <tablePart r:id="rId8"/>
  </tableParts>
  <extLst>
    <ext xmlns:x14="http://schemas.microsoft.com/office/spreadsheetml/2009/9/main" uri="{78C0D931-6437-407d-A8EE-F0AAD7539E65}">
      <x14:conditionalFormattings>
        <x14:conditionalFormatting xmlns:xm="http://schemas.microsoft.com/office/excel/2006/main">
          <x14:cfRule type="dataBar" id="{E8E5641F-473E-4A86-B155-22CFCFE9B0A9}">
            <x14:dataBar minLength="0" maxLength="100" gradient="0">
              <x14:cfvo type="autoMin"/>
              <x14:cfvo type="autoMax"/>
              <x14:negativeFillColor rgb="FFFF0000"/>
              <x14:axisColor rgb="FF000000"/>
            </x14:dataBar>
          </x14:cfRule>
          <xm:sqref>N1:N54 Q55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5F5308-009D-41D2-84F1-13D51A8066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2026-06-02T04:16:01Z</dcterms:created>
  <dcterms:modified xsi:type="dcterms:W3CDTF">2026-06-05T07:24:37Z</dcterms:modified>
</cp:coreProperties>
</file>